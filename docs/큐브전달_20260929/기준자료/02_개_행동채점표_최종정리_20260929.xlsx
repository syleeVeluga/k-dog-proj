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I관련자료\Astra\작업파일\02회복및참조수정_20260929\stage\"/>
    </mc:Choice>
  </mc:AlternateContent>
  <bookViews>
    <workbookView xWindow="0" yWindow="0" windowWidth="21570" windowHeight="10095"/>
  </bookViews>
  <sheets>
    <sheet name="0_안내" sheetId="1" r:id="rId1"/>
    <sheet name="1_바디시그널" sheetId="2" r:id="rId2"/>
    <sheet name="2_개행동" sheetId="3" r:id="rId3"/>
    <sheet name="3_보호자행동" sheetId="4" r:id="rId4"/>
    <sheet name="6_행사전문가의견" sheetId="5" r:id="rId5"/>
    <sheet name="한마리상세" sheetId="6" r:id="rId6"/>
    <sheet name="여러쌍비교" sheetId="7" r:id="rId7"/>
    <sheet name="성향문장" sheetId="8" r:id="rId8"/>
  </sheets>
  <calcPr calcId="162913" forceFullCalc="1"/>
</workbook>
</file>

<file path=xl/calcChain.xml><?xml version="1.0" encoding="utf-8"?>
<calcChain xmlns="http://schemas.openxmlformats.org/spreadsheetml/2006/main">
  <c r="D55" i="8" l="1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BX25" i="7"/>
  <c r="BY25" i="7" s="1"/>
  <c r="BW25" i="7"/>
  <c r="BV25" i="7"/>
  <c r="BU25" i="7"/>
  <c r="BT25" i="7"/>
  <c r="BS25" i="7"/>
  <c r="BR25" i="7"/>
  <c r="BQ25" i="7"/>
  <c r="BP25" i="7"/>
  <c r="BO25" i="7"/>
  <c r="BN25" i="7"/>
  <c r="BM25" i="7"/>
  <c r="BL25" i="7"/>
  <c r="BK25" i="7"/>
  <c r="BH25" i="7"/>
  <c r="BG25" i="7"/>
  <c r="BF25" i="7"/>
  <c r="AX25" i="7" s="1"/>
  <c r="BE25" i="7"/>
  <c r="BD25" i="7"/>
  <c r="BC25" i="7"/>
  <c r="AW25" i="7" s="1"/>
  <c r="BB25" i="7"/>
  <c r="BA25" i="7"/>
  <c r="AZ25" i="7"/>
  <c r="AV25" i="7"/>
  <c r="AU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Y25" i="7"/>
  <c r="W25" i="7"/>
  <c r="V25" i="7"/>
  <c r="U25" i="7"/>
  <c r="T25" i="7"/>
  <c r="S25" i="7"/>
  <c r="Q25" i="7"/>
  <c r="P25" i="7"/>
  <c r="O25" i="7"/>
  <c r="N25" i="7"/>
  <c r="M25" i="7"/>
  <c r="BJ25" i="7" s="1"/>
  <c r="F25" i="7"/>
  <c r="E25" i="7"/>
  <c r="D25" i="7"/>
  <c r="BX24" i="7"/>
  <c r="BY24" i="7" s="1"/>
  <c r="BW24" i="7"/>
  <c r="BV24" i="7"/>
  <c r="BU24" i="7"/>
  <c r="BT24" i="7"/>
  <c r="BS24" i="7"/>
  <c r="BR24" i="7"/>
  <c r="BQ24" i="7"/>
  <c r="BP24" i="7"/>
  <c r="BO24" i="7"/>
  <c r="BN24" i="7"/>
  <c r="BM24" i="7"/>
  <c r="BL24" i="7"/>
  <c r="BK24" i="7"/>
  <c r="BH24" i="7"/>
  <c r="BG24" i="7"/>
  <c r="BF24" i="7"/>
  <c r="AX24" i="7" s="1"/>
  <c r="BE24" i="7"/>
  <c r="BD24" i="7"/>
  <c r="BC24" i="7"/>
  <c r="AW24" i="7" s="1"/>
  <c r="BB24" i="7"/>
  <c r="BA24" i="7"/>
  <c r="AZ24" i="7"/>
  <c r="AV24" i="7"/>
  <c r="AU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Y24" i="7"/>
  <c r="W24" i="7"/>
  <c r="V24" i="7"/>
  <c r="U24" i="7"/>
  <c r="T24" i="7"/>
  <c r="S24" i="7"/>
  <c r="Q24" i="7"/>
  <c r="P24" i="7"/>
  <c r="O24" i="7"/>
  <c r="N24" i="7"/>
  <c r="M24" i="7"/>
  <c r="BJ24" i="7" s="1"/>
  <c r="F24" i="7"/>
  <c r="E24" i="7"/>
  <c r="D24" i="7"/>
  <c r="BX23" i="7"/>
  <c r="BY23" i="7" s="1"/>
  <c r="BW23" i="7"/>
  <c r="BV23" i="7"/>
  <c r="BU23" i="7"/>
  <c r="BT23" i="7"/>
  <c r="BS23" i="7"/>
  <c r="BR23" i="7"/>
  <c r="BQ23" i="7"/>
  <c r="BP23" i="7"/>
  <c r="BO23" i="7"/>
  <c r="BN23" i="7"/>
  <c r="BM23" i="7"/>
  <c r="BL23" i="7"/>
  <c r="BK23" i="7"/>
  <c r="BH23" i="7"/>
  <c r="BG23" i="7"/>
  <c r="BF23" i="7"/>
  <c r="AX23" i="7" s="1"/>
  <c r="BE23" i="7"/>
  <c r="BD23" i="7"/>
  <c r="BC23" i="7"/>
  <c r="AW23" i="7" s="1"/>
  <c r="BB23" i="7"/>
  <c r="BA23" i="7"/>
  <c r="AZ23" i="7"/>
  <c r="AV23" i="7"/>
  <c r="AU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Y23" i="7"/>
  <c r="W23" i="7"/>
  <c r="V23" i="7"/>
  <c r="U23" i="7"/>
  <c r="T23" i="7"/>
  <c r="S23" i="7"/>
  <c r="Q23" i="7"/>
  <c r="P23" i="7"/>
  <c r="O23" i="7"/>
  <c r="N23" i="7"/>
  <c r="M23" i="7"/>
  <c r="BJ23" i="7" s="1"/>
  <c r="F23" i="7"/>
  <c r="E23" i="7"/>
  <c r="D23" i="7"/>
  <c r="BX22" i="7"/>
  <c r="BY22" i="7" s="1"/>
  <c r="BW22" i="7"/>
  <c r="BV22" i="7"/>
  <c r="BU22" i="7"/>
  <c r="BT22" i="7"/>
  <c r="BS22" i="7"/>
  <c r="BR22" i="7"/>
  <c r="BQ22" i="7"/>
  <c r="BP22" i="7"/>
  <c r="BO22" i="7"/>
  <c r="BN22" i="7"/>
  <c r="BM22" i="7"/>
  <c r="BL22" i="7"/>
  <c r="BK22" i="7"/>
  <c r="BH22" i="7"/>
  <c r="BG22" i="7"/>
  <c r="BF22" i="7"/>
  <c r="AX22" i="7" s="1"/>
  <c r="BE22" i="7"/>
  <c r="BD22" i="7"/>
  <c r="BC22" i="7"/>
  <c r="I22" i="7" s="1"/>
  <c r="BB22" i="7"/>
  <c r="BA22" i="7"/>
  <c r="AZ22" i="7"/>
  <c r="AW22" i="7"/>
  <c r="AY22" i="7" s="1"/>
  <c r="AV22" i="7"/>
  <c r="AU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Y22" i="7"/>
  <c r="W22" i="7"/>
  <c r="V22" i="7"/>
  <c r="U22" i="7"/>
  <c r="T22" i="7"/>
  <c r="S22" i="7"/>
  <c r="Q22" i="7"/>
  <c r="P22" i="7"/>
  <c r="O22" i="7"/>
  <c r="N22" i="7"/>
  <c r="M22" i="7"/>
  <c r="BJ22" i="7" s="1"/>
  <c r="L22" i="7"/>
  <c r="K22" i="7"/>
  <c r="J22" i="7"/>
  <c r="G22" i="7"/>
  <c r="F22" i="7"/>
  <c r="E22" i="7"/>
  <c r="D22" i="7"/>
  <c r="BX21" i="7"/>
  <c r="BY21" i="7" s="1"/>
  <c r="BW21" i="7"/>
  <c r="BV21" i="7"/>
  <c r="BU21" i="7"/>
  <c r="BT21" i="7"/>
  <c r="BS21" i="7"/>
  <c r="BR21" i="7"/>
  <c r="BQ21" i="7"/>
  <c r="BP21" i="7"/>
  <c r="BO21" i="7"/>
  <c r="BN21" i="7"/>
  <c r="BM21" i="7"/>
  <c r="BL21" i="7"/>
  <c r="BK21" i="7"/>
  <c r="BH21" i="7"/>
  <c r="BG21" i="7"/>
  <c r="BF21" i="7"/>
  <c r="AX21" i="7" s="1"/>
  <c r="BE21" i="7"/>
  <c r="BD21" i="7"/>
  <c r="BC21" i="7"/>
  <c r="H21" i="7" s="1"/>
  <c r="BB21" i="7"/>
  <c r="BA21" i="7"/>
  <c r="AZ21" i="7"/>
  <c r="AV21" i="7"/>
  <c r="AU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Y21" i="7"/>
  <c r="W21" i="7"/>
  <c r="V21" i="7"/>
  <c r="U21" i="7"/>
  <c r="T21" i="7"/>
  <c r="S21" i="7"/>
  <c r="Q21" i="7"/>
  <c r="P21" i="7"/>
  <c r="O21" i="7"/>
  <c r="N21" i="7"/>
  <c r="M21" i="7"/>
  <c r="BJ21" i="7" s="1"/>
  <c r="K21" i="7"/>
  <c r="F21" i="7"/>
  <c r="E21" i="7"/>
  <c r="D21" i="7"/>
  <c r="BX20" i="7"/>
  <c r="BY20" i="7" s="1"/>
  <c r="BW20" i="7"/>
  <c r="BV20" i="7"/>
  <c r="BU20" i="7"/>
  <c r="BT20" i="7"/>
  <c r="BS20" i="7"/>
  <c r="BR20" i="7"/>
  <c r="BQ20" i="7"/>
  <c r="BP20" i="7"/>
  <c r="BO20" i="7"/>
  <c r="BN20" i="7"/>
  <c r="BM20" i="7"/>
  <c r="BL20" i="7"/>
  <c r="BZ20" i="7" s="1"/>
  <c r="BK20" i="7"/>
  <c r="BJ20" i="7"/>
  <c r="BH20" i="7"/>
  <c r="BG20" i="7"/>
  <c r="BF20" i="7"/>
  <c r="K20" i="7" s="1"/>
  <c r="BE20" i="7"/>
  <c r="BD20" i="7"/>
  <c r="BC20" i="7"/>
  <c r="BB20" i="7"/>
  <c r="BA20" i="7"/>
  <c r="AZ20" i="7"/>
  <c r="AX20" i="7"/>
  <c r="AW20" i="7"/>
  <c r="AY20" i="7" s="1"/>
  <c r="AV20" i="7"/>
  <c r="AU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Y20" i="7"/>
  <c r="W20" i="7"/>
  <c r="V20" i="7"/>
  <c r="U20" i="7"/>
  <c r="T20" i="7"/>
  <c r="S20" i="7"/>
  <c r="Q20" i="7"/>
  <c r="P20" i="7"/>
  <c r="O20" i="7"/>
  <c r="N20" i="7"/>
  <c r="M20" i="7"/>
  <c r="L20" i="7"/>
  <c r="J20" i="7"/>
  <c r="I20" i="7"/>
  <c r="H20" i="7"/>
  <c r="G20" i="7"/>
  <c r="F20" i="7"/>
  <c r="E20" i="7"/>
  <c r="D20" i="7"/>
  <c r="BX19" i="7"/>
  <c r="BY19" i="7" s="1"/>
  <c r="BW19" i="7"/>
  <c r="BV19" i="7"/>
  <c r="BU19" i="7"/>
  <c r="BT19" i="7"/>
  <c r="BS19" i="7"/>
  <c r="BR19" i="7"/>
  <c r="BQ19" i="7"/>
  <c r="BP19" i="7"/>
  <c r="BO19" i="7"/>
  <c r="BN19" i="7"/>
  <c r="BM19" i="7"/>
  <c r="BL19" i="7"/>
  <c r="BK19" i="7"/>
  <c r="BH19" i="7"/>
  <c r="BG19" i="7"/>
  <c r="BF19" i="7"/>
  <c r="BE19" i="7"/>
  <c r="BD19" i="7"/>
  <c r="BC19" i="7"/>
  <c r="AW19" i="7" s="1"/>
  <c r="BB19" i="7"/>
  <c r="BA19" i="7"/>
  <c r="AZ19" i="7"/>
  <c r="AX19" i="7"/>
  <c r="AV19" i="7"/>
  <c r="AU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Y19" i="7"/>
  <c r="W19" i="7"/>
  <c r="V19" i="7"/>
  <c r="U19" i="7"/>
  <c r="T19" i="7"/>
  <c r="S19" i="7"/>
  <c r="Q19" i="7"/>
  <c r="P19" i="7"/>
  <c r="O19" i="7"/>
  <c r="N19" i="7"/>
  <c r="M19" i="7"/>
  <c r="BJ19" i="7" s="1"/>
  <c r="L19" i="7"/>
  <c r="K19" i="7"/>
  <c r="J19" i="7"/>
  <c r="F19" i="7"/>
  <c r="E19" i="7"/>
  <c r="D19" i="7"/>
  <c r="BX18" i="7"/>
  <c r="BY18" i="7" s="1"/>
  <c r="BW18" i="7"/>
  <c r="BV18" i="7"/>
  <c r="BU18" i="7"/>
  <c r="BT18" i="7"/>
  <c r="BS18" i="7"/>
  <c r="BR18" i="7"/>
  <c r="BQ18" i="7"/>
  <c r="BP18" i="7"/>
  <c r="BO18" i="7"/>
  <c r="BN18" i="7"/>
  <c r="BM18" i="7"/>
  <c r="BL18" i="7"/>
  <c r="BK18" i="7"/>
  <c r="BH18" i="7"/>
  <c r="BG18" i="7"/>
  <c r="BF18" i="7"/>
  <c r="AX18" i="7" s="1"/>
  <c r="BE18" i="7"/>
  <c r="BD18" i="7"/>
  <c r="BC18" i="7"/>
  <c r="I18" i="7" s="1"/>
  <c r="BB18" i="7"/>
  <c r="BA18" i="7"/>
  <c r="AZ18" i="7"/>
  <c r="AW18" i="7"/>
  <c r="AY18" i="7" s="1"/>
  <c r="AV18" i="7"/>
  <c r="AU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Y18" i="7"/>
  <c r="W18" i="7"/>
  <c r="V18" i="7"/>
  <c r="U18" i="7"/>
  <c r="T18" i="7"/>
  <c r="S18" i="7"/>
  <c r="Q18" i="7"/>
  <c r="P18" i="7"/>
  <c r="O18" i="7"/>
  <c r="N18" i="7"/>
  <c r="M18" i="7"/>
  <c r="BJ18" i="7" s="1"/>
  <c r="H18" i="7"/>
  <c r="F18" i="7"/>
  <c r="E18" i="7"/>
  <c r="D18" i="7"/>
  <c r="BX17" i="7"/>
  <c r="BY17" i="7" s="1"/>
  <c r="BW17" i="7"/>
  <c r="BV17" i="7"/>
  <c r="BU17" i="7"/>
  <c r="BT17" i="7"/>
  <c r="BS17" i="7"/>
  <c r="BR17" i="7"/>
  <c r="BQ17" i="7"/>
  <c r="BP17" i="7"/>
  <c r="BO17" i="7"/>
  <c r="BN17" i="7"/>
  <c r="BM17" i="7"/>
  <c r="BL17" i="7"/>
  <c r="BK17" i="7"/>
  <c r="BH17" i="7"/>
  <c r="BG17" i="7"/>
  <c r="BF17" i="7"/>
  <c r="AX17" i="7" s="1"/>
  <c r="BE17" i="7"/>
  <c r="BD17" i="7"/>
  <c r="BC17" i="7"/>
  <c r="AW17" i="7" s="1"/>
  <c r="BB17" i="7"/>
  <c r="BA17" i="7"/>
  <c r="AZ17" i="7"/>
  <c r="AV17" i="7"/>
  <c r="AU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Y17" i="7"/>
  <c r="W17" i="7"/>
  <c r="V17" i="7"/>
  <c r="U17" i="7"/>
  <c r="T17" i="7"/>
  <c r="S17" i="7"/>
  <c r="Q17" i="7"/>
  <c r="P17" i="7"/>
  <c r="O17" i="7"/>
  <c r="N17" i="7"/>
  <c r="M17" i="7"/>
  <c r="BJ17" i="7" s="1"/>
  <c r="I17" i="7"/>
  <c r="F17" i="7"/>
  <c r="E17" i="7"/>
  <c r="D17" i="7"/>
  <c r="BX16" i="7"/>
  <c r="BY16" i="7" s="1"/>
  <c r="BW16" i="7"/>
  <c r="BV16" i="7"/>
  <c r="BU16" i="7"/>
  <c r="BT16" i="7"/>
  <c r="BS16" i="7"/>
  <c r="BR16" i="7"/>
  <c r="BQ16" i="7"/>
  <c r="BP16" i="7"/>
  <c r="BO16" i="7"/>
  <c r="BN16" i="7"/>
  <c r="BM16" i="7"/>
  <c r="BL16" i="7"/>
  <c r="BK16" i="7"/>
  <c r="BH16" i="7"/>
  <c r="BG16" i="7"/>
  <c r="BF16" i="7"/>
  <c r="J16" i="7" s="1"/>
  <c r="BE16" i="7"/>
  <c r="BD16" i="7"/>
  <c r="BC16" i="7"/>
  <c r="I16" i="7" s="1"/>
  <c r="BB16" i="7"/>
  <c r="BA16" i="7"/>
  <c r="AZ16" i="7"/>
  <c r="AV16" i="7"/>
  <c r="AU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Y16" i="7"/>
  <c r="W16" i="7"/>
  <c r="V16" i="7"/>
  <c r="U16" i="7"/>
  <c r="T16" i="7"/>
  <c r="S16" i="7"/>
  <c r="Q16" i="7"/>
  <c r="P16" i="7"/>
  <c r="O16" i="7"/>
  <c r="N16" i="7"/>
  <c r="M16" i="7"/>
  <c r="BJ16" i="7" s="1"/>
  <c r="L16" i="7"/>
  <c r="K16" i="7"/>
  <c r="F16" i="7"/>
  <c r="E16" i="7"/>
  <c r="D16" i="7"/>
  <c r="BX15" i="7"/>
  <c r="BY15" i="7" s="1"/>
  <c r="BW15" i="7"/>
  <c r="BV15" i="7"/>
  <c r="BU15" i="7"/>
  <c r="BT15" i="7"/>
  <c r="BS15" i="7"/>
  <c r="BR15" i="7"/>
  <c r="BQ15" i="7"/>
  <c r="BP15" i="7"/>
  <c r="BO15" i="7"/>
  <c r="BN15" i="7"/>
  <c r="BM15" i="7"/>
  <c r="BL15" i="7"/>
  <c r="BK15" i="7"/>
  <c r="BH15" i="7"/>
  <c r="BG15" i="7"/>
  <c r="BF15" i="7"/>
  <c r="AX15" i="7" s="1"/>
  <c r="BE15" i="7"/>
  <c r="BD15" i="7"/>
  <c r="BC15" i="7"/>
  <c r="H15" i="7" s="1"/>
  <c r="BB15" i="7"/>
  <c r="BA15" i="7"/>
  <c r="AZ15" i="7"/>
  <c r="AV15" i="7"/>
  <c r="AU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Y15" i="7"/>
  <c r="W15" i="7"/>
  <c r="V15" i="7"/>
  <c r="U15" i="7"/>
  <c r="T15" i="7"/>
  <c r="S15" i="7"/>
  <c r="Q15" i="7"/>
  <c r="P15" i="7"/>
  <c r="O15" i="7"/>
  <c r="N15" i="7"/>
  <c r="M15" i="7"/>
  <c r="BJ15" i="7" s="1"/>
  <c r="K15" i="7"/>
  <c r="F15" i="7"/>
  <c r="E15" i="7"/>
  <c r="D15" i="7"/>
  <c r="BX14" i="7"/>
  <c r="BY14" i="7" s="1"/>
  <c r="BW14" i="7"/>
  <c r="BV14" i="7"/>
  <c r="BU14" i="7"/>
  <c r="BT14" i="7"/>
  <c r="BS14" i="7"/>
  <c r="BR14" i="7"/>
  <c r="BQ14" i="7"/>
  <c r="BP14" i="7"/>
  <c r="BO14" i="7"/>
  <c r="BN14" i="7"/>
  <c r="BM14" i="7"/>
  <c r="BL14" i="7"/>
  <c r="BK14" i="7"/>
  <c r="BH14" i="7"/>
  <c r="BG14" i="7"/>
  <c r="BF14" i="7"/>
  <c r="K14" i="7" s="1"/>
  <c r="BE14" i="7"/>
  <c r="BD14" i="7"/>
  <c r="BC14" i="7"/>
  <c r="BB14" i="7"/>
  <c r="BA14" i="7"/>
  <c r="AZ14" i="7"/>
  <c r="AW14" i="7"/>
  <c r="AV14" i="7"/>
  <c r="AU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Y14" i="7"/>
  <c r="W14" i="7"/>
  <c r="V14" i="7"/>
  <c r="U14" i="7"/>
  <c r="T14" i="7"/>
  <c r="S14" i="7"/>
  <c r="Q14" i="7"/>
  <c r="P14" i="7"/>
  <c r="O14" i="7"/>
  <c r="N14" i="7"/>
  <c r="M14" i="7"/>
  <c r="BJ14" i="7" s="1"/>
  <c r="L14" i="7"/>
  <c r="I14" i="7"/>
  <c r="H14" i="7"/>
  <c r="G14" i="7"/>
  <c r="F14" i="7"/>
  <c r="E14" i="7"/>
  <c r="D14" i="7"/>
  <c r="CF13" i="7"/>
  <c r="BX13" i="7"/>
  <c r="BY13" i="7" s="1"/>
  <c r="BW13" i="7"/>
  <c r="BV13" i="7"/>
  <c r="BU13" i="7"/>
  <c r="BT13" i="7"/>
  <c r="BS13" i="7"/>
  <c r="BR13" i="7"/>
  <c r="BQ13" i="7"/>
  <c r="BP13" i="7"/>
  <c r="BO13" i="7"/>
  <c r="BN13" i="7"/>
  <c r="BM13" i="7"/>
  <c r="BL13" i="7"/>
  <c r="BK13" i="7"/>
  <c r="BH13" i="7"/>
  <c r="BG13" i="7"/>
  <c r="BF13" i="7"/>
  <c r="K13" i="7" s="1"/>
  <c r="BE13" i="7"/>
  <c r="BD13" i="7"/>
  <c r="BC13" i="7"/>
  <c r="G13" i="7" s="1"/>
  <c r="BB13" i="7"/>
  <c r="BA13" i="7"/>
  <c r="AZ13" i="7"/>
  <c r="AX13" i="7"/>
  <c r="AV13" i="7"/>
  <c r="AU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Y13" i="7"/>
  <c r="W13" i="7"/>
  <c r="V13" i="7"/>
  <c r="U13" i="7"/>
  <c r="T13" i="7"/>
  <c r="S13" i="7"/>
  <c r="Q13" i="7"/>
  <c r="P13" i="7"/>
  <c r="O13" i="7"/>
  <c r="N13" i="7"/>
  <c r="M13" i="7"/>
  <c r="BJ13" i="7" s="1"/>
  <c r="L13" i="7"/>
  <c r="F13" i="7"/>
  <c r="E13" i="7"/>
  <c r="D13" i="7"/>
  <c r="BX12" i="7"/>
  <c r="BY12" i="7" s="1"/>
  <c r="BW12" i="7"/>
  <c r="BV12" i="7"/>
  <c r="BU12" i="7"/>
  <c r="BT12" i="7"/>
  <c r="BS12" i="7"/>
  <c r="BR12" i="7"/>
  <c r="BQ12" i="7"/>
  <c r="BP12" i="7"/>
  <c r="BO12" i="7"/>
  <c r="BN12" i="7"/>
  <c r="BM12" i="7"/>
  <c r="BL12" i="7"/>
  <c r="BK12" i="7"/>
  <c r="BJ12" i="7"/>
  <c r="BH12" i="7"/>
  <c r="BG12" i="7"/>
  <c r="BF12" i="7"/>
  <c r="BE12" i="7"/>
  <c r="BD12" i="7"/>
  <c r="BC12" i="7"/>
  <c r="H12" i="7" s="1"/>
  <c r="BB12" i="7"/>
  <c r="BA12" i="7"/>
  <c r="AZ12" i="7"/>
  <c r="AW12" i="7"/>
  <c r="AV12" i="7"/>
  <c r="AU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Y12" i="7"/>
  <c r="W12" i="7"/>
  <c r="V12" i="7"/>
  <c r="U12" i="7"/>
  <c r="T12" i="7"/>
  <c r="S12" i="7"/>
  <c r="Q12" i="7"/>
  <c r="P12" i="7"/>
  <c r="O12" i="7"/>
  <c r="N12" i="7"/>
  <c r="M12" i="7"/>
  <c r="F12" i="7"/>
  <c r="E12" i="7"/>
  <c r="D12" i="7"/>
  <c r="BX11" i="7"/>
  <c r="BY11" i="7" s="1"/>
  <c r="BW11" i="7"/>
  <c r="BV11" i="7"/>
  <c r="BU11" i="7"/>
  <c r="BT11" i="7"/>
  <c r="BS11" i="7"/>
  <c r="BR11" i="7"/>
  <c r="BQ11" i="7"/>
  <c r="BP11" i="7"/>
  <c r="BO11" i="7"/>
  <c r="BN11" i="7"/>
  <c r="BM11" i="7"/>
  <c r="BL11" i="7"/>
  <c r="BK11" i="7"/>
  <c r="BH11" i="7"/>
  <c r="BG11" i="7"/>
  <c r="BF11" i="7"/>
  <c r="AX11" i="7" s="1"/>
  <c r="BE11" i="7"/>
  <c r="BD11" i="7"/>
  <c r="BC11" i="7"/>
  <c r="AW11" i="7" s="1"/>
  <c r="AY11" i="7" s="1"/>
  <c r="BB11" i="7"/>
  <c r="BA11" i="7"/>
  <c r="AZ11" i="7"/>
  <c r="AV11" i="7"/>
  <c r="AU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Y11" i="7"/>
  <c r="W11" i="7"/>
  <c r="V11" i="7"/>
  <c r="U11" i="7"/>
  <c r="T11" i="7"/>
  <c r="S11" i="7"/>
  <c r="Q11" i="7"/>
  <c r="P11" i="7"/>
  <c r="O11" i="7"/>
  <c r="N11" i="7"/>
  <c r="M11" i="7"/>
  <c r="BJ11" i="7" s="1"/>
  <c r="F11" i="7"/>
  <c r="E11" i="7"/>
  <c r="D11" i="7"/>
  <c r="BX10" i="7"/>
  <c r="BY10" i="7" s="1"/>
  <c r="BW10" i="7"/>
  <c r="BV10" i="7"/>
  <c r="BU10" i="7"/>
  <c r="BT10" i="7"/>
  <c r="BS10" i="7"/>
  <c r="BR10" i="7"/>
  <c r="BQ10" i="7"/>
  <c r="BP10" i="7"/>
  <c r="BO10" i="7"/>
  <c r="BN10" i="7"/>
  <c r="BM10" i="7"/>
  <c r="BL10" i="7"/>
  <c r="BZ10" i="7" s="1"/>
  <c r="BK10" i="7"/>
  <c r="BH10" i="7"/>
  <c r="BG10" i="7"/>
  <c r="BF10" i="7"/>
  <c r="L10" i="7" s="1"/>
  <c r="BE10" i="7"/>
  <c r="BD10" i="7"/>
  <c r="BC10" i="7"/>
  <c r="I10" i="7" s="1"/>
  <c r="BB10" i="7"/>
  <c r="BA10" i="7"/>
  <c r="AZ10" i="7"/>
  <c r="AW10" i="7"/>
  <c r="AV10" i="7"/>
  <c r="AU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Y10" i="7"/>
  <c r="W10" i="7"/>
  <c r="V10" i="7"/>
  <c r="U10" i="7"/>
  <c r="T10" i="7"/>
  <c r="S10" i="7"/>
  <c r="Q10" i="7"/>
  <c r="P10" i="7"/>
  <c r="O10" i="7"/>
  <c r="N10" i="7"/>
  <c r="M10" i="7"/>
  <c r="BJ10" i="7" s="1"/>
  <c r="F10" i="7"/>
  <c r="E10" i="7"/>
  <c r="D10" i="7"/>
  <c r="BX9" i="7"/>
  <c r="BY9" i="7" s="1"/>
  <c r="BW9" i="7"/>
  <c r="BV9" i="7"/>
  <c r="BU9" i="7"/>
  <c r="BT9" i="7"/>
  <c r="BS9" i="7"/>
  <c r="BR9" i="7"/>
  <c r="BQ9" i="7"/>
  <c r="BP9" i="7"/>
  <c r="BO9" i="7"/>
  <c r="BN9" i="7"/>
  <c r="BM9" i="7"/>
  <c r="BL9" i="7"/>
  <c r="BK9" i="7"/>
  <c r="BH9" i="7"/>
  <c r="BG9" i="7"/>
  <c r="BF9" i="7"/>
  <c r="BE9" i="7"/>
  <c r="BD9" i="7"/>
  <c r="BC9" i="7"/>
  <c r="BB9" i="7"/>
  <c r="BA9" i="7"/>
  <c r="AZ9" i="7"/>
  <c r="AX9" i="7"/>
  <c r="AV9" i="7"/>
  <c r="AU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Y9" i="7"/>
  <c r="W9" i="7"/>
  <c r="V9" i="7"/>
  <c r="U9" i="7"/>
  <c r="T9" i="7"/>
  <c r="S9" i="7"/>
  <c r="Q9" i="7"/>
  <c r="P9" i="7"/>
  <c r="O9" i="7"/>
  <c r="N9" i="7"/>
  <c r="M9" i="7"/>
  <c r="BJ9" i="7" s="1"/>
  <c r="L9" i="7"/>
  <c r="K9" i="7"/>
  <c r="J9" i="7"/>
  <c r="I9" i="7"/>
  <c r="F9" i="7"/>
  <c r="E9" i="7"/>
  <c r="D9" i="7"/>
  <c r="BX8" i="7"/>
  <c r="BY8" i="7" s="1"/>
  <c r="BW8" i="7"/>
  <c r="BV8" i="7"/>
  <c r="BU8" i="7"/>
  <c r="BT8" i="7"/>
  <c r="BS8" i="7"/>
  <c r="BR8" i="7"/>
  <c r="BQ8" i="7"/>
  <c r="BP8" i="7"/>
  <c r="BO8" i="7"/>
  <c r="BN8" i="7"/>
  <c r="BM8" i="7"/>
  <c r="BL8" i="7"/>
  <c r="BK8" i="7"/>
  <c r="BH8" i="7"/>
  <c r="BG8" i="7"/>
  <c r="BF8" i="7"/>
  <c r="L8" i="7" s="1"/>
  <c r="BE8" i="7"/>
  <c r="BD8" i="7"/>
  <c r="BC8" i="7"/>
  <c r="H8" i="7" s="1"/>
  <c r="BB8" i="7"/>
  <c r="BA8" i="7"/>
  <c r="AZ8" i="7"/>
  <c r="AW8" i="7"/>
  <c r="AV8" i="7"/>
  <c r="AU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Y8" i="7"/>
  <c r="W8" i="7"/>
  <c r="V8" i="7"/>
  <c r="U8" i="7"/>
  <c r="T8" i="7"/>
  <c r="S8" i="7"/>
  <c r="Q8" i="7"/>
  <c r="P8" i="7"/>
  <c r="O8" i="7"/>
  <c r="N8" i="7"/>
  <c r="M8" i="7"/>
  <c r="BJ8" i="7" s="1"/>
  <c r="I8" i="7"/>
  <c r="F8" i="7"/>
  <c r="E8" i="7"/>
  <c r="D8" i="7"/>
  <c r="BX7" i="7"/>
  <c r="BY7" i="7" s="1"/>
  <c r="BW7" i="7"/>
  <c r="BV7" i="7"/>
  <c r="BU7" i="7"/>
  <c r="BT7" i="7"/>
  <c r="BS7" i="7"/>
  <c r="BR7" i="7"/>
  <c r="BQ7" i="7"/>
  <c r="BP7" i="7"/>
  <c r="BO7" i="7"/>
  <c r="BN7" i="7"/>
  <c r="BM7" i="7"/>
  <c r="BL7" i="7"/>
  <c r="BK7" i="7"/>
  <c r="BH7" i="7"/>
  <c r="BG7" i="7"/>
  <c r="BF7" i="7"/>
  <c r="AX7" i="7" s="1"/>
  <c r="BE7" i="7"/>
  <c r="BD7" i="7"/>
  <c r="BC7" i="7"/>
  <c r="G7" i="7" s="1"/>
  <c r="BB7" i="7"/>
  <c r="BA7" i="7"/>
  <c r="AZ7" i="7"/>
  <c r="AV7" i="7"/>
  <c r="AU7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Y7" i="7"/>
  <c r="W7" i="7"/>
  <c r="V7" i="7"/>
  <c r="U7" i="7"/>
  <c r="T7" i="7"/>
  <c r="S7" i="7"/>
  <c r="Q7" i="7"/>
  <c r="P7" i="7"/>
  <c r="O7" i="7"/>
  <c r="N7" i="7"/>
  <c r="M7" i="7"/>
  <c r="BJ7" i="7" s="1"/>
  <c r="L7" i="7"/>
  <c r="J7" i="7"/>
  <c r="F7" i="7"/>
  <c r="E7" i="7"/>
  <c r="D7" i="7"/>
  <c r="BX6" i="7"/>
  <c r="BY6" i="7" s="1"/>
  <c r="BW6" i="7"/>
  <c r="BV6" i="7"/>
  <c r="BU6" i="7"/>
  <c r="BT6" i="7"/>
  <c r="BS6" i="7"/>
  <c r="BR6" i="7"/>
  <c r="BQ6" i="7"/>
  <c r="BP6" i="7"/>
  <c r="BO6" i="7"/>
  <c r="BN6" i="7"/>
  <c r="BM6" i="7"/>
  <c r="BL6" i="7"/>
  <c r="BK6" i="7"/>
  <c r="B39" i="6" s="1"/>
  <c r="BH6" i="7"/>
  <c r="BG6" i="7"/>
  <c r="BF6" i="7"/>
  <c r="K6" i="7" s="1"/>
  <c r="BE6" i="7"/>
  <c r="BD6" i="7"/>
  <c r="BC6" i="7"/>
  <c r="B23" i="6" s="1"/>
  <c r="BB6" i="7"/>
  <c r="BA6" i="7"/>
  <c r="AZ6" i="7"/>
  <c r="AV6" i="7"/>
  <c r="AU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Y6" i="7"/>
  <c r="W6" i="7"/>
  <c r="V6" i="7"/>
  <c r="B21" i="6" s="1"/>
  <c r="U6" i="7"/>
  <c r="T6" i="7"/>
  <c r="S6" i="7"/>
  <c r="Q6" i="7"/>
  <c r="P6" i="7"/>
  <c r="O6" i="7"/>
  <c r="N6" i="7"/>
  <c r="M6" i="7"/>
  <c r="BJ6" i="7" s="1"/>
  <c r="F6" i="7"/>
  <c r="E6" i="7"/>
  <c r="D6" i="7"/>
  <c r="D161" i="6"/>
  <c r="E161" i="6" s="1"/>
  <c r="C161" i="6"/>
  <c r="B161" i="6"/>
  <c r="D160" i="6"/>
  <c r="E160" i="6" s="1"/>
  <c r="C160" i="6"/>
  <c r="B160" i="6"/>
  <c r="D159" i="6"/>
  <c r="E159" i="6" s="1"/>
  <c r="C159" i="6"/>
  <c r="B159" i="6"/>
  <c r="C158" i="6"/>
  <c r="B158" i="6"/>
  <c r="D157" i="6"/>
  <c r="E157" i="6" s="1"/>
  <c r="C157" i="6"/>
  <c r="B157" i="6"/>
  <c r="D156" i="6"/>
  <c r="E156" i="6" s="1"/>
  <c r="C156" i="6"/>
  <c r="B156" i="6"/>
  <c r="D155" i="6"/>
  <c r="E155" i="6" s="1"/>
  <c r="C155" i="6"/>
  <c r="B155" i="6"/>
  <c r="D154" i="6"/>
  <c r="E154" i="6" s="1"/>
  <c r="C154" i="6"/>
  <c r="B154" i="6"/>
  <c r="D153" i="6"/>
  <c r="E153" i="6" s="1"/>
  <c r="C153" i="6"/>
  <c r="B153" i="6"/>
  <c r="D152" i="6"/>
  <c r="E152" i="6" s="1"/>
  <c r="C152" i="6"/>
  <c r="B152" i="6"/>
  <c r="D151" i="6"/>
  <c r="E151" i="6" s="1"/>
  <c r="C151" i="6"/>
  <c r="B151" i="6"/>
  <c r="D150" i="6"/>
  <c r="E150" i="6" s="1"/>
  <c r="C150" i="6"/>
  <c r="B150" i="6"/>
  <c r="D149" i="6"/>
  <c r="E149" i="6" s="1"/>
  <c r="C149" i="6"/>
  <c r="B149" i="6"/>
  <c r="D148" i="6"/>
  <c r="E148" i="6" s="1"/>
  <c r="C148" i="6"/>
  <c r="B148" i="6"/>
  <c r="D147" i="6"/>
  <c r="E147" i="6" s="1"/>
  <c r="C147" i="6"/>
  <c r="B147" i="6"/>
  <c r="D146" i="6"/>
  <c r="E146" i="6" s="1"/>
  <c r="C146" i="6"/>
  <c r="B146" i="6"/>
  <c r="D145" i="6"/>
  <c r="E145" i="6" s="1"/>
  <c r="C145" i="6"/>
  <c r="B145" i="6"/>
  <c r="D144" i="6"/>
  <c r="E144" i="6" s="1"/>
  <c r="C144" i="6"/>
  <c r="B144" i="6"/>
  <c r="D143" i="6"/>
  <c r="E143" i="6" s="1"/>
  <c r="C143" i="6"/>
  <c r="B143" i="6"/>
  <c r="D142" i="6"/>
  <c r="E142" i="6" s="1"/>
  <c r="C142" i="6"/>
  <c r="B142" i="6"/>
  <c r="D141" i="6"/>
  <c r="E141" i="6" s="1"/>
  <c r="C141" i="6"/>
  <c r="B141" i="6"/>
  <c r="E140" i="6"/>
  <c r="D140" i="6"/>
  <c r="C140" i="6"/>
  <c r="B140" i="6"/>
  <c r="D139" i="6"/>
  <c r="E139" i="6" s="1"/>
  <c r="C139" i="6"/>
  <c r="B139" i="6"/>
  <c r="D138" i="6"/>
  <c r="E138" i="6" s="1"/>
  <c r="C138" i="6"/>
  <c r="B138" i="6"/>
  <c r="D137" i="6"/>
  <c r="E137" i="6" s="1"/>
  <c r="C137" i="6"/>
  <c r="B137" i="6"/>
  <c r="D136" i="6"/>
  <c r="E136" i="6" s="1"/>
  <c r="C136" i="6"/>
  <c r="B136" i="6"/>
  <c r="D135" i="6"/>
  <c r="E135" i="6" s="1"/>
  <c r="C135" i="6"/>
  <c r="B135" i="6"/>
  <c r="D134" i="6"/>
  <c r="E134" i="6" s="1"/>
  <c r="C134" i="6"/>
  <c r="B134" i="6"/>
  <c r="D133" i="6"/>
  <c r="E133" i="6" s="1"/>
  <c r="C133" i="6"/>
  <c r="B133" i="6"/>
  <c r="D132" i="6"/>
  <c r="E132" i="6" s="1"/>
  <c r="C132" i="6"/>
  <c r="B132" i="6"/>
  <c r="D131" i="6"/>
  <c r="E131" i="6" s="1"/>
  <c r="C131" i="6"/>
  <c r="B131" i="6"/>
  <c r="D130" i="6"/>
  <c r="E130" i="6" s="1"/>
  <c r="C130" i="6"/>
  <c r="B130" i="6"/>
  <c r="D129" i="6"/>
  <c r="E129" i="6" s="1"/>
  <c r="C129" i="6"/>
  <c r="B129" i="6"/>
  <c r="D128" i="6"/>
  <c r="E128" i="6" s="1"/>
  <c r="C128" i="6"/>
  <c r="B128" i="6"/>
  <c r="D127" i="6"/>
  <c r="E127" i="6" s="1"/>
  <c r="C127" i="6"/>
  <c r="B127" i="6"/>
  <c r="D126" i="6"/>
  <c r="E126" i="6" s="1"/>
  <c r="C126" i="6"/>
  <c r="B126" i="6"/>
  <c r="D125" i="6"/>
  <c r="E125" i="6" s="1"/>
  <c r="C125" i="6"/>
  <c r="B125" i="6"/>
  <c r="D124" i="6"/>
  <c r="E124" i="6" s="1"/>
  <c r="C124" i="6"/>
  <c r="B124" i="6"/>
  <c r="D123" i="6"/>
  <c r="E123" i="6" s="1"/>
  <c r="C123" i="6"/>
  <c r="B123" i="6"/>
  <c r="D122" i="6"/>
  <c r="E122" i="6" s="1"/>
  <c r="C122" i="6"/>
  <c r="B122" i="6"/>
  <c r="D121" i="6"/>
  <c r="E121" i="6" s="1"/>
  <c r="C121" i="6"/>
  <c r="B121" i="6"/>
  <c r="D120" i="6"/>
  <c r="E120" i="6" s="1"/>
  <c r="C120" i="6"/>
  <c r="B120" i="6"/>
  <c r="D119" i="6"/>
  <c r="E119" i="6" s="1"/>
  <c r="C119" i="6"/>
  <c r="B119" i="6"/>
  <c r="D118" i="6"/>
  <c r="E118" i="6" s="1"/>
  <c r="C118" i="6"/>
  <c r="B118" i="6"/>
  <c r="D117" i="6"/>
  <c r="E117" i="6" s="1"/>
  <c r="C117" i="6"/>
  <c r="B117" i="6"/>
  <c r="D116" i="6"/>
  <c r="E116" i="6" s="1"/>
  <c r="C116" i="6"/>
  <c r="B116" i="6"/>
  <c r="D115" i="6"/>
  <c r="E115" i="6" s="1"/>
  <c r="C115" i="6"/>
  <c r="B115" i="6"/>
  <c r="D114" i="6"/>
  <c r="E114" i="6" s="1"/>
  <c r="C114" i="6"/>
  <c r="B114" i="6"/>
  <c r="D113" i="6"/>
  <c r="E113" i="6" s="1"/>
  <c r="C113" i="6"/>
  <c r="B113" i="6"/>
  <c r="D112" i="6"/>
  <c r="E112" i="6" s="1"/>
  <c r="C112" i="6"/>
  <c r="B112" i="6"/>
  <c r="D111" i="6"/>
  <c r="E111" i="6" s="1"/>
  <c r="C111" i="6"/>
  <c r="B111" i="6"/>
  <c r="D110" i="6"/>
  <c r="E110" i="6" s="1"/>
  <c r="C110" i="6"/>
  <c r="B110" i="6"/>
  <c r="D109" i="6"/>
  <c r="E109" i="6" s="1"/>
  <c r="C109" i="6"/>
  <c r="B109" i="6"/>
  <c r="D108" i="6"/>
  <c r="E108" i="6" s="1"/>
  <c r="C108" i="6"/>
  <c r="B108" i="6"/>
  <c r="C107" i="6"/>
  <c r="B107" i="6"/>
  <c r="C106" i="6"/>
  <c r="B106" i="6"/>
  <c r="C105" i="6"/>
  <c r="B105" i="6"/>
  <c r="D104" i="6"/>
  <c r="E104" i="6" s="1"/>
  <c r="C104" i="6"/>
  <c r="B104" i="6"/>
  <c r="D103" i="6"/>
  <c r="E103" i="6" s="1"/>
  <c r="C103" i="6"/>
  <c r="B103" i="6"/>
  <c r="D102" i="6"/>
  <c r="E102" i="6" s="1"/>
  <c r="C102" i="6"/>
  <c r="B102" i="6"/>
  <c r="D101" i="6"/>
  <c r="E101" i="6" s="1"/>
  <c r="C101" i="6"/>
  <c r="B101" i="6"/>
  <c r="D100" i="6"/>
  <c r="E100" i="6" s="1"/>
  <c r="C100" i="6"/>
  <c r="B100" i="6"/>
  <c r="D99" i="6"/>
  <c r="E99" i="6" s="1"/>
  <c r="C99" i="6"/>
  <c r="B99" i="6"/>
  <c r="E98" i="6"/>
  <c r="D98" i="6"/>
  <c r="C98" i="6"/>
  <c r="B98" i="6"/>
  <c r="D97" i="6"/>
  <c r="E97" i="6" s="1"/>
  <c r="C97" i="6"/>
  <c r="B97" i="6"/>
  <c r="D96" i="6"/>
  <c r="E96" i="6" s="1"/>
  <c r="C96" i="6"/>
  <c r="B96" i="6"/>
  <c r="D95" i="6"/>
  <c r="E95" i="6" s="1"/>
  <c r="C95" i="6"/>
  <c r="B95" i="6"/>
  <c r="D94" i="6"/>
  <c r="E94" i="6" s="1"/>
  <c r="C94" i="6"/>
  <c r="B94" i="6"/>
  <c r="D93" i="6"/>
  <c r="E93" i="6" s="1"/>
  <c r="C93" i="6"/>
  <c r="B93" i="6"/>
  <c r="D92" i="6"/>
  <c r="E92" i="6" s="1"/>
  <c r="C92" i="6"/>
  <c r="B92" i="6"/>
  <c r="D91" i="6"/>
  <c r="E91" i="6" s="1"/>
  <c r="C91" i="6"/>
  <c r="B91" i="6"/>
  <c r="D90" i="6"/>
  <c r="E90" i="6" s="1"/>
  <c r="C90" i="6"/>
  <c r="B90" i="6"/>
  <c r="D89" i="6"/>
  <c r="E89" i="6" s="1"/>
  <c r="C89" i="6"/>
  <c r="B89" i="6"/>
  <c r="D88" i="6"/>
  <c r="E88" i="6" s="1"/>
  <c r="C88" i="6"/>
  <c r="B88" i="6"/>
  <c r="D87" i="6"/>
  <c r="E87" i="6" s="1"/>
  <c r="C87" i="6"/>
  <c r="B87" i="6"/>
  <c r="D86" i="6"/>
  <c r="E86" i="6" s="1"/>
  <c r="C86" i="6"/>
  <c r="B86" i="6"/>
  <c r="E85" i="6"/>
  <c r="D85" i="6"/>
  <c r="C85" i="6"/>
  <c r="B85" i="6"/>
  <c r="D84" i="6"/>
  <c r="E84" i="6" s="1"/>
  <c r="C84" i="6"/>
  <c r="B84" i="6"/>
  <c r="D83" i="6"/>
  <c r="E83" i="6" s="1"/>
  <c r="C83" i="6"/>
  <c r="B83" i="6"/>
  <c r="D82" i="6"/>
  <c r="E82" i="6" s="1"/>
  <c r="C82" i="6"/>
  <c r="B82" i="6"/>
  <c r="D81" i="6"/>
  <c r="E81" i="6" s="1"/>
  <c r="C81" i="6"/>
  <c r="B81" i="6"/>
  <c r="D80" i="6"/>
  <c r="E80" i="6" s="1"/>
  <c r="C80" i="6"/>
  <c r="B80" i="6"/>
  <c r="D79" i="6"/>
  <c r="E79" i="6" s="1"/>
  <c r="C79" i="6"/>
  <c r="B79" i="6"/>
  <c r="D78" i="6"/>
  <c r="E78" i="6" s="1"/>
  <c r="C78" i="6"/>
  <c r="B78" i="6"/>
  <c r="D77" i="6"/>
  <c r="E77" i="6" s="1"/>
  <c r="C77" i="6"/>
  <c r="B77" i="6"/>
  <c r="D76" i="6"/>
  <c r="E76" i="6" s="1"/>
  <c r="C76" i="6"/>
  <c r="B76" i="6"/>
  <c r="D75" i="6"/>
  <c r="E75" i="6" s="1"/>
  <c r="C75" i="6"/>
  <c r="B75" i="6"/>
  <c r="D74" i="6"/>
  <c r="E74" i="6" s="1"/>
  <c r="C74" i="6"/>
  <c r="B74" i="6"/>
  <c r="D73" i="6"/>
  <c r="E73" i="6" s="1"/>
  <c r="C73" i="6"/>
  <c r="B73" i="6"/>
  <c r="D72" i="6"/>
  <c r="E72" i="6" s="1"/>
  <c r="C72" i="6"/>
  <c r="B72" i="6"/>
  <c r="D71" i="6"/>
  <c r="E71" i="6" s="1"/>
  <c r="C71" i="6"/>
  <c r="B71" i="6"/>
  <c r="D70" i="6"/>
  <c r="E70" i="6" s="1"/>
  <c r="C70" i="6"/>
  <c r="B70" i="6"/>
  <c r="D69" i="6"/>
  <c r="E69" i="6" s="1"/>
  <c r="C69" i="6"/>
  <c r="B69" i="6"/>
  <c r="D68" i="6"/>
  <c r="E68" i="6" s="1"/>
  <c r="C68" i="6"/>
  <c r="B68" i="6"/>
  <c r="D67" i="6"/>
  <c r="E67" i="6" s="1"/>
  <c r="C67" i="6"/>
  <c r="B67" i="6"/>
  <c r="D66" i="6"/>
  <c r="E66" i="6" s="1"/>
  <c r="C66" i="6"/>
  <c r="B66" i="6"/>
  <c r="D65" i="6"/>
  <c r="E65" i="6" s="1"/>
  <c r="C65" i="6"/>
  <c r="B65" i="6"/>
  <c r="D64" i="6"/>
  <c r="E64" i="6" s="1"/>
  <c r="C64" i="6"/>
  <c r="B64" i="6"/>
  <c r="D63" i="6"/>
  <c r="E63" i="6" s="1"/>
  <c r="C63" i="6"/>
  <c r="B63" i="6"/>
  <c r="D62" i="6"/>
  <c r="E62" i="6" s="1"/>
  <c r="C62" i="6"/>
  <c r="B62" i="6"/>
  <c r="D61" i="6"/>
  <c r="E61" i="6" s="1"/>
  <c r="C61" i="6"/>
  <c r="B61" i="6"/>
  <c r="D60" i="6"/>
  <c r="E60" i="6" s="1"/>
  <c r="C60" i="6"/>
  <c r="B60" i="6"/>
  <c r="D59" i="6"/>
  <c r="E59" i="6" s="1"/>
  <c r="C59" i="6"/>
  <c r="B59" i="6"/>
  <c r="D58" i="6"/>
  <c r="E58" i="6" s="1"/>
  <c r="C58" i="6"/>
  <c r="B58" i="6"/>
  <c r="D57" i="6"/>
  <c r="E57" i="6" s="1"/>
  <c r="C57" i="6"/>
  <c r="B57" i="6"/>
  <c r="D56" i="6"/>
  <c r="E56" i="6" s="1"/>
  <c r="C56" i="6"/>
  <c r="B56" i="6"/>
  <c r="D55" i="6"/>
  <c r="E55" i="6" s="1"/>
  <c r="C55" i="6"/>
  <c r="B55" i="6"/>
  <c r="D54" i="6"/>
  <c r="E54" i="6" s="1"/>
  <c r="C54" i="6"/>
  <c r="B54" i="6"/>
  <c r="D53" i="6"/>
  <c r="E53" i="6" s="1"/>
  <c r="C53" i="6"/>
  <c r="B53" i="6"/>
  <c r="D52" i="6"/>
  <c r="E52" i="6" s="1"/>
  <c r="C52" i="6"/>
  <c r="B52" i="6"/>
  <c r="D51" i="6"/>
  <c r="E51" i="6" s="1"/>
  <c r="C51" i="6"/>
  <c r="B51" i="6"/>
  <c r="D50" i="6"/>
  <c r="E50" i="6" s="1"/>
  <c r="C50" i="6"/>
  <c r="B50" i="6"/>
  <c r="D49" i="6"/>
  <c r="E49" i="6" s="1"/>
  <c r="C49" i="6"/>
  <c r="B49" i="6"/>
  <c r="D48" i="6"/>
  <c r="E48" i="6" s="1"/>
  <c r="C48" i="6"/>
  <c r="B48" i="6"/>
  <c r="D47" i="6"/>
  <c r="E47" i="6" s="1"/>
  <c r="C47" i="6"/>
  <c r="B47" i="6"/>
  <c r="D46" i="6"/>
  <c r="E46" i="6" s="1"/>
  <c r="C46" i="6"/>
  <c r="B46" i="6"/>
  <c r="D45" i="6"/>
  <c r="E45" i="6" s="1"/>
  <c r="C45" i="6"/>
  <c r="B45" i="6"/>
  <c r="B38" i="6"/>
  <c r="B31" i="6"/>
  <c r="B30" i="6"/>
  <c r="B25" i="6"/>
  <c r="B24" i="6"/>
  <c r="B22" i="6"/>
  <c r="E3" i="6"/>
  <c r="E344" i="5"/>
  <c r="C25" i="5" s="1"/>
  <c r="A334" i="5"/>
  <c r="E328" i="5"/>
  <c r="A318" i="5"/>
  <c r="E312" i="5"/>
  <c r="C23" i="5" s="1"/>
  <c r="A302" i="5"/>
  <c r="E296" i="5"/>
  <c r="C22" i="5" s="1"/>
  <c r="A286" i="5"/>
  <c r="E280" i="5"/>
  <c r="A270" i="5"/>
  <c r="E264" i="5"/>
  <c r="A254" i="5"/>
  <c r="E248" i="5"/>
  <c r="C19" i="5" s="1"/>
  <c r="A238" i="5"/>
  <c r="E232" i="5"/>
  <c r="C18" i="5" s="1"/>
  <c r="A222" i="5"/>
  <c r="E216" i="5"/>
  <c r="A206" i="5"/>
  <c r="E200" i="5"/>
  <c r="C16" i="5" s="1"/>
  <c r="A190" i="5"/>
  <c r="E184" i="5"/>
  <c r="A174" i="5"/>
  <c r="E168" i="5"/>
  <c r="A158" i="5"/>
  <c r="E152" i="5"/>
  <c r="CR13" i="7" s="1"/>
  <c r="CT13" i="7" s="1"/>
  <c r="A142" i="5"/>
  <c r="E136" i="5"/>
  <c r="A126" i="5"/>
  <c r="E120" i="5"/>
  <c r="C11" i="5" s="1"/>
  <c r="A110" i="5"/>
  <c r="E104" i="5"/>
  <c r="C10" i="5" s="1"/>
  <c r="A94" i="5"/>
  <c r="E88" i="5"/>
  <c r="CE9" i="7" s="1"/>
  <c r="A78" i="5"/>
  <c r="E72" i="5"/>
  <c r="A62" i="5"/>
  <c r="E56" i="5"/>
  <c r="CR7" i="7" s="1"/>
  <c r="CT7" i="7" s="1"/>
  <c r="A46" i="5"/>
  <c r="E40" i="5"/>
  <c r="CA6" i="7" s="1"/>
  <c r="A30" i="5"/>
  <c r="F25" i="5"/>
  <c r="E25" i="5"/>
  <c r="D25" i="5"/>
  <c r="B25" i="5"/>
  <c r="F24" i="5"/>
  <c r="E24" i="5"/>
  <c r="D24" i="5"/>
  <c r="B24" i="5"/>
  <c r="F23" i="5"/>
  <c r="E23" i="5"/>
  <c r="D23" i="5"/>
  <c r="B23" i="5"/>
  <c r="F22" i="5"/>
  <c r="E22" i="5"/>
  <c r="D22" i="5"/>
  <c r="B22" i="5"/>
  <c r="F21" i="5"/>
  <c r="E21" i="5"/>
  <c r="D21" i="5"/>
  <c r="B21" i="5"/>
  <c r="F20" i="5"/>
  <c r="E20" i="5"/>
  <c r="D20" i="5"/>
  <c r="C20" i="5"/>
  <c r="B20" i="5"/>
  <c r="F19" i="5"/>
  <c r="E19" i="5"/>
  <c r="D19" i="5"/>
  <c r="B19" i="5"/>
  <c r="F18" i="5"/>
  <c r="E18" i="5"/>
  <c r="D18" i="5"/>
  <c r="B18" i="5"/>
  <c r="F17" i="5"/>
  <c r="E17" i="5"/>
  <c r="D17" i="5"/>
  <c r="B17" i="5"/>
  <c r="F16" i="5"/>
  <c r="E16" i="5"/>
  <c r="D16" i="5"/>
  <c r="B16" i="5"/>
  <c r="F15" i="5"/>
  <c r="E15" i="5"/>
  <c r="D15" i="5"/>
  <c r="B15" i="5"/>
  <c r="F14" i="5"/>
  <c r="E14" i="5"/>
  <c r="D14" i="5"/>
  <c r="B14" i="5"/>
  <c r="F13" i="5"/>
  <c r="E13" i="5"/>
  <c r="D13" i="5"/>
  <c r="C13" i="5"/>
  <c r="B13" i="5"/>
  <c r="F12" i="5"/>
  <c r="E12" i="5"/>
  <c r="D12" i="5"/>
  <c r="B12" i="5"/>
  <c r="F11" i="5"/>
  <c r="E11" i="5"/>
  <c r="D11" i="5"/>
  <c r="B11" i="5"/>
  <c r="F10" i="5"/>
  <c r="E10" i="5"/>
  <c r="D10" i="5"/>
  <c r="B10" i="5"/>
  <c r="F9" i="5"/>
  <c r="E9" i="5"/>
  <c r="D9" i="5"/>
  <c r="B9" i="5"/>
  <c r="F8" i="5"/>
  <c r="E8" i="5"/>
  <c r="D8" i="5"/>
  <c r="C8" i="5"/>
  <c r="B8" i="5"/>
  <c r="F7" i="5"/>
  <c r="E7" i="5"/>
  <c r="D7" i="5"/>
  <c r="B7" i="5"/>
  <c r="F6" i="5"/>
  <c r="E6" i="5"/>
  <c r="D6" i="5"/>
  <c r="B6" i="5"/>
  <c r="AC154" i="4"/>
  <c r="AC151" i="4" s="1"/>
  <c r="AB154" i="4"/>
  <c r="AA154" i="4"/>
  <c r="AA152" i="4" s="1"/>
  <c r="Z154" i="4"/>
  <c r="Z152" i="4" s="1"/>
  <c r="Y154" i="4"/>
  <c r="Y153" i="4" s="1"/>
  <c r="X154" i="4"/>
  <c r="X153" i="4" s="1"/>
  <c r="W154" i="4"/>
  <c r="W151" i="4" s="1"/>
  <c r="V154" i="4"/>
  <c r="V153" i="4" s="1"/>
  <c r="U154" i="4"/>
  <c r="U153" i="4" s="1"/>
  <c r="T154" i="4"/>
  <c r="T153" i="4" s="1"/>
  <c r="S154" i="4"/>
  <c r="S153" i="4" s="1"/>
  <c r="R154" i="4"/>
  <c r="R152" i="4" s="1"/>
  <c r="Q154" i="4"/>
  <c r="Q151" i="4" s="1"/>
  <c r="P154" i="4"/>
  <c r="O154" i="4"/>
  <c r="O152" i="4" s="1"/>
  <c r="N154" i="4"/>
  <c r="N153" i="4" s="1"/>
  <c r="M154" i="4"/>
  <c r="M153" i="4" s="1"/>
  <c r="L154" i="4"/>
  <c r="L153" i="4" s="1"/>
  <c r="K154" i="4"/>
  <c r="K153" i="4" s="1"/>
  <c r="J154" i="4"/>
  <c r="J153" i="4" s="1"/>
  <c r="V152" i="4"/>
  <c r="U152" i="4"/>
  <c r="S152" i="4"/>
  <c r="M152" i="4"/>
  <c r="S151" i="4"/>
  <c r="R151" i="4"/>
  <c r="O151" i="4"/>
  <c r="I150" i="4"/>
  <c r="I149" i="4"/>
  <c r="I148" i="4"/>
  <c r="I147" i="4"/>
  <c r="AC132" i="4"/>
  <c r="AC126" i="4" s="1"/>
  <c r="AB132" i="4"/>
  <c r="AA132" i="4"/>
  <c r="AA126" i="4" s="1"/>
  <c r="Z132" i="4"/>
  <c r="Z125" i="4" s="1"/>
  <c r="Y132" i="4"/>
  <c r="Y124" i="4" s="1"/>
  <c r="X132" i="4"/>
  <c r="X125" i="4" s="1"/>
  <c r="W132" i="4"/>
  <c r="W125" i="4" s="1"/>
  <c r="V132" i="4"/>
  <c r="V124" i="4" s="1"/>
  <c r="U132" i="4"/>
  <c r="U124" i="4" s="1"/>
  <c r="T132" i="4"/>
  <c r="T124" i="4" s="1"/>
  <c r="S132" i="4"/>
  <c r="S124" i="4" s="1"/>
  <c r="R132" i="4"/>
  <c r="R126" i="4" s="1"/>
  <c r="Q132" i="4"/>
  <c r="Q126" i="4" s="1"/>
  <c r="P132" i="4"/>
  <c r="P125" i="4" s="1"/>
  <c r="O132" i="4"/>
  <c r="O126" i="4" s="1"/>
  <c r="N132" i="4"/>
  <c r="N126" i="4" s="1"/>
  <c r="M132" i="4"/>
  <c r="M126" i="4" s="1"/>
  <c r="L132" i="4"/>
  <c r="L126" i="4" s="1"/>
  <c r="K132" i="4"/>
  <c r="K126" i="4" s="1"/>
  <c r="J132" i="4"/>
  <c r="J124" i="4" s="1"/>
  <c r="AC131" i="4"/>
  <c r="AC123" i="4" s="1"/>
  <c r="AB131" i="4"/>
  <c r="AB123" i="4" s="1"/>
  <c r="AA131" i="4"/>
  <c r="AA123" i="4" s="1"/>
  <c r="Z131" i="4"/>
  <c r="Z122" i="4" s="1"/>
  <c r="Y131" i="4"/>
  <c r="Y122" i="4" s="1"/>
  <c r="X131" i="4"/>
  <c r="W131" i="4"/>
  <c r="W122" i="4" s="1"/>
  <c r="V131" i="4"/>
  <c r="V123" i="4" s="1"/>
  <c r="U131" i="4"/>
  <c r="U123" i="4" s="1"/>
  <c r="T131" i="4"/>
  <c r="T123" i="4" s="1"/>
  <c r="S131" i="4"/>
  <c r="S121" i="4" s="1"/>
  <c r="R131" i="4"/>
  <c r="R123" i="4" s="1"/>
  <c r="R144" i="4" s="1"/>
  <c r="Q131" i="4"/>
  <c r="Q123" i="4" s="1"/>
  <c r="P131" i="4"/>
  <c r="P123" i="4" s="1"/>
  <c r="O131" i="4"/>
  <c r="O123" i="4" s="1"/>
  <c r="N131" i="4"/>
  <c r="N122" i="4" s="1"/>
  <c r="M131" i="4"/>
  <c r="M122" i="4" s="1"/>
  <c r="L131" i="4"/>
  <c r="K131" i="4"/>
  <c r="K122" i="4" s="1"/>
  <c r="J131" i="4"/>
  <c r="J123" i="4" s="1"/>
  <c r="AC130" i="4"/>
  <c r="AC118" i="4" s="1"/>
  <c r="AB130" i="4"/>
  <c r="AB118" i="4" s="1"/>
  <c r="AA130" i="4"/>
  <c r="AA118" i="4" s="1"/>
  <c r="Z130" i="4"/>
  <c r="Z119" i="4" s="1"/>
  <c r="Y130" i="4"/>
  <c r="Y119" i="4" s="1"/>
  <c r="X130" i="4"/>
  <c r="X119" i="4" s="1"/>
  <c r="W130" i="4"/>
  <c r="W119" i="4" s="1"/>
  <c r="V130" i="4"/>
  <c r="V118" i="4" s="1"/>
  <c r="U130" i="4"/>
  <c r="U118" i="4" s="1"/>
  <c r="T130" i="4"/>
  <c r="S130" i="4"/>
  <c r="S118" i="4" s="1"/>
  <c r="S139" i="4" s="1"/>
  <c r="R130" i="4"/>
  <c r="R120" i="4" s="1"/>
  <c r="Q130" i="4"/>
  <c r="Q120" i="4" s="1"/>
  <c r="P130" i="4"/>
  <c r="P119" i="4" s="1"/>
  <c r="O130" i="4"/>
  <c r="O120" i="4" s="1"/>
  <c r="N130" i="4"/>
  <c r="N119" i="4" s="1"/>
  <c r="M130" i="4"/>
  <c r="M119" i="4" s="1"/>
  <c r="L130" i="4"/>
  <c r="L119" i="4" s="1"/>
  <c r="K130" i="4"/>
  <c r="K119" i="4" s="1"/>
  <c r="J130" i="4"/>
  <c r="J118" i="4" s="1"/>
  <c r="AC129" i="4"/>
  <c r="AC117" i="4" s="1"/>
  <c r="AB129" i="4"/>
  <c r="AA129" i="4"/>
  <c r="AA117" i="4" s="1"/>
  <c r="Z129" i="4"/>
  <c r="Z115" i="4" s="1"/>
  <c r="Y129" i="4"/>
  <c r="Y117" i="4" s="1"/>
  <c r="X129" i="4"/>
  <c r="W129" i="4"/>
  <c r="W117" i="4" s="1"/>
  <c r="V129" i="4"/>
  <c r="V115" i="4" s="1"/>
  <c r="U129" i="4"/>
  <c r="U115" i="4" s="1"/>
  <c r="T129" i="4"/>
  <c r="T115" i="4" s="1"/>
  <c r="S129" i="4"/>
  <c r="S115" i="4" s="1"/>
  <c r="R129" i="4"/>
  <c r="R117" i="4" s="1"/>
  <c r="Q129" i="4"/>
  <c r="Q117" i="4" s="1"/>
  <c r="P129" i="4"/>
  <c r="O129" i="4"/>
  <c r="O117" i="4" s="1"/>
  <c r="N129" i="4"/>
  <c r="N117" i="4" s="1"/>
  <c r="M129" i="4"/>
  <c r="M116" i="4" s="1"/>
  <c r="M137" i="4" s="1"/>
  <c r="L129" i="4"/>
  <c r="L115" i="4" s="1"/>
  <c r="K129" i="4"/>
  <c r="K116" i="4" s="1"/>
  <c r="J129" i="4"/>
  <c r="J115" i="4" s="1"/>
  <c r="AC128" i="4"/>
  <c r="AB128" i="4"/>
  <c r="AB114" i="4" s="1"/>
  <c r="AA128" i="4"/>
  <c r="AA114" i="4" s="1"/>
  <c r="Z128" i="4"/>
  <c r="Z113" i="4" s="1"/>
  <c r="Y128" i="4"/>
  <c r="Y113" i="4" s="1"/>
  <c r="Y137" i="4" s="1"/>
  <c r="X128" i="4"/>
  <c r="X112" i="4" s="1"/>
  <c r="W128" i="4"/>
  <c r="W113" i="4" s="1"/>
  <c r="V128" i="4"/>
  <c r="V112" i="4" s="1"/>
  <c r="U128" i="4"/>
  <c r="U113" i="4" s="1"/>
  <c r="T128" i="4"/>
  <c r="J61" i="4" s="1"/>
  <c r="S128" i="4"/>
  <c r="J60" i="4" s="1"/>
  <c r="L60" i="4" s="1"/>
  <c r="R128" i="4"/>
  <c r="R114" i="4" s="1"/>
  <c r="R138" i="4" s="1"/>
  <c r="Q128" i="4"/>
  <c r="P128" i="4"/>
  <c r="P114" i="4" s="1"/>
  <c r="O128" i="4"/>
  <c r="O114" i="4" s="1"/>
  <c r="N128" i="4"/>
  <c r="N113" i="4" s="1"/>
  <c r="M128" i="4"/>
  <c r="M113" i="4" s="1"/>
  <c r="L128" i="4"/>
  <c r="L112" i="4" s="1"/>
  <c r="L136" i="4" s="1"/>
  <c r="K128" i="4"/>
  <c r="K113" i="4" s="1"/>
  <c r="J128" i="4"/>
  <c r="J113" i="4" s="1"/>
  <c r="X126" i="4"/>
  <c r="U126" i="4"/>
  <c r="T126" i="4"/>
  <c r="AB125" i="4"/>
  <c r="Y125" i="4"/>
  <c r="R125" i="4"/>
  <c r="Q125" i="4"/>
  <c r="AC124" i="4"/>
  <c r="X124" i="4"/>
  <c r="M124" i="4"/>
  <c r="L124" i="4"/>
  <c r="K124" i="4"/>
  <c r="Y123" i="4"/>
  <c r="U122" i="4"/>
  <c r="T122" i="4"/>
  <c r="Z121" i="4"/>
  <c r="Y121" i="4"/>
  <c r="N121" i="4"/>
  <c r="M121" i="4"/>
  <c r="J121" i="4"/>
  <c r="AC120" i="4"/>
  <c r="AB120" i="4"/>
  <c r="AA120" i="4"/>
  <c r="Z120" i="4"/>
  <c r="V120" i="4"/>
  <c r="L120" i="4"/>
  <c r="J120" i="4"/>
  <c r="AC119" i="4"/>
  <c r="S119" i="4"/>
  <c r="S140" i="4" s="1"/>
  <c r="R119" i="4"/>
  <c r="Q119" i="4"/>
  <c r="Q118" i="4"/>
  <c r="P118" i="4"/>
  <c r="Z117" i="4"/>
  <c r="X117" i="4"/>
  <c r="AC116" i="4"/>
  <c r="AA116" i="4"/>
  <c r="Z116" i="4"/>
  <c r="Y116" i="4"/>
  <c r="X116" i="4"/>
  <c r="R116" i="4"/>
  <c r="Y115" i="4"/>
  <c r="X115" i="4"/>
  <c r="Q115" i="4"/>
  <c r="O115" i="4"/>
  <c r="N115" i="4"/>
  <c r="M114" i="4"/>
  <c r="V113" i="4"/>
  <c r="T113" i="4"/>
  <c r="AB112" i="4"/>
  <c r="Z112" i="4"/>
  <c r="Y112" i="4"/>
  <c r="T112" i="4"/>
  <c r="T136" i="4" s="1"/>
  <c r="P112" i="4"/>
  <c r="O112" i="4"/>
  <c r="O136" i="4" s="1"/>
  <c r="N112" i="4"/>
  <c r="N136" i="4" s="1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U70" i="4"/>
  <c r="U69" i="4"/>
  <c r="U68" i="4"/>
  <c r="U67" i="4"/>
  <c r="U66" i="4"/>
  <c r="J66" i="4"/>
  <c r="U65" i="4"/>
  <c r="U64" i="4"/>
  <c r="U63" i="4"/>
  <c r="U62" i="4"/>
  <c r="U61" i="4"/>
  <c r="U60" i="4"/>
  <c r="U59" i="4"/>
  <c r="U58" i="4"/>
  <c r="U57" i="4"/>
  <c r="AT12" i="7" s="1"/>
  <c r="U56" i="4"/>
  <c r="AT11" i="7" s="1"/>
  <c r="U55" i="4"/>
  <c r="U54" i="4"/>
  <c r="U53" i="4"/>
  <c r="U52" i="4"/>
  <c r="U51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I89" i="3"/>
  <c r="BI25" i="7" s="1"/>
  <c r="I88" i="3"/>
  <c r="BI24" i="7" s="1"/>
  <c r="I87" i="3"/>
  <c r="BI23" i="7" s="1"/>
  <c r="I86" i="3"/>
  <c r="BI22" i="7" s="1"/>
  <c r="I85" i="3"/>
  <c r="BI21" i="7" s="1"/>
  <c r="I84" i="3"/>
  <c r="BI20" i="7" s="1"/>
  <c r="I83" i="3"/>
  <c r="BI19" i="7" s="1"/>
  <c r="I82" i="3"/>
  <c r="BI18" i="7" s="1"/>
  <c r="I81" i="3"/>
  <c r="BI17" i="7" s="1"/>
  <c r="I80" i="3"/>
  <c r="BI16" i="7" s="1"/>
  <c r="I79" i="3"/>
  <c r="BI15" i="7" s="1"/>
  <c r="I78" i="3"/>
  <c r="BI14" i="7" s="1"/>
  <c r="I77" i="3"/>
  <c r="BI13" i="7" s="1"/>
  <c r="I76" i="3"/>
  <c r="BI12" i="7" s="1"/>
  <c r="I75" i="3"/>
  <c r="BI11" i="7" s="1"/>
  <c r="I74" i="3"/>
  <c r="BI10" i="7" s="1"/>
  <c r="I73" i="3"/>
  <c r="BI9" i="7" s="1"/>
  <c r="I72" i="3"/>
  <c r="BI8" i="7" s="1"/>
  <c r="I71" i="3"/>
  <c r="BI7" i="7" s="1"/>
  <c r="I70" i="3"/>
  <c r="BI6" i="7" s="1"/>
  <c r="B32" i="6" s="1"/>
  <c r="AC60" i="3"/>
  <c r="CK25" i="7" s="1"/>
  <c r="AB60" i="3"/>
  <c r="CK24" i="7" s="1"/>
  <c r="AA60" i="3"/>
  <c r="CK23" i="7" s="1"/>
  <c r="Z60" i="3"/>
  <c r="CK22" i="7" s="1"/>
  <c r="Y60" i="3"/>
  <c r="CK21" i="7" s="1"/>
  <c r="X60" i="3"/>
  <c r="CK20" i="7" s="1"/>
  <c r="W60" i="3"/>
  <c r="CK19" i="7" s="1"/>
  <c r="V60" i="3"/>
  <c r="CK18" i="7" s="1"/>
  <c r="U60" i="3"/>
  <c r="CK17" i="7" s="1"/>
  <c r="T60" i="3"/>
  <c r="CK16" i="7" s="1"/>
  <c r="S60" i="3"/>
  <c r="CK15" i="7" s="1"/>
  <c r="R60" i="3"/>
  <c r="CK14" i="7" s="1"/>
  <c r="Q60" i="3"/>
  <c r="CK13" i="7" s="1"/>
  <c r="P60" i="3"/>
  <c r="CK12" i="7" s="1"/>
  <c r="O60" i="3"/>
  <c r="CK11" i="7" s="1"/>
  <c r="N60" i="3"/>
  <c r="CK10" i="7" s="1"/>
  <c r="M60" i="3"/>
  <c r="CK9" i="7" s="1"/>
  <c r="L60" i="3"/>
  <c r="CK8" i="7" s="1"/>
  <c r="K60" i="3"/>
  <c r="CK7" i="7" s="1"/>
  <c r="J60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D107" i="6" s="1"/>
  <c r="E107" i="6" s="1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C27" i="3"/>
  <c r="Z25" i="7" s="1"/>
  <c r="R25" i="7" s="1"/>
  <c r="AB27" i="3"/>
  <c r="Z24" i="7" s="1"/>
  <c r="R24" i="7" s="1"/>
  <c r="AA27" i="3"/>
  <c r="Z23" i="7" s="1"/>
  <c r="R23" i="7" s="1"/>
  <c r="Z27" i="3"/>
  <c r="Z22" i="7" s="1"/>
  <c r="R22" i="7" s="1"/>
  <c r="Y27" i="3"/>
  <c r="Z21" i="7" s="1"/>
  <c r="R21" i="7" s="1"/>
  <c r="X27" i="3"/>
  <c r="Z20" i="7" s="1"/>
  <c r="R20" i="7" s="1"/>
  <c r="W27" i="3"/>
  <c r="Z19" i="7" s="1"/>
  <c r="R19" i="7" s="1"/>
  <c r="V27" i="3"/>
  <c r="Z18" i="7" s="1"/>
  <c r="R18" i="7" s="1"/>
  <c r="U27" i="3"/>
  <c r="Z17" i="7" s="1"/>
  <c r="R17" i="7" s="1"/>
  <c r="T27" i="3"/>
  <c r="Z16" i="7" s="1"/>
  <c r="R16" i="7" s="1"/>
  <c r="S27" i="3"/>
  <c r="Z15" i="7" s="1"/>
  <c r="R15" i="7" s="1"/>
  <c r="R27" i="3"/>
  <c r="Z14" i="7" s="1"/>
  <c r="R14" i="7" s="1"/>
  <c r="Q27" i="3"/>
  <c r="Z13" i="7" s="1"/>
  <c r="R13" i="7" s="1"/>
  <c r="P27" i="3"/>
  <c r="Z12" i="7" s="1"/>
  <c r="R12" i="7" s="1"/>
  <c r="O27" i="3"/>
  <c r="Z11" i="7" s="1"/>
  <c r="R11" i="7" s="1"/>
  <c r="N27" i="3"/>
  <c r="Z10" i="7" s="1"/>
  <c r="R10" i="7" s="1"/>
  <c r="M27" i="3"/>
  <c r="Z9" i="7" s="1"/>
  <c r="R9" i="7" s="1"/>
  <c r="L27" i="3"/>
  <c r="Z8" i="7" s="1"/>
  <c r="R8" i="7" s="1"/>
  <c r="K27" i="3"/>
  <c r="Z7" i="7" s="1"/>
  <c r="R7" i="7" s="1"/>
  <c r="J27" i="3"/>
  <c r="Z6" i="7" s="1"/>
  <c r="R6" i="7" s="1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D105" i="6" s="1"/>
  <c r="E105" i="6" s="1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K152" i="4" l="1"/>
  <c r="V126" i="4"/>
  <c r="AA139" i="4"/>
  <c r="K151" i="4"/>
  <c r="J114" i="4"/>
  <c r="N118" i="4"/>
  <c r="J122" i="4"/>
  <c r="V125" i="4"/>
  <c r="L151" i="4"/>
  <c r="BZ18" i="7"/>
  <c r="R112" i="4"/>
  <c r="K114" i="4"/>
  <c r="W115" i="4"/>
  <c r="O118" i="4"/>
  <c r="O139" i="4" s="1"/>
  <c r="AB119" i="4"/>
  <c r="AB140" i="4" s="1"/>
  <c r="S122" i="4"/>
  <c r="N124" i="4"/>
  <c r="Z126" i="4"/>
  <c r="M151" i="4"/>
  <c r="BZ9" i="7"/>
  <c r="BZ13" i="7"/>
  <c r="W112" i="4"/>
  <c r="T114" i="4"/>
  <c r="R118" i="4"/>
  <c r="K120" i="4"/>
  <c r="K141" i="4" s="1"/>
  <c r="V122" i="4"/>
  <c r="AA125" i="4"/>
  <c r="X136" i="4"/>
  <c r="Y152" i="4"/>
  <c r="I11" i="7"/>
  <c r="S114" i="4"/>
  <c r="S138" i="4" s="1"/>
  <c r="Z124" i="4"/>
  <c r="Z142" i="4" s="1"/>
  <c r="K67" i="4" s="1"/>
  <c r="H11" i="7"/>
  <c r="U114" i="4"/>
  <c r="AA115" i="4"/>
  <c r="J117" i="4"/>
  <c r="Z118" i="4"/>
  <c r="R121" i="4"/>
  <c r="K125" i="4"/>
  <c r="K143" i="4" s="1"/>
  <c r="Y143" i="4"/>
  <c r="X151" i="4"/>
  <c r="B40" i="6"/>
  <c r="E40" i="6" s="1"/>
  <c r="G8" i="7"/>
  <c r="I15" i="7"/>
  <c r="I21" i="7"/>
  <c r="J136" i="4"/>
  <c r="W152" i="4"/>
  <c r="W140" i="4" s="1"/>
  <c r="J112" i="4"/>
  <c r="Z136" i="4"/>
  <c r="V114" i="4"/>
  <c r="L116" i="4"/>
  <c r="K117" i="4"/>
  <c r="N120" i="4"/>
  <c r="T121" i="4"/>
  <c r="L125" i="4"/>
  <c r="J126" i="4"/>
  <c r="J144" i="4" s="1"/>
  <c r="Y151" i="4"/>
  <c r="G10" i="7"/>
  <c r="J15" i="7"/>
  <c r="J21" i="7"/>
  <c r="I25" i="7"/>
  <c r="J25" i="7"/>
  <c r="K112" i="4"/>
  <c r="W114" i="4"/>
  <c r="N116" i="4"/>
  <c r="N137" i="4" s="1"/>
  <c r="L117" i="4"/>
  <c r="P120" i="4"/>
  <c r="U121" i="4"/>
  <c r="M125" i="4"/>
  <c r="M143" i="4" s="1"/>
  <c r="O138" i="4"/>
  <c r="AA138" i="4"/>
  <c r="K140" i="4"/>
  <c r="O144" i="4"/>
  <c r="AA144" i="4"/>
  <c r="Z151" i="4"/>
  <c r="Z139" i="4" s="1"/>
  <c r="H10" i="7"/>
  <c r="V116" i="4"/>
  <c r="V137" i="4" s="1"/>
  <c r="BZ8" i="7"/>
  <c r="O116" i="4"/>
  <c r="M117" i="4"/>
  <c r="M138" i="4" s="1"/>
  <c r="O119" i="4"/>
  <c r="O140" i="4" s="1"/>
  <c r="V121" i="4"/>
  <c r="N125" i="4"/>
  <c r="AA151" i="4"/>
  <c r="Z153" i="4"/>
  <c r="J8" i="7"/>
  <c r="J13" i="7"/>
  <c r="CN13" i="7" s="1"/>
  <c r="L15" i="7"/>
  <c r="AY17" i="7"/>
  <c r="L21" i="7"/>
  <c r="Z141" i="4"/>
  <c r="AX8" i="7"/>
  <c r="M112" i="4"/>
  <c r="M136" i="4" s="1"/>
  <c r="K54" i="4" s="1"/>
  <c r="R113" i="4"/>
  <c r="R137" i="4" s="1"/>
  <c r="M115" i="4"/>
  <c r="Q116" i="4"/>
  <c r="W121" i="4"/>
  <c r="O125" i="4"/>
  <c r="M140" i="4"/>
  <c r="Y140" i="4"/>
  <c r="Q144" i="4"/>
  <c r="AC144" i="4"/>
  <c r="B16" i="6"/>
  <c r="K8" i="7"/>
  <c r="AW16" i="7"/>
  <c r="AY16" i="7" s="1"/>
  <c r="AY23" i="7"/>
  <c r="O113" i="4"/>
  <c r="L118" i="4"/>
  <c r="BZ11" i="7"/>
  <c r="G24" i="7"/>
  <c r="S112" i="4"/>
  <c r="S136" i="4" s="1"/>
  <c r="K60" i="4" s="1"/>
  <c r="P113" i="4"/>
  <c r="N139" i="4"/>
  <c r="K55" i="4" s="1"/>
  <c r="W126" i="4"/>
  <c r="V136" i="4"/>
  <c r="Z140" i="4"/>
  <c r="J142" i="4"/>
  <c r="V142" i="4"/>
  <c r="N151" i="4"/>
  <c r="X152" i="4"/>
  <c r="X140" i="4" s="1"/>
  <c r="BZ16" i="7"/>
  <c r="BZ17" i="7"/>
  <c r="H24" i="7"/>
  <c r="K25" i="7"/>
  <c r="BZ21" i="7"/>
  <c r="U142" i="4"/>
  <c r="CC6" i="7"/>
  <c r="B6" i="6" s="1"/>
  <c r="I24" i="7"/>
  <c r="L25" i="7"/>
  <c r="U112" i="4"/>
  <c r="U136" i="4" s="1"/>
  <c r="S113" i="4"/>
  <c r="T116" i="4"/>
  <c r="T137" i="4" s="1"/>
  <c r="R140" i="4"/>
  <c r="K121" i="4"/>
  <c r="K142" i="4" s="1"/>
  <c r="AB122" i="4"/>
  <c r="AB143" i="4" s="1"/>
  <c r="Q124" i="4"/>
  <c r="AC125" i="4"/>
  <c r="Y126" i="4"/>
  <c r="Y144" i="4" s="1"/>
  <c r="J152" i="4"/>
  <c r="H6" i="7"/>
  <c r="H23" i="7"/>
  <c r="S142" i="4"/>
  <c r="J137" i="4"/>
  <c r="N141" i="4"/>
  <c r="W138" i="4"/>
  <c r="S117" i="4"/>
  <c r="M142" i="4"/>
  <c r="AA121" i="4"/>
  <c r="W124" i="4"/>
  <c r="W142" i="4" s="1"/>
  <c r="AX14" i="7"/>
  <c r="AY14" i="7" s="1"/>
  <c r="BZ14" i="7"/>
  <c r="BZ15" i="7"/>
  <c r="I23" i="7"/>
  <c r="L141" i="4"/>
  <c r="AA122" i="4"/>
  <c r="AA143" i="4" s="1"/>
  <c r="AX10" i="7"/>
  <c r="AY10" i="7" s="1"/>
  <c r="J52" i="4"/>
  <c r="L52" i="4" s="1"/>
  <c r="W136" i="4"/>
  <c r="Y114" i="4"/>
  <c r="Y138" i="4" s="1"/>
  <c r="AC115" i="4"/>
  <c r="W116" i="4"/>
  <c r="T117" i="4"/>
  <c r="R139" i="4"/>
  <c r="U119" i="4"/>
  <c r="U140" i="4" s="1"/>
  <c r="S120" i="4"/>
  <c r="N142" i="4"/>
  <c r="AB121" i="4"/>
  <c r="M123" i="4"/>
  <c r="M144" i="4" s="1"/>
  <c r="L152" i="4"/>
  <c r="L140" i="4" s="1"/>
  <c r="AX16" i="7"/>
  <c r="J63" i="4"/>
  <c r="M63" i="4" s="1"/>
  <c r="AY19" i="7"/>
  <c r="J64" i="4"/>
  <c r="L64" i="4" s="1"/>
  <c r="K115" i="4"/>
  <c r="J116" i="4"/>
  <c r="V117" i="4"/>
  <c r="V138" i="4" s="1"/>
  <c r="W118" i="4"/>
  <c r="W139" i="4" s="1"/>
  <c r="AA119" i="4"/>
  <c r="AA140" i="4" s="1"/>
  <c r="U120" i="4"/>
  <c r="U141" i="4" s="1"/>
  <c r="O121" i="4"/>
  <c r="S123" i="4"/>
  <c r="S125" i="4"/>
  <c r="K137" i="4"/>
  <c r="W137" i="4"/>
  <c r="W143" i="4"/>
  <c r="T151" i="4"/>
  <c r="J10" i="7"/>
  <c r="BZ24" i="7"/>
  <c r="BZ25" i="7"/>
  <c r="T142" i="4"/>
  <c r="AY25" i="7"/>
  <c r="J51" i="4"/>
  <c r="M51" i="4" s="1"/>
  <c r="Y142" i="4"/>
  <c r="Y136" i="4"/>
  <c r="AA113" i="4"/>
  <c r="AA137" i="4" s="1"/>
  <c r="X118" i="4"/>
  <c r="V141" i="4"/>
  <c r="P121" i="4"/>
  <c r="O122" i="4"/>
  <c r="O143" i="4" s="1"/>
  <c r="T125" i="4"/>
  <c r="T143" i="4" s="1"/>
  <c r="U151" i="4"/>
  <c r="U139" i="4" s="1"/>
  <c r="N152" i="4"/>
  <c r="N140" i="4" s="1"/>
  <c r="BZ7" i="7"/>
  <c r="K10" i="7"/>
  <c r="BZ23" i="7"/>
  <c r="S143" i="4"/>
  <c r="J56" i="4"/>
  <c r="L56" i="4" s="1"/>
  <c r="AB113" i="4"/>
  <c r="W120" i="4"/>
  <c r="P122" i="4"/>
  <c r="V151" i="4"/>
  <c r="V139" i="4" s="1"/>
  <c r="W153" i="4"/>
  <c r="AW6" i="7"/>
  <c r="CA7" i="7"/>
  <c r="BZ12" i="7"/>
  <c r="J14" i="7"/>
  <c r="G16" i="7"/>
  <c r="BZ22" i="7"/>
  <c r="K118" i="4"/>
  <c r="S116" i="4"/>
  <c r="AA112" i="4"/>
  <c r="J138" i="4"/>
  <c r="J141" i="4"/>
  <c r="X120" i="4"/>
  <c r="X141" i="4" s="1"/>
  <c r="R122" i="4"/>
  <c r="R143" i="4" s="1"/>
  <c r="V144" i="4"/>
  <c r="J125" i="4"/>
  <c r="J143" i="4" s="1"/>
  <c r="S126" i="4"/>
  <c r="Z137" i="4"/>
  <c r="N143" i="4"/>
  <c r="Z143" i="4"/>
  <c r="J151" i="4"/>
  <c r="J139" i="4" s="1"/>
  <c r="T152" i="4"/>
  <c r="C6" i="5"/>
  <c r="BZ6" i="7"/>
  <c r="B36" i="6" s="1"/>
  <c r="H17" i="7"/>
  <c r="BZ19" i="7"/>
  <c r="Q140" i="4"/>
  <c r="O66" i="4"/>
  <c r="N66" i="4"/>
  <c r="M66" i="4"/>
  <c r="L66" i="4"/>
  <c r="Q114" i="4"/>
  <c r="Q138" i="4" s="1"/>
  <c r="J58" i="4"/>
  <c r="AC114" i="4"/>
  <c r="AC138" i="4" s="1"/>
  <c r="J70" i="4"/>
  <c r="U116" i="4"/>
  <c r="U137" i="4" s="1"/>
  <c r="M118" i="4"/>
  <c r="M139" i="4" s="1"/>
  <c r="AC139" i="4"/>
  <c r="AT10" i="7"/>
  <c r="AR10" i="7"/>
  <c r="CU10" i="7"/>
  <c r="N61" i="4"/>
  <c r="M61" i="4"/>
  <c r="L61" i="4"/>
  <c r="CU18" i="7"/>
  <c r="AT18" i="7"/>
  <c r="AR18" i="7"/>
  <c r="M120" i="4"/>
  <c r="M141" i="4" s="1"/>
  <c r="Y120" i="4"/>
  <c r="Y141" i="4" s="1"/>
  <c r="Q121" i="4"/>
  <c r="Q142" i="4" s="1"/>
  <c r="AC121" i="4"/>
  <c r="AC142" i="4" s="1"/>
  <c r="AC122" i="4"/>
  <c r="P152" i="4"/>
  <c r="P140" i="4" s="1"/>
  <c r="P153" i="4"/>
  <c r="AB152" i="4"/>
  <c r="AB153" i="4"/>
  <c r="AB141" i="4" s="1"/>
  <c r="Q152" i="4"/>
  <c r="Q153" i="4"/>
  <c r="Q141" i="4" s="1"/>
  <c r="AC152" i="4"/>
  <c r="AC140" i="4" s="1"/>
  <c r="AC153" i="4"/>
  <c r="AC141" i="4" s="1"/>
  <c r="O61" i="4"/>
  <c r="Q112" i="4"/>
  <c r="Q136" i="4" s="1"/>
  <c r="AC112" i="4"/>
  <c r="AC113" i="4"/>
  <c r="AC137" i="4" s="1"/>
  <c r="D158" i="6"/>
  <c r="E158" i="6" s="1"/>
  <c r="CK6" i="7"/>
  <c r="B20" i="6" s="1"/>
  <c r="U117" i="4"/>
  <c r="Q139" i="4"/>
  <c r="P143" i="4"/>
  <c r="CD9" i="7"/>
  <c r="CL9" i="7" s="1"/>
  <c r="CB9" i="7"/>
  <c r="CI9" i="7"/>
  <c r="CH9" i="7"/>
  <c r="CP9" i="7" s="1"/>
  <c r="CR9" i="7"/>
  <c r="CT9" i="7" s="1"/>
  <c r="CF9" i="7"/>
  <c r="CN9" i="7" s="1"/>
  <c r="C9" i="5"/>
  <c r="CQ9" i="7"/>
  <c r="CS9" i="7" s="1"/>
  <c r="CJ9" i="7"/>
  <c r="CG9" i="7"/>
  <c r="CO9" i="7" s="1"/>
  <c r="CA9" i="7"/>
  <c r="CC9" i="7" s="1"/>
  <c r="CD15" i="7"/>
  <c r="CL15" i="7" s="1"/>
  <c r="CB15" i="7"/>
  <c r="CA15" i="7"/>
  <c r="CC15" i="7" s="1"/>
  <c r="CJ15" i="7"/>
  <c r="CI15" i="7"/>
  <c r="CH15" i="7"/>
  <c r="CP15" i="7" s="1"/>
  <c r="CG15" i="7"/>
  <c r="CO15" i="7" s="1"/>
  <c r="CR15" i="7"/>
  <c r="CT15" i="7" s="1"/>
  <c r="CF15" i="7"/>
  <c r="CQ15" i="7"/>
  <c r="CS15" i="7" s="1"/>
  <c r="CE15" i="7"/>
  <c r="CD21" i="7"/>
  <c r="CL21" i="7" s="1"/>
  <c r="CB21" i="7"/>
  <c r="CA21" i="7"/>
  <c r="CC21" i="7" s="1"/>
  <c r="CJ21" i="7"/>
  <c r="CI21" i="7"/>
  <c r="CH21" i="7"/>
  <c r="CP21" i="7" s="1"/>
  <c r="CG21" i="7"/>
  <c r="CO21" i="7" s="1"/>
  <c r="CR21" i="7"/>
  <c r="CT21" i="7" s="1"/>
  <c r="CF21" i="7"/>
  <c r="CN21" i="7" s="1"/>
  <c r="CQ21" i="7"/>
  <c r="CS21" i="7" s="1"/>
  <c r="CE21" i="7"/>
  <c r="C21" i="5"/>
  <c r="Q122" i="4"/>
  <c r="Q143" i="4" s="1"/>
  <c r="T144" i="4"/>
  <c r="J54" i="4"/>
  <c r="J62" i="4"/>
  <c r="AT22" i="7"/>
  <c r="AR22" i="7"/>
  <c r="CU22" i="7"/>
  <c r="U144" i="4"/>
  <c r="U125" i="4"/>
  <c r="U143" i="4" s="1"/>
  <c r="L113" i="4"/>
  <c r="L137" i="4" s="1"/>
  <c r="L114" i="4"/>
  <c r="J53" i="4"/>
  <c r="X113" i="4"/>
  <c r="X137" i="4" s="1"/>
  <c r="X114" i="4"/>
  <c r="X138" i="4" s="1"/>
  <c r="J65" i="4"/>
  <c r="P117" i="4"/>
  <c r="P138" i="4" s="1"/>
  <c r="P115" i="4"/>
  <c r="P136" i="4" s="1"/>
  <c r="AB117" i="4"/>
  <c r="AB138" i="4" s="1"/>
  <c r="AB115" i="4"/>
  <c r="AB136" i="4" s="1"/>
  <c r="T118" i="4"/>
  <c r="T119" i="4"/>
  <c r="L122" i="4"/>
  <c r="L123" i="4"/>
  <c r="L144" i="4" s="1"/>
  <c r="X122" i="4"/>
  <c r="X143" i="4" s="1"/>
  <c r="X123" i="4"/>
  <c r="X144" i="4" s="1"/>
  <c r="P126" i="4"/>
  <c r="P144" i="4" s="1"/>
  <c r="P124" i="4"/>
  <c r="P142" i="4" s="1"/>
  <c r="AB126" i="4"/>
  <c r="AB144" i="4" s="1"/>
  <c r="AB124" i="4"/>
  <c r="AB142" i="4" s="1"/>
  <c r="CC7" i="7"/>
  <c r="Q113" i="4"/>
  <c r="P116" i="4"/>
  <c r="AB116" i="4"/>
  <c r="S141" i="4"/>
  <c r="CU6" i="7"/>
  <c r="AR6" i="7"/>
  <c r="B33" i="6" s="1"/>
  <c r="AT6" i="7"/>
  <c r="B35" i="6" s="1"/>
  <c r="AT17" i="7"/>
  <c r="AR17" i="7"/>
  <c r="CU17" i="7"/>
  <c r="Y118" i="4"/>
  <c r="Y139" i="4" s="1"/>
  <c r="T120" i="4"/>
  <c r="T141" i="4" s="1"/>
  <c r="L121" i="4"/>
  <c r="L142" i="4" s="1"/>
  <c r="X121" i="4"/>
  <c r="X142" i="4" s="1"/>
  <c r="P151" i="4"/>
  <c r="P139" i="4" s="1"/>
  <c r="AB151" i="4"/>
  <c r="AB139" i="4" s="1"/>
  <c r="C15" i="5"/>
  <c r="AT16" i="7"/>
  <c r="AR16" i="7"/>
  <c r="CU16" i="7"/>
  <c r="CB8" i="7"/>
  <c r="CA8" i="7"/>
  <c r="CC8" i="7" s="1"/>
  <c r="CJ8" i="7"/>
  <c r="CI8" i="7"/>
  <c r="CG8" i="7"/>
  <c r="CO8" i="7" s="1"/>
  <c r="CR8" i="7"/>
  <c r="CT8" i="7" s="1"/>
  <c r="CF8" i="7"/>
  <c r="CN8" i="7" s="1"/>
  <c r="CD8" i="7"/>
  <c r="CL8" i="7" s="1"/>
  <c r="CB14" i="7"/>
  <c r="CA14" i="7"/>
  <c r="CC14" i="7" s="1"/>
  <c r="CJ14" i="7"/>
  <c r="CI14" i="7"/>
  <c r="CH14" i="7"/>
  <c r="CP14" i="7" s="1"/>
  <c r="CG14" i="7"/>
  <c r="CO14" i="7" s="1"/>
  <c r="CR14" i="7"/>
  <c r="CT14" i="7" s="1"/>
  <c r="CF14" i="7"/>
  <c r="CQ14" i="7"/>
  <c r="CS14" i="7" s="1"/>
  <c r="CE14" i="7"/>
  <c r="CD14" i="7"/>
  <c r="CL14" i="7" s="1"/>
  <c r="CB20" i="7"/>
  <c r="CA20" i="7"/>
  <c r="CC20" i="7" s="1"/>
  <c r="CJ20" i="7"/>
  <c r="CI20" i="7"/>
  <c r="CH20" i="7"/>
  <c r="CP20" i="7" s="1"/>
  <c r="CG20" i="7"/>
  <c r="CO20" i="7" s="1"/>
  <c r="CR20" i="7"/>
  <c r="CT20" i="7" s="1"/>
  <c r="CF20" i="7"/>
  <c r="CN20" i="7" s="1"/>
  <c r="CQ20" i="7"/>
  <c r="CS20" i="7" s="1"/>
  <c r="CE20" i="7"/>
  <c r="CD20" i="7"/>
  <c r="CL20" i="7" s="1"/>
  <c r="CE11" i="7"/>
  <c r="AX12" i="7"/>
  <c r="AY12" i="7" s="1"/>
  <c r="L12" i="7"/>
  <c r="J12" i="7"/>
  <c r="AY8" i="7"/>
  <c r="CI11" i="7"/>
  <c r="AT7" i="7"/>
  <c r="AR7" i="7"/>
  <c r="M60" i="4"/>
  <c r="CU19" i="7"/>
  <c r="AT19" i="7"/>
  <c r="AR19" i="7"/>
  <c r="AR8" i="7"/>
  <c r="CU8" i="7"/>
  <c r="AT8" i="7"/>
  <c r="N60" i="4"/>
  <c r="AR20" i="7"/>
  <c r="CU20" i="7"/>
  <c r="AT20" i="7"/>
  <c r="K123" i="4"/>
  <c r="K144" i="4" s="1"/>
  <c r="W123" i="4"/>
  <c r="O124" i="4"/>
  <c r="AA124" i="4"/>
  <c r="O153" i="4"/>
  <c r="O141" i="4" s="1"/>
  <c r="AA153" i="4"/>
  <c r="AA141" i="4" s="1"/>
  <c r="CR10" i="7"/>
  <c r="CT10" i="7" s="1"/>
  <c r="CF10" i="7"/>
  <c r="CN10" i="7" s="1"/>
  <c r="CQ10" i="7"/>
  <c r="CS10" i="7" s="1"/>
  <c r="CE10" i="7"/>
  <c r="CD10" i="7"/>
  <c r="CL10" i="7" s="1"/>
  <c r="CB10" i="7"/>
  <c r="CA10" i="7"/>
  <c r="CC10" i="7" s="1"/>
  <c r="CJ10" i="7"/>
  <c r="CH10" i="7"/>
  <c r="CP10" i="7" s="1"/>
  <c r="CR16" i="7"/>
  <c r="CT16" i="7" s="1"/>
  <c r="CF16" i="7"/>
  <c r="CN16" i="7" s="1"/>
  <c r="CQ16" i="7"/>
  <c r="CS16" i="7" s="1"/>
  <c r="CE16" i="7"/>
  <c r="CD16" i="7"/>
  <c r="CL16" i="7" s="1"/>
  <c r="CB16" i="7"/>
  <c r="CA16" i="7"/>
  <c r="CC16" i="7" s="1"/>
  <c r="CJ16" i="7"/>
  <c r="CI16" i="7"/>
  <c r="CH16" i="7"/>
  <c r="CP16" i="7" s="1"/>
  <c r="CG16" i="7"/>
  <c r="CO16" i="7" s="1"/>
  <c r="CR22" i="7"/>
  <c r="CT22" i="7" s="1"/>
  <c r="CF22" i="7"/>
  <c r="CN22" i="7" s="1"/>
  <c r="CQ22" i="7"/>
  <c r="CS22" i="7" s="1"/>
  <c r="CE22" i="7"/>
  <c r="CD22" i="7"/>
  <c r="CL22" i="7" s="1"/>
  <c r="CB22" i="7"/>
  <c r="CA22" i="7"/>
  <c r="CC22" i="7" s="1"/>
  <c r="CJ22" i="7"/>
  <c r="CI22" i="7"/>
  <c r="CH22" i="7"/>
  <c r="CP22" i="7" s="1"/>
  <c r="CG22" i="7"/>
  <c r="CO22" i="7" s="1"/>
  <c r="H9" i="7"/>
  <c r="G9" i="7"/>
  <c r="CG10" i="7"/>
  <c r="CO10" i="7" s="1"/>
  <c r="CQ11" i="7"/>
  <c r="CS11" i="7" s="1"/>
  <c r="AT9" i="7"/>
  <c r="AR9" i="7"/>
  <c r="CU9" i="7"/>
  <c r="O60" i="4"/>
  <c r="L63" i="4"/>
  <c r="AT21" i="7"/>
  <c r="AR21" i="7"/>
  <c r="CU21" i="7"/>
  <c r="CF7" i="7"/>
  <c r="CN7" i="7" s="1"/>
  <c r="CE8" i="7"/>
  <c r="CI10" i="7"/>
  <c r="CU11" i="7"/>
  <c r="D106" i="6"/>
  <c r="E106" i="6" s="1"/>
  <c r="CI7" i="7"/>
  <c r="CH8" i="7"/>
  <c r="CP8" i="7" s="1"/>
  <c r="AW13" i="7"/>
  <c r="AY13" i="7" s="1"/>
  <c r="I13" i="7"/>
  <c r="H13" i="7"/>
  <c r="CH23" i="7"/>
  <c r="CP23" i="7" s="1"/>
  <c r="CG23" i="7"/>
  <c r="CO23" i="7" s="1"/>
  <c r="CR23" i="7"/>
  <c r="CT23" i="7" s="1"/>
  <c r="CF23" i="7"/>
  <c r="CQ23" i="7"/>
  <c r="CS23" i="7" s="1"/>
  <c r="CE23" i="7"/>
  <c r="CD23" i="7"/>
  <c r="CL23" i="7" s="1"/>
  <c r="CB23" i="7"/>
  <c r="CA23" i="7"/>
  <c r="CC23" i="7" s="1"/>
  <c r="CJ23" i="7"/>
  <c r="CI23" i="7"/>
  <c r="N51" i="4"/>
  <c r="J55" i="4"/>
  <c r="M64" i="4"/>
  <c r="J67" i="4"/>
  <c r="AT23" i="7"/>
  <c r="AR23" i="7"/>
  <c r="CU23" i="7"/>
  <c r="N114" i="4"/>
  <c r="N138" i="4" s="1"/>
  <c r="Z114" i="4"/>
  <c r="Z138" i="4" s="1"/>
  <c r="R115" i="4"/>
  <c r="J119" i="4"/>
  <c r="J140" i="4" s="1"/>
  <c r="V119" i="4"/>
  <c r="V140" i="4" s="1"/>
  <c r="N123" i="4"/>
  <c r="N144" i="4" s="1"/>
  <c r="Z123" i="4"/>
  <c r="R124" i="4"/>
  <c r="R142" i="4" s="1"/>
  <c r="R153" i="4"/>
  <c r="R141" i="4" s="1"/>
  <c r="AW7" i="7"/>
  <c r="AY7" i="7" s="1"/>
  <c r="I7" i="7"/>
  <c r="H7" i="7"/>
  <c r="AR11" i="7"/>
  <c r="O51" i="4"/>
  <c r="N52" i="4"/>
  <c r="CU12" i="7"/>
  <c r="AR12" i="7"/>
  <c r="N64" i="4"/>
  <c r="J68" i="4"/>
  <c r="CU24" i="7"/>
  <c r="AT24" i="7"/>
  <c r="AR24" i="7"/>
  <c r="C14" i="5"/>
  <c r="CJ6" i="7"/>
  <c r="B28" i="6" s="1"/>
  <c r="CI6" i="7"/>
  <c r="B29" i="6" s="1"/>
  <c r="CH6" i="7"/>
  <c r="CP6" i="7" s="1"/>
  <c r="B13" i="6" s="1"/>
  <c r="CR6" i="7"/>
  <c r="CT6" i="7" s="1"/>
  <c r="B12" i="6" s="1"/>
  <c r="CF6" i="7"/>
  <c r="CQ6" i="7"/>
  <c r="CS6" i="7" s="1"/>
  <c r="B10" i="6" s="1"/>
  <c r="CE6" i="7"/>
  <c r="CB6" i="7"/>
  <c r="B37" i="6" s="1"/>
  <c r="CJ12" i="7"/>
  <c r="CI12" i="7"/>
  <c r="CH12" i="7"/>
  <c r="CP12" i="7" s="1"/>
  <c r="CR12" i="7"/>
  <c r="CT12" i="7" s="1"/>
  <c r="CF12" i="7"/>
  <c r="CN12" i="7" s="1"/>
  <c r="CQ12" i="7"/>
  <c r="CS12" i="7" s="1"/>
  <c r="CE12" i="7"/>
  <c r="CB12" i="7"/>
  <c r="CJ18" i="7"/>
  <c r="CI18" i="7"/>
  <c r="CH18" i="7"/>
  <c r="CP18" i="7" s="1"/>
  <c r="CG18" i="7"/>
  <c r="CO18" i="7" s="1"/>
  <c r="CR18" i="7"/>
  <c r="CT18" i="7" s="1"/>
  <c r="CF18" i="7"/>
  <c r="CQ18" i="7"/>
  <c r="CS18" i="7" s="1"/>
  <c r="CE18" i="7"/>
  <c r="CD18" i="7"/>
  <c r="CL18" i="7" s="1"/>
  <c r="CB18" i="7"/>
  <c r="CA18" i="7"/>
  <c r="CC18" i="7" s="1"/>
  <c r="CJ24" i="7"/>
  <c r="CI24" i="7"/>
  <c r="CH24" i="7"/>
  <c r="CP24" i="7" s="1"/>
  <c r="CG24" i="7"/>
  <c r="CO24" i="7" s="1"/>
  <c r="CR24" i="7"/>
  <c r="CT24" i="7" s="1"/>
  <c r="CF24" i="7"/>
  <c r="CQ24" i="7"/>
  <c r="CS24" i="7" s="1"/>
  <c r="CE24" i="7"/>
  <c r="CD24" i="7"/>
  <c r="CL24" i="7" s="1"/>
  <c r="CB24" i="7"/>
  <c r="CA24" i="7"/>
  <c r="CC24" i="7" s="1"/>
  <c r="I6" i="7"/>
  <c r="G6" i="7"/>
  <c r="CD6" i="7"/>
  <c r="CA12" i="7"/>
  <c r="CC12" i="7" s="1"/>
  <c r="CH17" i="7"/>
  <c r="CP17" i="7" s="1"/>
  <c r="CG17" i="7"/>
  <c r="CO17" i="7" s="1"/>
  <c r="CR17" i="7"/>
  <c r="CT17" i="7" s="1"/>
  <c r="CF17" i="7"/>
  <c r="CQ17" i="7"/>
  <c r="CS17" i="7" s="1"/>
  <c r="CE17" i="7"/>
  <c r="CD17" i="7"/>
  <c r="CL17" i="7" s="1"/>
  <c r="CB17" i="7"/>
  <c r="CA17" i="7"/>
  <c r="CC17" i="7" s="1"/>
  <c r="CJ17" i="7"/>
  <c r="CI17" i="7"/>
  <c r="J57" i="4"/>
  <c r="CU13" i="7"/>
  <c r="AT13" i="7"/>
  <c r="AR13" i="7"/>
  <c r="O64" i="4"/>
  <c r="J69" i="4"/>
  <c r="CU25" i="7"/>
  <c r="AT25" i="7"/>
  <c r="AR25" i="7"/>
  <c r="C7" i="5"/>
  <c r="CG6" i="7"/>
  <c r="CO6" i="7" s="1"/>
  <c r="B11" i="6" s="1"/>
  <c r="CQ8" i="7"/>
  <c r="CS8" i="7" s="1"/>
  <c r="I12" i="7"/>
  <c r="G12" i="7"/>
  <c r="CD12" i="7"/>
  <c r="CL12" i="7" s="1"/>
  <c r="AY24" i="7"/>
  <c r="AR14" i="7"/>
  <c r="CU14" i="7"/>
  <c r="AT14" i="7"/>
  <c r="C12" i="5"/>
  <c r="C24" i="5"/>
  <c r="CJ7" i="7"/>
  <c r="CH7" i="7"/>
  <c r="CP7" i="7" s="1"/>
  <c r="CG7" i="7"/>
  <c r="CO7" i="7" s="1"/>
  <c r="CQ7" i="7"/>
  <c r="CS7" i="7" s="1"/>
  <c r="CE7" i="7"/>
  <c r="CD7" i="7"/>
  <c r="CL7" i="7" s="1"/>
  <c r="CB7" i="7"/>
  <c r="CJ13" i="7"/>
  <c r="CI13" i="7"/>
  <c r="CH13" i="7"/>
  <c r="CP13" i="7" s="1"/>
  <c r="CG13" i="7"/>
  <c r="CO13" i="7" s="1"/>
  <c r="CQ13" i="7"/>
  <c r="CS13" i="7" s="1"/>
  <c r="CE13" i="7"/>
  <c r="CD13" i="7"/>
  <c r="CL13" i="7" s="1"/>
  <c r="CB13" i="7"/>
  <c r="CA13" i="7"/>
  <c r="CC13" i="7" s="1"/>
  <c r="CJ19" i="7"/>
  <c r="CI19" i="7"/>
  <c r="CH19" i="7"/>
  <c r="CP19" i="7" s="1"/>
  <c r="CG19" i="7"/>
  <c r="CO19" i="7" s="1"/>
  <c r="CR19" i="7"/>
  <c r="CT19" i="7" s="1"/>
  <c r="CF19" i="7"/>
  <c r="CN19" i="7" s="1"/>
  <c r="CQ19" i="7"/>
  <c r="CS19" i="7" s="1"/>
  <c r="CE19" i="7"/>
  <c r="CD19" i="7"/>
  <c r="CL19" i="7" s="1"/>
  <c r="CB19" i="7"/>
  <c r="CA19" i="7"/>
  <c r="CC19" i="7" s="1"/>
  <c r="CJ25" i="7"/>
  <c r="CI25" i="7"/>
  <c r="CH25" i="7"/>
  <c r="CP25" i="7" s="1"/>
  <c r="CG25" i="7"/>
  <c r="CO25" i="7" s="1"/>
  <c r="CR25" i="7"/>
  <c r="CT25" i="7" s="1"/>
  <c r="CF25" i="7"/>
  <c r="CN25" i="7" s="1"/>
  <c r="CQ25" i="7"/>
  <c r="CS25" i="7" s="1"/>
  <c r="CE25" i="7"/>
  <c r="CD25" i="7"/>
  <c r="CL25" i="7" s="1"/>
  <c r="CB25" i="7"/>
  <c r="CA25" i="7"/>
  <c r="CC25" i="7" s="1"/>
  <c r="CU7" i="7"/>
  <c r="K12" i="7"/>
  <c r="CG12" i="7"/>
  <c r="CO12" i="7" s="1"/>
  <c r="CH11" i="7"/>
  <c r="CP11" i="7" s="1"/>
  <c r="CG11" i="7"/>
  <c r="CO11" i="7" s="1"/>
  <c r="CR11" i="7"/>
  <c r="CT11" i="7" s="1"/>
  <c r="CF11" i="7"/>
  <c r="CD11" i="7"/>
  <c r="CL11" i="7" s="1"/>
  <c r="CA11" i="7"/>
  <c r="CC11" i="7" s="1"/>
  <c r="CJ11" i="7"/>
  <c r="J59" i="4"/>
  <c r="AT15" i="7"/>
  <c r="AR15" i="7"/>
  <c r="CU15" i="7"/>
  <c r="C17" i="5"/>
  <c r="B19" i="6"/>
  <c r="AX6" i="7"/>
  <c r="L6" i="7"/>
  <c r="J6" i="7"/>
  <c r="AW9" i="7"/>
  <c r="AY9" i="7" s="1"/>
  <c r="CB11" i="7"/>
  <c r="AW15" i="7"/>
  <c r="AY15" i="7" s="1"/>
  <c r="G19" i="7"/>
  <c r="AW21" i="7"/>
  <c r="AY21" i="7" s="1"/>
  <c r="G25" i="7"/>
  <c r="H19" i="7"/>
  <c r="H25" i="7"/>
  <c r="G18" i="7"/>
  <c r="I19" i="7"/>
  <c r="K7" i="7"/>
  <c r="G11" i="7"/>
  <c r="G17" i="7"/>
  <c r="G23" i="7"/>
  <c r="J18" i="7"/>
  <c r="J24" i="7"/>
  <c r="K18" i="7"/>
  <c r="K24" i="7"/>
  <c r="J11" i="7"/>
  <c r="H16" i="7"/>
  <c r="J17" i="7"/>
  <c r="L18" i="7"/>
  <c r="H22" i="7"/>
  <c r="J23" i="7"/>
  <c r="L24" i="7"/>
  <c r="K11" i="7"/>
  <c r="G15" i="7"/>
  <c r="K17" i="7"/>
  <c r="G21" i="7"/>
  <c r="K23" i="7"/>
  <c r="L11" i="7"/>
  <c r="L17" i="7"/>
  <c r="L23" i="7"/>
  <c r="K62" i="4" l="1"/>
  <c r="L138" i="4"/>
  <c r="U138" i="4"/>
  <c r="L143" i="4"/>
  <c r="R136" i="4"/>
  <c r="AY6" i="7"/>
  <c r="K51" i="4"/>
  <c r="Q51" i="4" s="1"/>
  <c r="N63" i="4"/>
  <c r="Z144" i="4"/>
  <c r="O142" i="4"/>
  <c r="K56" i="4" s="1"/>
  <c r="Q56" i="4" s="1"/>
  <c r="T140" i="4"/>
  <c r="K139" i="4"/>
  <c r="K136" i="4"/>
  <c r="S137" i="4"/>
  <c r="L139" i="4"/>
  <c r="V143" i="4"/>
  <c r="O52" i="4"/>
  <c r="O63" i="4"/>
  <c r="R63" i="4" s="1"/>
  <c r="W144" i="4"/>
  <c r="T139" i="4"/>
  <c r="K61" i="4" s="1"/>
  <c r="P61" i="4" s="1"/>
  <c r="AC143" i="4"/>
  <c r="X139" i="4"/>
  <c r="K65" i="4" s="1"/>
  <c r="S65" i="4" s="1"/>
  <c r="T138" i="4"/>
  <c r="O137" i="4"/>
  <c r="L51" i="4"/>
  <c r="AA136" i="4"/>
  <c r="CN23" i="7"/>
  <c r="AA142" i="4"/>
  <c r="K68" i="4" s="1"/>
  <c r="P141" i="4"/>
  <c r="CN14" i="7"/>
  <c r="K53" i="4"/>
  <c r="S53" i="4" s="1"/>
  <c r="CN15" i="7"/>
  <c r="AB137" i="4"/>
  <c r="CL6" i="7"/>
  <c r="B7" i="6" s="1"/>
  <c r="CN6" i="7"/>
  <c r="B9" i="6" s="1"/>
  <c r="M52" i="4"/>
  <c r="Q137" i="4"/>
  <c r="AC136" i="4"/>
  <c r="K138" i="4"/>
  <c r="S60" i="4"/>
  <c r="T60" i="4" s="1"/>
  <c r="AQ15" i="7" s="1"/>
  <c r="Q60" i="4"/>
  <c r="R60" i="4"/>
  <c r="S144" i="4"/>
  <c r="K59" i="4"/>
  <c r="K66" i="4"/>
  <c r="R51" i="4"/>
  <c r="P137" i="4"/>
  <c r="K64" i="4"/>
  <c r="S64" i="4" s="1"/>
  <c r="P64" i="4"/>
  <c r="P60" i="4"/>
  <c r="M56" i="4"/>
  <c r="N56" i="4"/>
  <c r="O56" i="4"/>
  <c r="W141" i="4"/>
  <c r="K63" i="4"/>
  <c r="S63" i="4" s="1"/>
  <c r="Q66" i="4"/>
  <c r="R66" i="4"/>
  <c r="S66" i="4"/>
  <c r="P66" i="4"/>
  <c r="N55" i="4"/>
  <c r="M55" i="4"/>
  <c r="L55" i="4"/>
  <c r="S55" i="4"/>
  <c r="O55" i="4"/>
  <c r="R55" i="4" s="1"/>
  <c r="Q55" i="4"/>
  <c r="S62" i="4"/>
  <c r="O62" i="4"/>
  <c r="R62" i="4" s="1"/>
  <c r="M62" i="4"/>
  <c r="L62" i="4"/>
  <c r="N62" i="4"/>
  <c r="K69" i="4"/>
  <c r="S69" i="4" s="1"/>
  <c r="O54" i="4"/>
  <c r="Q54" i="4" s="1"/>
  <c r="N54" i="4"/>
  <c r="M54" i="4"/>
  <c r="L54" i="4"/>
  <c r="S54" i="4"/>
  <c r="K57" i="4"/>
  <c r="O53" i="4"/>
  <c r="N53" i="4"/>
  <c r="M53" i="4"/>
  <c r="L53" i="4"/>
  <c r="K70" i="4"/>
  <c r="S70" i="4" s="1"/>
  <c r="L69" i="4"/>
  <c r="R69" i="4"/>
  <c r="Q69" i="4"/>
  <c r="M69" i="4"/>
  <c r="O69" i="4"/>
  <c r="N69" i="4"/>
  <c r="K58" i="4"/>
  <c r="S59" i="4"/>
  <c r="O59" i="4"/>
  <c r="P59" i="4" s="1"/>
  <c r="N59" i="4"/>
  <c r="Q59" i="4"/>
  <c r="M59" i="4"/>
  <c r="L59" i="4"/>
  <c r="O70" i="4"/>
  <c r="L70" i="4"/>
  <c r="N70" i="4"/>
  <c r="M70" i="4"/>
  <c r="CN18" i="7"/>
  <c r="CN24" i="7"/>
  <c r="L57" i="4"/>
  <c r="M57" i="4"/>
  <c r="N57" i="4"/>
  <c r="O57" i="4"/>
  <c r="S57" i="4"/>
  <c r="O65" i="4"/>
  <c r="N65" i="4"/>
  <c r="M65" i="4"/>
  <c r="L65" i="4"/>
  <c r="CN17" i="7"/>
  <c r="M68" i="4"/>
  <c r="L68" i="4"/>
  <c r="S68" i="4"/>
  <c r="N68" i="4"/>
  <c r="O68" i="4"/>
  <c r="Q68" i="4" s="1"/>
  <c r="N67" i="4"/>
  <c r="M67" i="4"/>
  <c r="L67" i="4"/>
  <c r="S67" i="4"/>
  <c r="O67" i="4"/>
  <c r="R67" i="4" s="1"/>
  <c r="P67" i="4"/>
  <c r="S58" i="4"/>
  <c r="O58" i="4"/>
  <c r="P58" i="4" s="1"/>
  <c r="L58" i="4"/>
  <c r="R58" i="4"/>
  <c r="N58" i="4"/>
  <c r="M58" i="4"/>
  <c r="CN11" i="7"/>
  <c r="R59" i="4" l="1"/>
  <c r="P63" i="4"/>
  <c r="I60" i="4"/>
  <c r="AS15" i="7" s="1"/>
  <c r="R56" i="4"/>
  <c r="P51" i="4"/>
  <c r="B18" i="6" s="1"/>
  <c r="CM15" i="7"/>
  <c r="Q64" i="4"/>
  <c r="S56" i="4"/>
  <c r="I56" i="4" s="1"/>
  <c r="AS11" i="7" s="1"/>
  <c r="Q61" i="4"/>
  <c r="S51" i="4"/>
  <c r="T51" i="4" s="1"/>
  <c r="AQ6" i="7" s="1"/>
  <c r="Q58" i="4"/>
  <c r="R61" i="4"/>
  <c r="Q67" i="4"/>
  <c r="P70" i="4"/>
  <c r="Q53" i="4"/>
  <c r="S61" i="4"/>
  <c r="Q63" i="4"/>
  <c r="P56" i="4"/>
  <c r="Q65" i="4"/>
  <c r="P55" i="4"/>
  <c r="K52" i="4"/>
  <c r="T64" i="4"/>
  <c r="AQ19" i="7" s="1"/>
  <c r="CM19" i="7" s="1"/>
  <c r="I64" i="4"/>
  <c r="AS19" i="7" s="1"/>
  <c r="Q70" i="4"/>
  <c r="R64" i="4"/>
  <c r="T63" i="4"/>
  <c r="AQ18" i="7" s="1"/>
  <c r="CM18" i="7" s="1"/>
  <c r="I63" i="4"/>
  <c r="AS18" i="7" s="1"/>
  <c r="R57" i="4"/>
  <c r="Q62" i="4"/>
  <c r="R70" i="4"/>
  <c r="R68" i="4"/>
  <c r="P69" i="4"/>
  <c r="I51" i="4"/>
  <c r="AS6" i="7" s="1"/>
  <c r="B34" i="6" s="1"/>
  <c r="I69" i="4"/>
  <c r="AS24" i="7" s="1"/>
  <c r="T69" i="4"/>
  <c r="AQ24" i="7" s="1"/>
  <c r="I70" i="4"/>
  <c r="AS25" i="7" s="1"/>
  <c r="T70" i="4"/>
  <c r="AQ25" i="7" s="1"/>
  <c r="CM25" i="7" s="1"/>
  <c r="T61" i="4"/>
  <c r="AQ16" i="7" s="1"/>
  <c r="CM16" i="7" s="1"/>
  <c r="I61" i="4"/>
  <c r="AS16" i="7" s="1"/>
  <c r="I57" i="4"/>
  <c r="AS12" i="7" s="1"/>
  <c r="T57" i="4"/>
  <c r="AQ12" i="7" s="1"/>
  <c r="P65" i="4"/>
  <c r="T62" i="4"/>
  <c r="AQ17" i="7" s="1"/>
  <c r="I62" i="4"/>
  <c r="AS17" i="7" s="1"/>
  <c r="I68" i="4"/>
  <c r="AS23" i="7" s="1"/>
  <c r="T68" i="4"/>
  <c r="AQ23" i="7" s="1"/>
  <c r="P53" i="4"/>
  <c r="T67" i="4"/>
  <c r="AQ22" i="7" s="1"/>
  <c r="CM22" i="7" s="1"/>
  <c r="I67" i="4"/>
  <c r="AS22" i="7" s="1"/>
  <c r="R54" i="4"/>
  <c r="R65" i="4"/>
  <c r="P57" i="4"/>
  <c r="P54" i="4"/>
  <c r="Q57" i="4"/>
  <c r="R53" i="4"/>
  <c r="I54" i="4"/>
  <c r="AS9" i="7" s="1"/>
  <c r="T54" i="4"/>
  <c r="AQ9" i="7" s="1"/>
  <c r="T56" i="4"/>
  <c r="AQ11" i="7" s="1"/>
  <c r="P68" i="4"/>
  <c r="I53" i="4"/>
  <c r="AS8" i="7" s="1"/>
  <c r="T53" i="4"/>
  <c r="AQ8" i="7" s="1"/>
  <c r="CM8" i="7" s="1"/>
  <c r="P62" i="4"/>
  <c r="I59" i="4"/>
  <c r="AS14" i="7" s="1"/>
  <c r="T59" i="4"/>
  <c r="AQ14" i="7" s="1"/>
  <c r="CM14" i="7" s="1"/>
  <c r="I66" i="4"/>
  <c r="AS21" i="7" s="1"/>
  <c r="T66" i="4"/>
  <c r="AQ21" i="7" s="1"/>
  <c r="CM21" i="7" s="1"/>
  <c r="I65" i="4"/>
  <c r="AS20" i="7" s="1"/>
  <c r="T65" i="4"/>
  <c r="AQ20" i="7" s="1"/>
  <c r="CM20" i="7" s="1"/>
  <c r="T55" i="4"/>
  <c r="AQ10" i="7" s="1"/>
  <c r="CM10" i="7" s="1"/>
  <c r="I55" i="4"/>
  <c r="AS10" i="7" s="1"/>
  <c r="I58" i="4"/>
  <c r="AS13" i="7" s="1"/>
  <c r="T58" i="4"/>
  <c r="AQ13" i="7" s="1"/>
  <c r="CM13" i="7" s="1"/>
  <c r="CM12" i="7" l="1"/>
  <c r="Q52" i="4"/>
  <c r="S52" i="4"/>
  <c r="P52" i="4"/>
  <c r="R52" i="4"/>
  <c r="CM11" i="7"/>
  <c r="CM24" i="7"/>
  <c r="CM9" i="7"/>
  <c r="CM6" i="7"/>
  <c r="B8" i="6" s="1"/>
  <c r="B17" i="6"/>
  <c r="CM17" i="7"/>
  <c r="CM23" i="7"/>
  <c r="I52" i="4" l="1"/>
  <c r="AS7" i="7" s="1"/>
  <c r="T52" i="4"/>
  <c r="AQ7" i="7" s="1"/>
  <c r="CM7" i="7" s="1"/>
</calcChain>
</file>

<file path=xl/sharedStrings.xml><?xml version="1.0" encoding="utf-8"?>
<sst xmlns="http://schemas.openxmlformats.org/spreadsheetml/2006/main" count="2359" uniqueCount="1154">
  <si>
    <t>반려견 행동채점표 · 사용 안내</t>
  </si>
  <si>
    <t>02는 AI·사람이 채점하고 수정하는 유일한 원본입니다. 1~20번 점수·관찰 근거·평가자 판정·행사 의견은 이 파일에 기록합니다. 02b·02c는 이 파일을 읽는 보기용이며 별도로 채점하지 않습니다.</t>
  </si>
  <si>
    <t>어디에 기록하고 확인하나요</t>
  </si>
  <si>
    <t>여러쌍비교</t>
  </si>
  <si>
    <t>A열 번호에 맞춰 B열 반려견 이름·C열 견종·나이를 기록합니다. 기존 계산 열 위치를 유지한 전체 대상 비교·리포트 연결표입니다.</t>
  </si>
  <si>
    <t>1_바디시그널</t>
  </si>
  <si>
    <t>각 항목의 관찰 시간과 눈금에 따라 J~AC열에 기록합니다. 꼬리 형태·발성·행동 횟수를 서로 다른 관찰로 보존합니다.</t>
  </si>
  <si>
    <t>2_개행동</t>
  </si>
  <si>
    <t>J~AC열에 행동을 기록합니다. 자동 계산 칸은 직접 입력하지 않습니다. 하단의 애착유형·근거·평가자 기록도 유지합니다.</t>
  </si>
  <si>
    <t>3_보호자행동</t>
  </si>
  <si>
    <t>앞에서 당김·뒤처짐 대처를 분리 기록합니다. 유형 배점과 세 유형 근거 비율, 자동 초안, 선택적 수동 판정을 함께 보존합니다.</t>
  </si>
  <si>
    <t>6_행사전문가의견</t>
  </si>
  <si>
    <t>대상별 여섯 영역의 의견과 입장 판단을 한 곳에 기록합니다. 작성 후 관찰자·일자와 완료 표시를 확인합니다.</t>
  </si>
  <si>
    <t>한마리상세</t>
  </si>
  <si>
    <t>B3에서 대상 번호를 고릅니다. 리포트 우선 근거, 기본 유형·수치, 내부 기록, 117개 원항목을 순서대로 확인합니다. 조회 화면에서 점수를 고치지 않습니다.</t>
  </si>
  <si>
    <t>성향문장</t>
  </si>
  <si>
    <t>기존 문장 자료와 분리 25개 조합 문장을 관리합니다. 문장은 검토·수정용이며 그 자체로 검증된 유형 판정 기준은 아닙니다.</t>
  </si>
  <si>
    <t>촬영·채점 순서</t>
  </si>
  <si>
    <t>1  입장      ~30초   1-1 방 문 → 비닐 바닥(폭 전체) → 1-2 새 물건 곁(5초 멈춤) → 의자로 · 물건은 칸막이 뒤라 의자에서 안 보인다 · 의자에서 목줄을 푼다</t>
  </si>
  <si>
    <t>2 기준 20초: 목줄을 푼 직후 보호자는 의자에서 안내책자를 읽습니다. 먼저 부르거나 만지지 않고 개가 접촉해 오면 수동적으로 받습니다. 지시된 상태에서의 초기 관찰이며 평소 안정 상태가 아닙니다.오늘 실험 행동의 몸신호의 기준이 된다.</t>
  </si>
  <si>
    <t>3  혼자       1분   일어나 문을 열고 나가 문 밖에 있는다 · 1분이 끝나면 바로 돌아온다 (2026-09-26 — 전에는 낯선 사람 구간까지 나가 있었다 · 2026-09-27 — 문이 있어 가림막을 쓰지 않는다)</t>
  </si>
  <si>
    <t>4 재회 30초: 문을 연 순간 0초. 0~15초 천천히 이동·착석·대기, 15~30초 무선 신호 뒤 이름 부르기·접촉. 개18은 후반 15초의 몸 상태. 착석 지연·접촉 불성립은 기록.</t>
  </si>
  <si>
    <t>5  무시       20초   만져 준 뒤 반응을 끊는다 · 개를 보지 않음 · 말도 걸지 않음</t>
  </si>
  <si>
    <t>6 걷기 약 30초: 무시 종료 뒤 이름 1회 후 S로 이동(전환·채점 제외). 리드줄 없이 S→A 4걸음·5초 정지→C 8걸음·5초 정지→S 4걸음·5초 정지. 본 구간에는 말·손짓 없이 걷고 마지막 정지 후 의자에 앉습니다.</t>
  </si>
  <si>
    <t>7 낯선 사람 목표 30초: 보호자 착석 후 전환 대기 5초(채점 제외). 안전문 밖 10초 → 문 열기 2초 → 정지선까지 4초 → 이름 1회·제자리 대기 4초 → 접촉 3초+대기 2초 또는 미접촉 대기 5초 → 퇴장 5초. 실제 시각 기록.</t>
  </si>
  <si>
    <t>8  퇴장      ~30초   입장 코스를 되짚어 나감 · 새 물건 곁에서 다시 5초 멈춤(두 번째 지나감) → 비닐 바닥 → 방 문</t>
  </si>
  <si>
    <t>기록과 해석 규칙</t>
  </si>
  <si>
    <t>빈칸은 미관찰·미실시·판독 불가입니다. 0은 실제로 해당 코드나 발생 없음이 관찰된 값입니다. 이유·실제 시각·구간 단축·가림·접촉 미성립은 개59 및 관련 메모에 기록합니다.</t>
  </si>
  <si>
    <t>양쪽 코드는 각 행의 행동 범주입니다. 0이 항상 적정 상태인 것은 아니며 코드 간격은 같은 감정의 양을 뜻하지 않습니다. −와 +는 상쇄하지 않고 각각 표시합니다.</t>
  </si>
  <si>
    <t>보호자 유형 v0.2: 보6·9 줄 대처, 보22·39 재회, 보23·24 낯선 사람을 장면별 평균 후 합산합니다. 3개 근거 항목·2개 장면을 모든 유형에 공통 적용합니다. 배점·60%·15%p 기준은 반복 실험용 임시값입니다.</t>
  </si>
  <si>
    <t>보호자 유형: B51:B70을 비우면 S열 자동 초안을 사용합니다. 유형·근거(C열)·채점자·일자(G열)가 모두 있어야 수동 선택이 최종 T열로 채택됩니다. 수동 근거·작성자도 같은 조건으로 연결합니다. 미완성 기록은 원입력에 남습니다.</t>
  </si>
  <si>
    <t>애착유형은 기존 네 가지 관계 이름과 판정보류를 유지합니다. 분리·재회·접촉·무시·몸 상태·발성·관찰 기회를 함께 검토해 평가자가 선택합니다. 판정보류는 다섯 번째 유형이 아닌 상태입니다.</t>
  </si>
  <si>
    <t>행사 관찰 의견은 여섯 영역을 모두 채울 필요가 없습니다. 관찰자·일자와 완료 표시가 있고 의견이 있는 영역만 우선 반영합니다. 빈 영역은 AI 근거를 사용합니다. 원점수와 기본 판정을 덮어쓰지 않습니다.</t>
  </si>
  <si>
    <t>입장 판단은 같은 관찰 의견 블록의 아래쪽에서 선택합니다. 선택·근거·관찰자·완료 조건을 모두 갖춘 경우에만 우선 반영하며 그 외에는 자동 초안을 사용합니다. 유형·총평·실천 조언은 기존 리포트 양식에서 일관되게 작성합니다.</t>
  </si>
  <si>
    <t>입장 자동 초안의 주축은 개5·개6·개30이며 물건 조건 보14를 확인합니다. 꼬리·발성·행동 횟수는 별도 근거입니다. 단일 항목이나 0점만으로 개의 성격·애착·보호자 좋고 나쁨을 확정하지 않습니다.</t>
  </si>
  <si>
    <t>개9는 보호자의 몸이 문밖으로 나간 순간부터 처음 10초, 개10은 이후 50초입니다. 개60은 두 범주의 실제 행동을 순서대로 연결합니다. 숫자의 대소로 불안 증감·안정 여부를 계산하지 않습니다.</t>
  </si>
  <si>
    <t>개58 몸 상태와 개11 발성은 실제 분리 구간 전체의 기록입니다. 이후 50초의 상태로 좁혀 해석하거나, 서로 다른 시간창의 값을 동시에 일어난 행동처럼 설명하지 않습니다.</t>
  </si>
  <si>
    <t>발성량은 음량이나 발성 횟수가 아니라 관찰 시간 중 발성 누적 시간 비중입니다. 0 없음, 1은 0 초과~1/3, 2는 1/3 초과~2/3, 3은 2/3 초과. 듣지 못한 구간은 빈칸과 사유를 남깁니다.</t>
  </si>
  <si>
    <t>꼬리는 기준 20초의 원값과 함께 비교합니다. 기준도 낯선 장소에서 측정한 것이므로 평상시 꼬리라고 부르지 않습니다. 단미·가림 등 판독 불가는 기록합니다.</t>
  </si>
  <si>
    <t>기준→무시 몸 상태 변화 = |개8|−|개23|. 순서·무시 지시·분리 경험이 함께 달라지므로 환경 적응의 인과효과로 부르지 않습니다. 양쪽 원점수와 실제 시각을 함께 봅니다.</t>
  </si>
  <si>
    <t>분리–재회 몸 상태 변화 = |개58|−|개18|. 실제 분리 전체의 주된 상태와 재회 후반 15초를 같은 몸 상태 눈금으로 비교하는 기술값입니다. 접촉 여부·시각은 별도 기록하며 미접촉만으로 보류하지 않습니다. 뒤의 무시 구간 조건인 보12를 이 변화값의 산출 조건으로 쓰지 않습니다. 두 원점수·관찰 시간·발성을 함께 읽고, 0→0과 부호 전환을 구분합니다. 이 값만으로 안정·회복 또는 보호자의 효과를 확정하지 않습니다.</t>
  </si>
  <si>
    <t>사람 입력값: 근접 국면 비율 = 거리 등급 0 또는 1인 이동·정지 국면 ÷ 6. 상태 전환 동조율과 다릅니다. AI–전문가 일치도를 보려면 같은 항목·구간·눈금을 양쪽이 각각 채점해야 합니다.</t>
  </si>
  <si>
    <t>낯선 사람에 대한 반응, 비사회적 두려움, 시간에 따른 환경 적응·회복은 구분합니다. 설문과 영상의 다른 눈금을 더하지 않습니다. 개 모양 물체는 절차에서 제외하며 낯선 개에 대한 반응을 대신 해석하지 않습니다.</t>
  </si>
  <si>
    <t>AI–전문가 일치도는 같은 영상·항목·시간창을 서로의 결과를 보지 않고 각각 채점한 원자료로 비교합니다. 이 파일의 배점 규칙과 사람 판단의 일치는 별도의 비교입니다. 행사 최종 해석은 연구용 독립 원자료와 구분합니다.</t>
  </si>
  <si>
    <t>이번 정리에서 달라진 화면</t>
  </si>
  <si>
    <t>중복 묶음 집계 화면은 제거하고 원항목 조회를 한마리상세에 통합했습니다. 입장 요약 입력은 행사 관찰 의견으로 옮겼습니다. 필요한 방향별 합계·유형 배점·관찰 원점수는 유지합니다. 기존 여러쌍비교 A~CU열과 행사 의견의 여섯 영역 연결 위치는 유지했습니다.</t>
  </si>
  <si>
    <t>02b는 구간순, 02c는 구간순·주제별 보기입니다. 원점수·메모·기준·계산 결과를 02에서 읽습니다. 세 파일을 같은 폴더에 두고 02를 먼저 엽니다. 02를 닫고 볼 때는 먼저 저장하고, 보기 파일에서 통합 문서 연결 업데이트를 허용합니다.</t>
  </si>
  <si>
    <t>몸으로 나타나는 신호. 5~13행은 꼬리 · 발성(각성 축)과 「직후 5초」 몸 털기 횟수(8 · 10행), 14~37행은 구간마다 몸 털기 · 하품 · 코 핥기 횟수입니다(참고 · 점수 아님).</t>
  </si>
  <si>
    <t>J~AC는 1~20번 입력. 열 머리 −2~+2는 양쪽 항목에만 적용. 발성·조건·횟수·초·경로는 각 행의 별도 눈금을 따릅니다. 0과 빈칸을 구분하고 맥락을 기록합니다.</t>
  </si>
  <si>
    <t>구간</t>
  </si>
  <si>
    <t>관찰 항목</t>
  </si>
  <si>
    <t>−2</t>
  </si>
  <si>
    <t>−1</t>
  </si>
  <si>
    <t>0</t>
  </si>
  <si>
    <t>+1</t>
  </si>
  <si>
    <t>+2</t>
  </si>
  <si>
    <t>영역</t>
  </si>
  <si>
    <t>척도·축</t>
  </si>
  <si>
    <t>1번</t>
  </si>
  <si>
    <t>2번</t>
  </si>
  <si>
    <t>3번</t>
  </si>
  <si>
    <t>4번</t>
  </si>
  <si>
    <t>5번</t>
  </si>
  <si>
    <t>6번</t>
  </si>
  <si>
    <t>7번</t>
  </si>
  <si>
    <t>8번</t>
  </si>
  <si>
    <t>9번</t>
  </si>
  <si>
    <t>10번</t>
  </si>
  <si>
    <t>11번</t>
  </si>
  <si>
    <t>12번</t>
  </si>
  <si>
    <t>13번</t>
  </si>
  <si>
    <t>14번</t>
  </si>
  <si>
    <t>15번</t>
  </si>
  <si>
    <t>16번</t>
  </si>
  <si>
    <t>17번</t>
  </si>
  <si>
    <t>18번</t>
  </si>
  <si>
    <t>19번</t>
  </si>
  <si>
    <t>20번</t>
  </si>
  <si>
    <t>영역코드</t>
  </si>
  <si>
    <t>척도</t>
  </si>
  <si>
    <t>입장</t>
  </si>
  <si>
    <t>[입장] 꼬리 — 위치 ※형태 관찰. 기준 20초(바38)와 원값을 나란히 봄. 기준도 낯선 장소에서의 상태이며 평소 꼬리가 아님. 가림·단미 등 판독 불가면 빈칸.</t>
  </si>
  <si>
    <t>다리 사이로 말아 넣음</t>
  </si>
  <si>
    <t>등선보다 아래로 늘어뜨림 — 꼬리끝이 바닥을 가리킴</t>
  </si>
  <si>
    <t>등선 높이 — 꼬리끝이 바닥보다 위</t>
  </si>
  <si>
    <t>등선보다 높이 올라옴</t>
  </si>
  <si>
    <t>등 위로 높이 세우거나 말아 올림</t>
  </si>
  <si>
    <t>별도 관찰 · 꼬리 형태</t>
  </si>
  <si>
    <t>양쪽·위치</t>
  </si>
  <si>
    <t>[입장] 발성량 ※0~3 시간 비중 · 입장 전체. 못 들으면 빈칸; 0은 들었으나 없음. 종류·시각·관찰 초는 메모. 꼬리로 소리 의미를 정하지 않음.</t>
  </si>
  <si>
    <t>0 — 발성 없음</t>
  </si>
  <si>
    <t>1 — 발성 누적 비중 0 초과~1/3 이하</t>
  </si>
  <si>
    <t>2 — 1/3 초과~2/3 이하</t>
  </si>
  <si>
    <t>3 — 2/3 초과</t>
  </si>
  <si>
    <t>별도 관찰 · 발성</t>
  </si>
  <si>
    <t>한쪽·발성량</t>
  </si>
  <si>
    <t>ONE</t>
  </si>
  <si>
    <t>[입장] 낯선 바닥 — 꼬리 위치 ※형태 관찰. 기준 20초(바38)와 원값을 나란히 봄. 기준도 낯선 장소에서의 상태이며 평소 꼬리가 아님. 가림·단미 등 판독 불가면 빈칸.</t>
  </si>
  <si>
    <t>낯선 바닥 — 몸 털기  ※횟수 · 점수가 아닙니다</t>
  </si>
  <si>
    <t>바닥을 처음 밟은 순간부터 5초 안에 개가 몸을 턴 횟수를 셉니다. 물기를 털듯 온몸을 흔드는 동작입니다. 하품 · 코 핥기는 여기서 세지 않고 아래 구간별 횟수 칸(14~37행)에 적습니다.</t>
  </si>
  <si>
    <t>— 참고 · 횟수</t>
  </si>
  <si>
    <t>참고</t>
  </si>
  <si>
    <t>혼자</t>
  </si>
  <si>
    <t>[혼자] 꼬리 — 위치 ※형태 관찰. 기준 20초(바38)와 원값을 나란히 봄. 기준도 낯선 장소에서의 상태이며 평소 꼬리가 아님. 가림·단미 등 판독 불가면 빈칸.</t>
  </si>
  <si>
    <t>분리 — 몸 털기  ※횟수 · 점수가 아닙니다</t>
  </si>
  <si>
    <t>보호자가 나간 순간부터 5초 안에 개가 몸을 턴 횟수를 셉니다. 물기를 털듯 온몸을 흔드는 동작입니다. 하품 · 코 핥기는 여기서 세지 않고 아래 구간별 횟수 칸(14~37행)에 적습니다.</t>
  </si>
  <si>
    <t>낯선</t>
  </si>
  <si>
    <t>[낯선] 꼬리 — 위치 ※형태 관찰. 기준 20초(바38)와 원값을 나란히 봄. 기준도 낯선 장소에서의 상태이며 평소 꼬리가 아님. 가림·단미 등 판독 불가면 빈칸.</t>
  </si>
  <si>
    <t>걷기</t>
  </si>
  <si>
    <t>[걷기] 꼬리 — 위치 ※형태 관찰. 기준 20초(바38)와 원값을 나란히 봄. 기준도 낯선 장소에서의 상태이며 평소 꼬리가 아님. 가림·단미 등 판독 불가면 빈칸.</t>
  </si>
  <si>
    <t>퇴장</t>
  </si>
  <si>
    <t>[퇴장] 꼬리 — 위치 ※형태 관찰. 기준 20초(바38)와 원값을 나란히 봄. 기준도 낯선 장소에서의 상태이며 평소 꼬리가 아님. 가림·단미 등 판독 불가면 빈칸.</t>
  </si>
  <si>
    <t>[입장] 몸 털기 횟수  ※구간 전체 ~30초 · 참고</t>
  </si>
  <si>
    <t>온몸을 좌우로 빠르게 턴 횟수를 셉니다. 머리만 흔든 것은 빼고, 몸이 안 보인 구간이면 빈칸(0 과 다름).</t>
  </si>
  <si>
    <t>별도 관찰 · 행동 횟수</t>
  </si>
  <si>
    <t>[입장] 하품 횟수  ※구간 전체 ~30초 · 참고</t>
  </si>
  <si>
    <t>입을 크게 벌렸다 닫은 횟수를 셉니다. 짖음 · 헐떡임과 구분하고, 얼굴이 안 보인 구간이면 빈칸(0 과 다름).</t>
  </si>
  <si>
    <t>[입장] 코 핥기 횟수  ※구간 전체 ~30초 · 참고</t>
  </si>
  <si>
    <t>혀가 나와 코나 윗입술을 스친 횟수를 셉니다. 1초 이상 떨어져야 따로 세고, 먹이를 먹은 뒤 30초는 세지 않습니다. 얼굴이 안 보이면 빈칸.</t>
  </si>
  <si>
    <t>기준</t>
  </si>
  <si>
    <t>[기준] 몸 털기 횟수  ※구간 전체 20초 · 참고</t>
  </si>
  <si>
    <t>[기준] 하품 횟수  ※구간 전체 20초 · 참고</t>
  </si>
  <si>
    <t>[기준] 코 핥기 횟수  ※구간 전체 20초 · 참고</t>
  </si>
  <si>
    <t>[혼자] 몸 털기 횟수  ※구간 전체 1분 · 참고</t>
  </si>
  <si>
    <t>[혼자] 하품 횟수  ※구간 전체 1분 · 참고</t>
  </si>
  <si>
    <t>[혼자] 코 핥기 횟수  ※구간 전체 1분 · 참고</t>
  </si>
  <si>
    <t>[낯선 사람] 몸 털기 횟수  ※구간 전체 30초 · 참고</t>
  </si>
  <si>
    <t>[낯선 사람] 하품 횟수  ※구간 전체 30초 · 참고</t>
  </si>
  <si>
    <t>[낯선 사람] 코 핥기 횟수  ※구간 전체 30초 · 참고</t>
  </si>
  <si>
    <t>재회</t>
  </si>
  <si>
    <t>[재회] 몸 털기 횟수  ※구간 전체 30초 · 참고</t>
  </si>
  <si>
    <t>[재회] 하품 횟수  ※구간 전체 30초 · 참고</t>
  </si>
  <si>
    <t>[재회] 코 핥기 횟수  ※구간 전체 30초 · 참고</t>
  </si>
  <si>
    <t>무시</t>
  </si>
  <si>
    <t>[무시] 몸 털기 횟수  ※구간 전체 20초 · 참고</t>
  </si>
  <si>
    <t>[무시] 하품 횟수  ※구간 전체 20초 · 참고</t>
  </si>
  <si>
    <t>[무시] 코 핥기 횟수  ※구간 전체 20초 · 참고</t>
  </si>
  <si>
    <t>[걷기] 몸 털기 횟수  ※구간 전체 약 30초 · 참고</t>
  </si>
  <si>
    <t>[걷기] 하품 횟수  ※구간 전체 약 30초 · 참고</t>
  </si>
  <si>
    <t>[걷기] 코 핥기 횟수  ※구간 전체 약 30초 · 참고</t>
  </si>
  <si>
    <t>[퇴장] 몸 털기 횟수  ※구간 전체 ~30초 · 참고</t>
  </si>
  <si>
    <t>[퇴장] 하품 횟수  ※구간 전체 ~30초 · 참고</t>
  </si>
  <si>
    <t>[퇴장] 코 핥기 횟수  ※구간 전체 ~30초 · 참고</t>
  </si>
  <si>
    <t>[기준] 꼬리 위치 ※낯선 장소의 기준 20초. 평소 꼬리의 대표값이 아님. 다른 구간과 형태만 비교하며 꼬리 형태·단미·가림은 메모.</t>
  </si>
  <si>
    <t>[무시] 꼬리 — 위치 ※형태 관찰. 기준 20초(바38)와 원값을 나란히 봄. 기준도 낯선 장소에서의 상태이며 평소 꼬리가 아님. 가림·단미 등 판독 불가면 빈칸.</t>
  </si>
  <si>
    <t>[기준] 꼬리 움직임 ※낯선 장소의 기준 20초. 원속도 연속 영상으로 관찰. 평소 흔들림·감정의 확정값이 아님.</t>
  </si>
  <si>
    <t>몸도 굳고 꼬리 움직임도 멎은 상태가 주된 모습</t>
  </si>
  <si>
    <t>몸은 굳지 않았으나 작은 꼬리 움직임만 간헐적으로 보임</t>
  </si>
  <si>
    <t>편안한 자세로 꼬리가 멈춰 있거나 느리고 넓게 움직임</t>
  </si>
  <si>
    <t>빠른 좌우 움직임이 주된 모습</t>
  </si>
  <si>
    <t>짧은 진폭으로 떨듯 빠른 움직임이 주된 모습</t>
  </si>
  <si>
    <t>별도 관찰 · 꼬리 움직임</t>
  </si>
  <si>
    <t>양쪽·움직임</t>
  </si>
  <si>
    <t>[낯선] 꼬리 — 흔들림 ※원속도 영상에서 관찰. 빠르기는 영상의 연속 움직임으로 확인하며 초당 5장 추출만으로 판단하지 않음. 감정 확정 금지.</t>
  </si>
  <si>
    <t>[재회 접촉] 꼬리 — 흔들림 ※원속도 영상에서 관찰. 빠르기는 영상의 연속 움직임으로 확인하며 초당 5장 추출만으로 판단하지 않음. 감정 확정 금지.</t>
  </si>
  <si>
    <t>[재회 접촉] 꼬리 — 위치 ※형태 관찰. 기준 20초(바38)와 원값을 나란히 봄. 기준도 낯선 장소에서의 상태이며 평소 꼬리가 아님. 가림·단미 등 판독 불가면 빈칸.</t>
  </si>
  <si>
    <t>[입장] 새 물건 곁 — 꼬리 위치 ※형태 관찰. 기준 20초(바38)와 원값을 나란히 봄. 기준도 낯선 장소에서의 상태이며 평소 꼬리가 아님. 가림·단미 등 판독 불가면 빈칸.</t>
  </si>
  <si>
    <t>[낯선 접촉] 꼬리 — 위치 ※형태 관찰. 기준 20초(바38)와 원값을 나란히 봄. 기준도 낯선 장소에서의 상태이며 평소 꼬리가 아님. 가림·단미 등 판독 불가면 빈칸.</t>
  </si>
  <si>
    <t>자극 상황에 대해 실제로 한 행동. 구간마다 방향 하나와 각성 하나를 봅니다.</t>
  </si>
  <si>
    <t>[입장] 방 문 통과 — 보호자보다 앞서는가</t>
  </si>
  <si>
    <t>문턱 앞 버팀·두번 이상의 유도 및 안기, ·당김은 별도 기록</t>
  </si>
  <si>
    <t>1회 이상의 유도. 자발 통과했으나 보호자 뒤에서 문턱을 넘음</t>
  </si>
  <si>
    <t>보호자와 나란히 문턱을 넘음. 보호자와 약간 뒤나 앞에 있음</t>
  </si>
  <si>
    <t>보호자보다 앞서 걸어 문턱을 넘음</t>
  </si>
  <si>
    <t>앞서 뛰거나 줄이 당겨진 채 문턱을 넘음</t>
  </si>
  <si>
    <t>환경 관찰</t>
  </si>
  <si>
    <t>양쪽·통과</t>
  </si>
  <si>
    <t>SOC_E</t>
  </si>
  <si>
    <t>BI</t>
  </si>
  <si>
    <t>[입장] 비닐 바닥 통과 ※눈에 보인 움직임만 기록. 뛰어서 지난 이유·바닥을 인식했는지는 단정하지 않음.</t>
  </si>
  <si>
    <t>바닥 앞 버팀, 두번 이상의 유도 및 안기</t>
  </si>
  <si>
    <t>멈춰 머뭇거린 뒤 천천히 밟음</t>
  </si>
  <si>
    <t>바닥을 살핀 뒤 멈춤 없이 스스로 걸어감</t>
  </si>
  <si>
    <t>바닥을 살피는 모습 없이 걸어감</t>
  </si>
  <si>
    <t>달리거나 뛰어 바닥을 통과</t>
  </si>
  <si>
    <t>양쪽·살핌</t>
  </si>
  <si>
    <t>[입장] 냄새 — 코를 쓰는가</t>
  </si>
  <si>
    <t>0 — 냄새 맡는 모습 관찰</t>
  </si>
  <si>
    <t>1 — 구간을 볼 수 있었으나 냄새 맡는 모습 없음</t>
  </si>
  <si>
    <t>— 참고 · 입장↔퇴장 비교용</t>
  </si>
  <si>
    <t>범주 0/1</t>
  </si>
  <si>
    <t>[기준] 몸 상태 ※목줄을 푼 뒤 20초. 낯선 실험실의 초기 상태이며 평소 안정 상태로 간주하지 않음.</t>
  </si>
  <si>
    <t>관찰 가능 시간의 절반 초과 동안 움직임이 멎고 몸이 뻣뻣함</t>
  </si>
  <si>
    <t>절반 초과 동안 낮춘 자세·조심스러운 움직임, 지속 굳음은 없음</t>
  </si>
  <si>
    <t>어느 극단도 절반을 넘지 않음; 주로 자연스러운 자세·이동. 반대 반응 혼재는 메모</t>
  </si>
  <si>
    <t>절반 초과 동안 같은 경로를 반복 이동하거나 자세를 자주 바꿈; 지속 뛰기 수준은 아님</t>
  </si>
  <si>
    <t>절반 초과 동안 뛰기·몸 부딪치기·급한 반복 이동이 이어짐</t>
  </si>
  <si>
    <t>— 참고 (기준선)</t>
  </si>
  <si>
    <t>양쪽·몸상태</t>
  </si>
  <si>
    <t>[혼자 초기] 나간 문 쪽 반응 · 보호자의 몸이 완전히 문밖으로 나간 순간부터 처음 10초. C→G 순으로 먼저 해당하는 범주를 선택. 문 지향 반응이며 불안의 단독 증거가 아님.</t>
  </si>
  <si>
    <t>문·안전문을 향해 뛰거나 앞발을 걸어 올림</t>
  </si>
  <si>
    <t>위 행동 없이 문을 코·앞발로 건드림</t>
  </si>
  <si>
    <t>접촉 없이 문 앞 몸길이 1개 이내에서 처음 10초 중 합계 5초 초과 머묾</t>
  </si>
  <si>
    <t>문 쪽을 향하거나 다가갔으나 위 행동은 없음</t>
  </si>
  <si>
    <t>문 쪽 방향 전환·접근이 관찰되지 않음</t>
  </si>
  <si>
    <t>분리·재회 · 문 지향</t>
  </si>
  <si>
    <t>양쪽·거리</t>
  </si>
  <si>
    <t>ATT</t>
  </si>
  <si>
    <t>[혼자 이후] 공간 사용 양상 · 처음 10초 이후~60초까지 50초. C→G 순으로 먼저 해당하는 범주를 선택. 아래 초는 이후 50초 안에서 셈. 해당 없음·관찰 불가·구간 단축은 빈칸과 개59 메모.</t>
  </si>
  <si>
    <t>문을 긁거나 문·안전문을 넘으려 지속적 시도함</t>
  </si>
  <si>
    <t>가끔씩 코나 앞발로 문을 건들음</t>
  </si>
  <si>
    <t>안전문 앞에 20초 이상 있다가 다른 곳을 둘러봄,  그 뒤 위 두 행동 없이 주로 머물다가 둘러보거나 위치를 바꿈</t>
  </si>
  <si>
    <t>앞선 범주에 해당하지 않고, 안전문 앞에 5초 이상~20초 미만 있다가 다른 곳으로 감.</t>
  </si>
  <si>
    <t>위 행동 없이 다른 곳을 살피며 문 쪽으로 돌아오지 않음</t>
  </si>
  <si>
    <t>분리·재회 · 개별</t>
  </si>
  <si>
    <t>범주 · 이후 50초</t>
  </si>
  <si>
    <t>[혼자] 발성량 ※0~3 시간 비중 · 혼자 실제 구간. 못 들으면 빈칸; 0은 들었으나 없음. 종류·시각·관찰 초는 메모. 꼬리로 소리 의미를 정하지 않음.</t>
  </si>
  <si>
    <t>[혼자] 탐색 변화 ※보호자 유무의 균형·반복 비교가 아니므로 안전기지 효과의 단독 판정 제외. 실제 탐색 초와 기준·혼자 관찰 가능 초를 개59에 기록. 아래는 참고 범주.</t>
  </si>
  <si>
    <t>보호자가 있을 때도 탐색이 거의 없다</t>
  </si>
  <si>
    <t>멀리 떨어지지 않고 탐색한다</t>
  </si>
  <si>
    <t>있을 때 탐색하고 나간 뒤 눈에 띄게 줄어든다</t>
  </si>
  <si>
    <t>잠시 신경 쓰고 탐색한다</t>
  </si>
  <si>
    <t>없어져도 있을 때와 마찬가지로 탐색</t>
  </si>
  <si>
    <t>— 참고 (Rehn 2013 · 순서효과)</t>
  </si>
  <si>
    <t>[낯선] 안전문 밖 요원 반응 ※첫 10초. 사람 직접 접촉을 채점하지 않음. +2→+1→−2→0→−1 순으로 해당 여부 확인; 반대 반응 혼재는 사건 시각 기록. 이 우선순위는 운영안. 안전문이 불투명하거나 시야가 가리면 미관찰로 기록.</t>
  </si>
  <si>
    <t>요원 쪽에서 멀어지거나 뒤로 피하는 반응이 나타남</t>
  </si>
  <si>
    <t>접근하지 않고 시작 위치 부근에서 지켜봄</t>
  </si>
  <si>
    <t>안전문 쪽으로 접근·머묾, 앞발을 걸거나 뛰지 않음</t>
  </si>
  <si>
    <t>안전문에 앞발을 걸거나 1~2회 뛰어오름</t>
  </si>
  <si>
    <t>안전문을 향해 3회 이상 뛰어오름</t>
  </si>
  <si>
    <t>사회성 — 사람</t>
  </si>
  <si>
    <t>양쪽·인사</t>
  </si>
  <si>
    <t>SOC_H</t>
  </si>
  <si>
    <t>[낯선] 몸 상태 ※요원 등장~퇴장 전체의 주된 모습. 접근·접촉·퇴장 단계에서 반대 반응이 있었으면 메모.</t>
  </si>
  <si>
    <t>[낯선] 부름 뒤 반응 ※정지선에서 이름 1회 후 4초. 요원은 움직이지 않음. 접근했다면 +1/+2, 접근하지 않았다면 반응 잠재기로 −2/−1/0. 부르기 전 이미 곁에 있으면 접근 변화는 메모.</t>
  </si>
  <si>
    <t>4초 안에 고개·몸 방향 전환이나 접근이 없음</t>
  </si>
  <si>
    <t>접근 없이, 부름 후 3초 초과~4초 이내에 처음 고개·몸을 돌림</t>
  </si>
  <si>
    <t>접근 없이, 3초 이내 고개·몸을 돌림</t>
  </si>
  <si>
    <t>요원 쪽으로 다가오되 뛰어오르거나 매달리지 않음</t>
  </si>
  <si>
    <t>다가와 뛰어오르거나 몸·앞발을 올림</t>
  </si>
  <si>
    <t>[낯선] 거리 확보·위협 관련 신호 ※0~4 범주. 여러 신호는 가장 큰 코드와 나머지 시각을 기록. 강도의 등간 척도·합산값으로 사용하지 않음. 단독 고개 돌림을 두려움으로 확정하지 않음.</t>
  </si>
  <si>
    <t>0 — 아래 신호가 관찰되지 않음; 편안함의 확정은 아님</t>
  </si>
  <si>
    <t>1 — 고개를 돌림</t>
  </si>
  <si>
    <t>2 — 몸을 빼거나 뒤로 물러남</t>
  </si>
  <si>
    <t>3 — 돌아서서 벗어남 · 보호자 뒤나 구석으로 감</t>
  </si>
  <si>
    <t>4 — 으르렁거림 또는 굳은 채 노려봄</t>
  </si>
  <si>
    <t>범주 · 신호</t>
  </si>
  <si>
    <t>[재회] 접근·거리 ※문 열림 0~15초, 보호자 이동·착석·대기 중 먼저 부르거나 만지지 않음. 앉는 시점과 관계없이 15초로 고정.</t>
  </si>
  <si>
    <t>걸어가는 내내 매달려 떨어지지 않음</t>
  </si>
  <si>
    <t>바로 다가와 몸을 붙임</t>
  </si>
  <si>
    <t>다가와 같이 의자로 걸어감</t>
  </si>
  <si>
    <t>한 번 쳐다보고 만다</t>
  </si>
  <si>
    <t>본체만체 · 오지 않음</t>
  </si>
  <si>
    <t>애착·관계 관찰</t>
  </si>
  <si>
    <t>[재회] 후반 몸 상태 ※문 열림 15~30초, 접촉 지시 구간 전체. 실제 접촉 여부를 별도 기록. 개58과 같은 눈금의 기술적 변화만 계산.</t>
  </si>
  <si>
    <t>[재회 접촉] 몸의 중심 ※15~30초 실제 접촉이 이루어진 시간만. 미접촉이면 빈칸. 낯선 접촉과 부호 방향은 반대이며 시간·자세도 달라 직접 점수 차이를 애착으로 해석하지 않음.</t>
  </si>
  <si>
    <t>몸을 얹거나 무릎에 올라감 · 기대어 떨어지지 않음</t>
  </si>
  <si>
    <t>몸이 닿을 만큼 앞으로 붙임</t>
  </si>
  <si>
    <t>앞으로 살짝 기울여 손을 받음</t>
  </si>
  <si>
    <t>선 자리를 지킴 · 몸을 앞으로 옮기지 않음</t>
  </si>
  <si>
    <t>뒤로 물러남 · 옆으로 피함 · 등을 돌림</t>
  </si>
  <si>
    <t>[재회 접촉] 꼬리  ※사용하지 않습니다 (2026-09-22) — 바43(재회 꼬리 — 위치)으로 옮겼습니다</t>
  </si>
  <si>
    <t>— 사용 안 함</t>
  </si>
  <si>
    <t>미사용</t>
  </si>
  <si>
    <t>[재회] 접근 변화 사건 횟수 ※멈춤·고개 돌림·지나침·되돌아섬·굳음을 사건으로 기록. 연속 동작은 1건, 다시 접근을 시작한 뒤 별도 발생하면 추가. 유형·시각은 메모. 1건으로 전체 분류를 무효화하지 않음.</t>
  </si>
  <si>
    <t>0은 관찰 가능했으나 해당 사건 없음. 빈칸은 판독 불가. 횟수는 개별 검토 근거이며 애착 혼란의 진단 기준이 아님.</t>
  </si>
  <si>
    <t>별도 관찰 · 사건 횟수</t>
  </si>
  <si>
    <t>[무시] 보호자와의 거리·확인 ※접촉 종료 뒤 20초. 보12 조건을 함께 확인. 거리 유지와 시선이 함께 든 기존 범주이며 단일 친밀감·애착 강도는 아님.</t>
  </si>
  <si>
    <t>무릎에 올라감 · 몸을 얹고 떨어지지 않음</t>
  </si>
  <si>
    <t>몸이 닿는 거리로 붙어 있음</t>
  </si>
  <si>
    <t>주변 1 m 안에 있으며 가끔 확인</t>
  </si>
  <si>
    <t>떨어져 있고 가끔만 쳐다봄</t>
  </si>
  <si>
    <t>한 번도 쳐다보지 않음 · 혼자 다님</t>
  </si>
  <si>
    <t>[무시] 몸 상태 ※접촉 종료 뒤 20초. 개8과 같은 눈금. 실험 이력·무시 지시의 영향이 함께 포함됨.</t>
  </si>
  <si>
    <t>[걷기] 주된 거리 ※구간 시간 절반 초과를 차지한 범주. 한 번 멀어진 것만으로 전체 +1로 정하지 않음. 동률이면 시작 범주·혼재 사유 기록.</t>
  </si>
  <si>
    <t>접촉하며 다리에 매달리거나 몸을 얹은 상태가 주됨</t>
  </si>
  <si>
    <t>비접촉이나 몸길이 1개 미만으로 붙어 이동</t>
  </si>
  <si>
    <t>몸길이 1개 이상~2개 이내</t>
  </si>
  <si>
    <t>몸길이 2개 초과~5개 이내</t>
  </si>
  <si>
    <t>몸길이 5개 초과</t>
  </si>
  <si>
    <t>행동 동조</t>
  </si>
  <si>
    <t>SYN</t>
  </si>
  <si>
    <t>[걷기] 보호자 확인 ※시선 관찰만. 개24·근접 비율에 합산하지 않음. 친밀감·의존의 직접 판정으로 사용하지 않음.</t>
  </si>
  <si>
    <t>계속 올려다봄 · 앞을 보지 않음</t>
  </si>
  <si>
    <t>자주 올려다보며 걸음</t>
  </si>
  <si>
    <t>이동 중 여러 번 확인하고 다시 앞을 봄</t>
  </si>
  <si>
    <t>한두 번 힐끗</t>
  </si>
  <si>
    <t>한 번도 쳐다보지 않음</t>
  </si>
  <si>
    <t>행동 동조 — 참고</t>
  </si>
  <si>
    <t>[걷기] 이동 — 곁에 있던 국면 수  ※자동 계산 · 입력하지 마세요</t>
  </si>
  <si>
    <t>이동 3국면(38 · 40 · 42행) 가운데 거리 등급이 1 이하였던 국면 수(0~3). 몸길이 2개 안에서 함께 이동한 국면입니다.</t>
  </si>
  <si>
    <t>— 참고 (영역 집계 제외)</t>
  </si>
  <si>
    <t>[걷기] 근접 국면 비율 ※자동. 사람·AI 공통 항목으로 사용 가능. 상태 전환 동조율과 다름.</t>
  </si>
  <si>
    <t>이동·정지 6국면 중 거리 등급 0/1인 국면 ÷ 6. 6칸 모두 관찰되고 보13이 1/2일 때 산출. 보13=3이면 무효, 미입력이면 보류.</t>
  </si>
  <si>
    <t>[퇴장] 문 통과 ※입장 개5와 같은 관찰 기준. 앞서 나감의 이유나 환경 적응을 이 한 항목으로 정하지 않음.</t>
  </si>
  <si>
    <t>문턱 앞 버팀·우회로 자발 통과하지 못함; 유도·안기·당김은 별도 기록</t>
  </si>
  <si>
    <t>자발 통과했으나 보호자 뒤에서 문턱을 넘음</t>
  </si>
  <si>
    <t>보호자와 나란히 문턱을 넘음</t>
  </si>
  <si>
    <t>퇴장 — 환경 적응</t>
  </si>
  <si>
    <t>EXIT</t>
  </si>
  <si>
    <t>[퇴장] 냄새 — 나가면서 코를 쓰는가</t>
  </si>
  <si>
    <t>[입장] 새 물건 반응 ※5초 정지+통과. +2→−2→−1→0→+1 순으로 확인. 여러 반응이면 순서·시각 기록. 정지 신호와 목줄 유도 조건은 보14 확인.</t>
  </si>
  <si>
    <t>버티거나 뒷걸음·큰 우회로 물건에서 거리를 벌림</t>
  </si>
  <si>
    <t>위 행동 없이 목을 길게 빼 살피거나 머뭇거리지만 코 접촉 없음</t>
  </si>
  <si>
    <t>위 행동 없이 살피거나 코 접촉 후 정지 시간을 함께 보내고 보호자가 이동하면 따라감</t>
  </si>
  <si>
    <t>위 행동 없이 곧장 코 접촉하고 정지 시간 중 물건을 지나쳐 이동함</t>
  </si>
  <si>
    <t>물건을 향해 뛰거나 당겨 발·몸·입으로 강하게 접촉함</t>
  </si>
  <si>
    <t>[입장] 개 모양 물체 곁 지나감  ※장면 1-3 · 낯선 개 반응이 아닙니다  ※사용하지 않습니다 (2026-09-22) — 개 모양 물체를 절차에서 뺐습니다</t>
  </si>
  <si>
    <t>[입장] 새 물건 — 첫 코 접촉  ※초 · 참고</t>
  </si>
  <si>
    <t>물건 1 m 앞에 들어선 순간부터 코가 처음 닿기까지 걸린 초를 적습니다. 멈춘 5초가 끝날 때까지 닿지 않으면 99.</t>
  </si>
  <si>
    <t>[입장] 개 모양 물체 — 첫 코 접촉  ※초 · 참고  ※사용하지 않습니다 (2026-09-22) — 개 모양 물체를 절차에서 뺐습니다</t>
  </si>
  <si>
    <t>[퇴장] 새 물건 반응 ※5초 정지+통과. +2→−2→−1→0→+1 순으로 확인. 여러 반응이면 순서·시각 기록. 정지 신호와 목줄 유도 조건은 보14 확인.</t>
  </si>
  <si>
    <t>[퇴장] 개 모양 물체 — 두 번째 곁 지나감  ※입장과 같게 5초 멈춤  ※사용하지 않습니다 (2026-09-22) — 개 모양 물체를 절차에서 뺐습니다</t>
  </si>
  <si>
    <t>[걷기] 정지 — 곁에 있던 국면 수  ※자동 계산 · 입력하지 마세요</t>
  </si>
  <si>
    <t>정지 3국면(39 · 41 · 43행) 가운데 거리 등급이 1 이하였던 국면 수(0~3). 보호자가 멈춘 동안 곁에 있던 국면입니다.</t>
  </si>
  <si>
    <t>[걷기] 0 시작 — 첫 걸음 직전  ※거리 등급 0~3</t>
  </si>
  <si>
    <t>0 실제 신체 접촉 / 1 비접촉~개 몸길이 2개 이내 / 2 몸길이 2개 초과~5개 이내 / 3 몸길이 5개 초과. 사람 양발 중점과 개 몸통 중심을 기준으로 원근 보정. 이동·정지는 주된 시간의 범주, 시작은 첫걸음 직전. 가려 못 보면 빈칸.</t>
  </si>
  <si>
    <t>[걷기] 1 이동 S→A (오른쪽 4걸음)  ※거리 등급 0~3</t>
  </si>
  <si>
    <t>[걷기] 2 정지 A — 다시 걷기 전까지  ※거리 등급 0~3</t>
  </si>
  <si>
    <t>[걷기] 3 이동 A→C (왼쪽 8걸음 · S 지나감)  ※거리 등급 0~3</t>
  </si>
  <si>
    <t>[걷기] 4 정지 C — 다시 걷기 전까지  ※거리 등급 0~3</t>
  </si>
  <si>
    <t>[걷기] 5 이동 C→S (4걸음)  ※거리 등급 0~3</t>
  </si>
  <si>
    <t>[걷기] 6 정지 S — 구간이 끝날 때까지  ※거리 등급 0~3</t>
  </si>
  <si>
    <t>[재회 접촉] 몸의 움직임 · 실제 접촉 시간 ※몸통 자세·자발적 움직임을 함께 봄. 엉덩이 흔들림이나 C자 자세가 없다는 이유만으로 긴장 판정하지 않음. 미접촉은 빈칸.</t>
  </si>
  <si>
    <t>몸통·다리가 굳고 자세 변화 없이 버티는 모습</t>
  </si>
  <si>
    <t>몸을 낮추거나 긴장된 자세로 움직임이 제한됨</t>
  </si>
  <si>
    <t>뻣뻣한 버팀 없이 자연스러운 자세를 유지·변경함; 엉덩이 흔들림은 필수 아님</t>
  </si>
  <si>
    <t>몸을 크게 흔들거나 발 구르기·회전 움직임이 주됨</t>
  </si>
  <si>
    <t>반복 뛰어오름·몸 부딪치기 때문에 접촉 유지가 어려움</t>
  </si>
  <si>
    <t>[입장] 리드줄 상태 — 줄당김 체크  ※참고 · 방 문부터 의자까지 대체로 어느 쪽이었는지(물건 앞 5초 멈춤은 빼고) — 보6 · 보9 는 이 값과 따로, 당긴 장면 · 버틴 장면이 있었는지로 매깁니다</t>
  </si>
  <si>
    <t>뒤에서 버텨 줄이 뒤로 팽팽함</t>
  </si>
  <si>
    <t>뒤처져 따라옴 · 줄은 느슨함</t>
  </si>
  <si>
    <t>옆에서 잘 감 · 줄이 느슨함</t>
  </si>
  <si>
    <t>앞에서 팽팽했다 느슨했다를 반복</t>
  </si>
  <si>
    <t>앞에서 계속 당겨 줄이 팽팽함</t>
  </si>
  <si>
    <t>— 참고 (보6 · 보9 조건 확인)</t>
  </si>
  <si>
    <t>[퇴장] 리드줄 상태 — 줄당김 체크  ※참고 · 목줄을 채운 뒤 문을 나갈 때까지 대체로 어느 쪽이었는지(물건 앞 5초 멈춤은 빼고) — 보6 · 보9 는 이 값과 따로, 당긴 장면 · 버틴 장면이 있었는지로 매깁니다</t>
  </si>
  <si>
    <t>[재회] 발성량 ※0~3 시간 비중 · 문 열림부터 30초 전체. 못 들으면 빈칸; 0은 들었으나 없음. 종류·시각·관찰 초는 메모. 꼬리로 소리 의미를 정하지 않음.</t>
  </si>
  <si>
    <t>[무시] 발성량 ※0~3 시간 비중 · 접촉 종료 뒤 20초. 못 들으면 빈칸; 0은 들었으나 없음. 종류·시각·관찰 초는 메모. 꼬리로 소리 의미를 정하지 않음.</t>
  </si>
  <si>
    <t>[낯선] 발성량 ※0~3 시간 비중 · 요원 등장~퇴장. 못 들으면 빈칸; 0은 들었으나 없음. 종류·시각·관찰 초는 메모. 꼬리로 소리 의미를 정하지 않음.</t>
  </si>
  <si>
    <t>[퇴장] 발성량 ※0~3 시간 비중 · 퇴장 전체. 못 들으면 빈칸; 0은 들었으나 없음. 종류·시각·관찰 초는 메모. 꼬리로 소리 의미를 정하지 않음.</t>
  </si>
  <si>
    <t>[낯선 접촉] 몸의 중심 ※정지선에서 자발적으로 손 닿는 곳에 있고 회피하지 않을 때 최대 3초. 안 왔거나 접촉 전 중단이면 빈칸·개53 경로 기록. 보호자 접촉과 반대 부호·다른 조건임.</t>
  </si>
  <si>
    <t>몸을 얹거나 올라탐 · 뛰어오름 · 떨어지지 않음</t>
  </si>
  <si>
    <t>[낯선 접촉] 몸의 움직임 · 최대 3초 ※몸통 자세·자발적 움직임을 함께 봄. 엉덩이 흔들림이나 C자 자세가 없다는 이유만으로 긴장 판정하지 않음. 미접촉은 빈칸.</t>
  </si>
  <si>
    <t>[낯선] 접촉 경로 ※0~3 범주. 최초 접근 경로와 실제 접촉 성립을 기록. 요원은 20초 전에는 만지지 않음. 미접촉은 0이 아님.</t>
  </si>
  <si>
    <t>0 — 부름 전 스스로 접근했고 정해진 접촉 시간에 접촉 성립</t>
  </si>
  <si>
    <t>1 — 부름 후 접근하여 정해진 접촉 시간에 접촉 성립</t>
  </si>
  <si>
    <t>2 — 접촉 시간까지 손 닿는 곳에 오지 않아 미접촉</t>
  </si>
  <si>
    <t>3 — 회피·굳음·으르렁 등으로 접촉 전/중 복지 중단</t>
  </si>
  <si>
    <t>[낯선] 퇴장 시 따라가기 ※요원이 정지선에서 돌아 첫걸음을 뗀 순간~안전문 통과. 추가 부름·손짓 없음. 회피 후 조기 중단이면 정상 시행과 구분해 비우고 메모.</t>
  </si>
  <si>
    <t>요원 퇴장 시작 뒤 반대쪽으로 이동하거나 뒤로 피함</t>
  </si>
  <si>
    <t>요원 방향으로 움직이지 않음</t>
  </si>
  <si>
    <t>요원 방향으로 1~2걸음 움직인 뒤 멈추거나 다른 행동</t>
  </si>
  <si>
    <t>3걸음 이상 요원 방향으로 이동, 아래 +2 행동 없음</t>
  </si>
  <si>
    <t>따라가며 앞을 가로막거나 뛰어오름·앞발 올림</t>
  </si>
  <si>
    <t>[낯선] 정지선 접근 반응 ※이름 부르기 전, 안전문 안으로 들어와 정지선까지 이동하는 동안. 정지선은 상한이며 회피·굳음·으르렁이면 그 전에 중단.</t>
  </si>
  <si>
    <t>뒤로 물러나거나 달아남 · 몸이 굳어 움직이지 못함</t>
  </si>
  <si>
    <t>자리에서 몸을 낮추거나 고개를 돌림</t>
  </si>
  <si>
    <t>선 자리에서 맞이하거나 한두 걸음 다가감</t>
  </si>
  <si>
    <t>곧장 마주 나아감</t>
  </si>
  <si>
    <t>뛰어오르거나 앞발을 올림</t>
  </si>
  <si>
    <t>[낯선] 보호자 확인 ※관찰된 시선 방향. 사회적 참조 기능을 시선만으로 확정하지 않음. 보호자 반응 시각과 연결해 검토.</t>
  </si>
  <si>
    <t>요원을 거의 보지 않고 보호자만 쳐다봄</t>
  </si>
  <si>
    <t>자주 보호자를 쳐다봄</t>
  </si>
  <si>
    <t>요원을 보다가 몇 번 보호자를 확인하고 다시 요원을 봄</t>
  </si>
  <si>
    <t>한두 번 힐끗 봄</t>
  </si>
  <si>
    <t>[낯선] 보호자 왕복 경로 ※0~3 범주. 갔다가 다시 나온 사실만 기록. 안전기지 효과의 직접 검증·애착 유형 판정에 단독 사용하지 않음.</t>
  </si>
  <si>
    <t>0 — 보호자에게 가지 않았다</t>
  </si>
  <si>
    <t>1 — 보호자에게 갔고 그대로 머물렀다</t>
  </si>
  <si>
    <t>2 — 보호자에게 갔다가 다시 나와 요원 쪽을 살폈다</t>
  </si>
  <si>
    <t>3 — 갔다 나오기를 두 번 이상 되풀이했다</t>
  </si>
  <si>
    <t>[혼자] 몸 상태 ※실제 분리 구간 전체의 주된 상태. 개8·18·23과 같은 눈금. 복지 중단·구간 길이는 메모.</t>
  </si>
  <si>
    <t>몸 상태 변화용</t>
  </si>
  <si>
    <t>기록</t>
  </si>
  <si>
    <t>실제 시각·기회·가림·복지 중단 메모 ※문 열림/착석/접촉 시작·끝/무시/걷기/요원 진입·부름·접촉·퇴장 시각, 관찰 가능한 초, 개21 사건, 접촉 미성립을 적습니다.</t>
  </si>
  <si>
    <t>각 개체 J~AC 칸에 자유롭게 기록합니다.</t>
  </si>
  <si>
    <t>분리 변화</t>
  </si>
  <si>
    <t>개9 → 개10 조합 + 개58 · 개11 · 자동</t>
  </si>
  <si>
    <t>초기 10초(개9)와 이후 50초(개10)의 실제 행동을 순서대로 연결합니다. 25개 조합 문장은 성향문장 65~89행에서 관리합니다. 몸 상태(개58)와 발성(개11)은 분리 구간 전체의 기록입니다. 서로 다른 시간창의 값으로 동시 행동이나 감정의 원인을 추정하지 않습니다.</t>
  </si>
  <si>
    <t>애착유형 · 기존 네 가지 이름을 유지하고 관찰 근거로 판정</t>
  </si>
  <si>
    <t>곁에서 안심하는 사이</t>
  </si>
  <si>
    <t>재회에서 보호자와의 접근·상호작용을 구하거나 받아들이고, 몸의 긴장·분주함이 줄거나 낮은 상태를 유지하는 양상. 접촉 후 곁에서 쉬거나 주변을
살피는 흐름을 함께 봅니다. 점수가 모두 0이라는 이유만으로 정하지 않습니다.
근거: 개17·19의 접근·접촉 + 개18·44의 몸 상태 + 개58→18의 변화와 실제 영상. 분리 발성·문 지향은 별도 근거.</t>
  </si>
  <si>
    <t>가까이 있어도 안심이 어려운 사이</t>
  </si>
  <si>
    <t>보호자에게 접근하거나 접촉을 구하지만, 재회 중에도 긴장·분주함·반복 확인이 이어지는 양상. 가까이 오래 머물렀다는 사실만으로 정하지 않고, 접촉
중 몸 상태와 소리의 변화를 함께 확인합니다.
근거: 개17·19·22의 접촉 구함 + 개18·44·23의 몸 상태. 개11·47·48 발성과 구간별 시각을 함께 보되 점수에 더하지 않음.</t>
  </si>
  <si>
    <t>거리를 두고 지내는 사이</t>
  </si>
  <si>
    <t>재회에서 보호자가 들어오거나 상호작용을 제안했을 때도 자발적 접근·접촉 수용이 적거나 거리를 늘리는 양상. 잠깐의 탐색, 전반적 위축, 접근·접촉
기회 부족과 구분합니다.
근거: 개17·19·22와 실제 부름·접촉 기회. 개18·44·58로 몸 상태를 함께 봄. 문을 덜 보거나 혼자 조용했던 사실만으로 정하지 않음.</t>
  </si>
  <si>
    <t>다가감과 물러섬이 함께 나오는 사이</t>
  </si>
  <si>
    <t>보호자에게 접근·접촉을 구하는 모습과 보호자로부터 물러나는 모습이 함께 나타나며, 그 전후 흐름에서 갈등 양상이 관찰됨. 편안히 접촉한 뒤
탐색하러 가는 흐름이나 한 번의 고개 돌림과 구분합니다.
근거: 개17·19·22의 방향 + 개21 사건의 시각·맥락을 영상으로 대조. 음수·양수 합이 함께 있거나 사건 1건이 있다는 이유만으로 정하지
않음.</t>
  </si>
  <si>
    <t>판정보류</t>
  </si>
  <si>
    <t>다섯 번째 유형이 아닌 판정 상태. 주요 영상·접근/접촉 기회가 부족하거나 조건 이탈·중단·여러 양상 때문에 구분하기 어려운 경우입니다. 사유를 적으며, 개21 사건 한 건만으로 자동 보류하지 않습니다.</t>
  </si>
  <si>
    <t>판정할 때: 분리(개9·10·11·58) → 재회(개17·18·19·21·44·47) → 무시(개22·23·48)의 흐름과 실제 기회를 함께 봅니다. 개12·56·57의 탐색·확인·왕복은 보조 근거로 기록합니다.</t>
  </si>
  <si>
    <t>유형은 이번 시행의 잠정 판정입니다. 점수 평균이나 자동 분기만으로 정하지 않습니다. 영상 시각과 “개 행동 → 보호자와의 상호작용 → 이후 변화”, 반대 근거·기회 부족을 적습니다. 아래는 기존 J~AC 입력과 같은 1~20번 순서입니다.</t>
  </si>
  <si>
    <t>번호</t>
  </si>
  <si>
    <t>애착유형 · 평가자 선택</t>
  </si>
  <si>
    <t>영상·관찰 근거 / 시각·상호작용·이후 변화 / 반대 근거·기회·조건</t>
  </si>
  <si>
    <t>평가자(사람/AI) / 날짜</t>
  </si>
  <si>
    <t>기록 상태
자동</t>
  </si>
  <si>
    <t>기록 완료는 빈칸이 없다는 표시이며 유형 판정의 정확성을 보증하지 않습니다. 두 전문가와 AI의 일치도를 비교할 때는 각자 사본에서 독립 판정한 값을 보존한 뒤 대조합니다.</t>
  </si>
  <si>
    <t>아스트라 전체 수정안 · 보호자 상호작용·3유형 기록 · 2026-09-28</t>
  </si>
  <si>
    <t>보호자 행동은 항목별로 채점합니다. 유형은 아래 44~49행의 기준을 보고 51~70행에서 허용형·조율형·통제형 중 선택하고 근거를 적습니다. 보22는 회피 신호, 보24는 개가 찾아온 기회가 있을 때만 채점합니다.</t>
  </si>
  <si>
    <t>앞 당김</t>
  </si>
  <si>
    <t>앞에서 줄을 당길 때의 요청 표현. 실제 발화로 −1/0/+1 분류. 음량·어조·반복은 별도 메모. 발화 없음·요청 없음·판독 불가·기회 없음은 빈칸+사유. 여러 사건의 건수·시각은 개59에 기록.</t>
  </si>
  <si>
    <t>−2 미사용</t>
  </si>
  <si>
    <t>−1 부탁·제안: 질문·청유·부탁으로 행동 요청. 예: “와 줄래?”, “같이 가자”. 같은 사건에서 직접 지시 없음.</t>
  </si>
  <si>
    <t>0 혼합: 같은 당김 사건에서 부탁·제안과 직접 지시가 모두 확인됨. 순서 기록. 미발화·모호함을 0으로 넣지 않음.</t>
  </si>
  <si>
    <t>+1 직접 지시: 할 행동·멈출 행동을 직접 말함. 예: “기다려”, “이리 와”, “당기지 마”. 같은 사건에서 부탁·제안 없음.</t>
  </si>
  <si>
    <t>+2 미사용</t>
  </si>
  <si>
    <t>보호자 상호작용 · 보조 근거</t>
  </si>
  <si>
    <t>범주 · 요청 표현</t>
  </si>
  <si>
    <t>전 구간</t>
  </si>
  <si>
    <t>앞에서 당기는 개에 대한 줄 대처 ※당김이 발생한 사건. 줄 팽팽함의 원인을 보호자 힘으로 추정하지 않음. 복수 사건은 개59 또는 보25~27에 시각·상반 반응 기록.</t>
  </si>
  <si>
    <t>개가 가는 쪽으로 보호자가 이동해 줄 길이·거리를 맞춤</t>
  </si>
  <si>
    <t>현 위치에서 멈추어 기다림; 보호자가 줄을 당겨 이동시키지 않음</t>
  </si>
  <si>
    <t>멈추어 부르거나 유도한 뒤 개가 돌아오면 이동</t>
  </si>
  <si>
    <t>줄을 짧게 당긴 뒤 즉시 풀어 줌</t>
  </si>
  <si>
    <t>당긴 줄을 유지하거나 반복 당겨 개 몸을 이동시킴</t>
  </si>
  <si>
    <t>보호자 상호작용 · 개별</t>
  </si>
  <si>
    <t>양쪽 · 개입 정도</t>
  </si>
  <si>
    <t>뒤처지거나 버티는 개에 대한 줄 대처 ※버팀 사건이 있을 때. 안아 옮김은 이 축과 별도 메모. 복수 반응은 사건별 시각을 남기고 주된 반응을 선택.</t>
  </si>
  <si>
    <t>개 쪽으로 되돌아가 줄을 느슨하게 함</t>
  </si>
  <si>
    <t>현 위치에서 줄을 느슨하게 두고 기다림</t>
  </si>
  <si>
    <t>줄이 느슨한 상태에서 말·허용된 유도 수단으로 이동을 요청</t>
  </si>
  <si>
    <t>줄을 짧게 당겼다 풀어 이동을 요청</t>
  </si>
  <si>
    <t>줄을 당긴 상태로 유지해 개 몸을 이동시킴</t>
  </si>
  <si>
    <t>[분리] 출입문으로 나가기 전 상호작용 · G→C 순으로 먼저 해당하는 범주 선택. 말·접촉 동시 또는 연속 상호작용은 1회, 멈췄다가 다시 시작하면 새 1회. 횟수·시각은 개59 메모. 숫자는 행동 종류 코드임.</t>
  </si>
  <si>
    <t>-2 (범주): 개를 바라보거나 말·접촉을 하지 않고 나감</t>
  </si>
  <si>
    <t>-1 (범주): 개를 바라보지만 말·접촉 없이 나감</t>
  </si>
  <si>
    <t>0 (범주): 말 또는 접촉을 1회 하고 나감</t>
  </si>
  <si>
    <t>+1 (범주): 말 또는 접촉을 2회 하고 나감</t>
  </si>
  <si>
    <t>+2 (범주): 말 또는 접촉을 3회 이상 하거나, 이동 중 멈추거나 되돌아와 다시 상호작용함</t>
  </si>
  <si>
    <t>보호자 유형 판정 근거
(점수 합계 제외)</t>
  </si>
  <si>
    <t>범주 · 유형 근거</t>
  </si>
  <si>
    <t>[재회] 신체접촉 방식 · 후반 15초. G→C 순으로 먼저 해당하는 범주 선택. 칭찬 톤·횟수, 밀어 내려보냄, 접촉이 없었던 이유는 개59 메모. 보22 회피 후 대응과 함께 유형 판단에 사용. 숫자는 행동 종류 코드임.</t>
  </si>
  <si>
    <t>-2 (범주): 손으로 만지거나 몸을 밀착하는 인사 접촉이 관찰되지 않음</t>
  </si>
  <si>
    <t>-1 (범주): 상체를 크게 기울이지 않고 손으로 만짐</t>
  </si>
  <si>
    <t>0 (범주): 개 쪽으로 상체를 기울여 가까이에서 만짐</t>
  </si>
  <si>
    <t>+1 (범주): 개가 먼저 몸을 기대거나 앞발을 올리는 등 밀착을 시도하면 받아주거나 받쳐 줌</t>
  </si>
  <si>
    <t>+2 (범주): 개의 밀착 시도 전에 보호자가 먼저 안아 올리거나 끌어안아 몸·얼굴을 밀착함</t>
  </si>
  <si>
    <t>[무시] 지시 준수  ※참고 · 조건 준수 확인 · 이 칸만 1~3 입니다</t>
  </si>
  <si>
    <t>20초 동안 말·시선·접촉 없음 — 유효</t>
  </si>
  <si>
    <t>한 번 보거나 말함 — 유효(주의)</t>
  </si>
  <si>
    <t>두 번 이상 · 만짐 — 이 시행의 무시 항목 무효</t>
  </si>
  <si>
    <t>[걷기] 시행 유효성  ※참고 · 조건 준수 확인 · 이 칸만 1~3 입니다</t>
  </si>
  <si>
    <t>걷기 구간(약 30초) 동안 말·손짓 없음 — 유효</t>
  </si>
  <si>
    <t>한 번 부르거나 손짓함 — 유효(주의)</t>
  </si>
  <si>
    <t>두 번 이상 — 이 시행의 걷기 항목과 동조율 무효</t>
  </si>
  <si>
    <t>[물건] 조건 준수 ※입장·퇴장 각 5초. 복지 중단과 단순 지시 이탈은 메모로 구분. 코드3이면 물건 비교 보류. 제외된 개 모양 물체 항목은 채점하지 않음.</t>
  </si>
  <si>
    <t>입장·퇴장 모두 물건 앞에서 5초 · 말·손짓·끌기 없이 멈춤 — 유효</t>
  </si>
  <si>
    <t>한 번 말하거나 짧게 멈춤 — 유효(주의)</t>
  </si>
  <si>
    <t>멈춤 미실시·유도/끌기 등 조건 이탈 — 개30·32·34 비교 보류</t>
  </si>
  <si>
    <t>보16·17·18은 실제 행동 발생 기록입니다. 보19·20·21은 삭제했습니다. 보22는 재회 회피 대응, 보23은 앉은 상태의 지시, 보24는 개가 찾아온 뒤 접촉 대응입니다.</t>
  </si>
  <si>
    <t>[낯선] 보호자 — 개에게 말을 걸거나 이름을 불렀다  ※0 또는 1 · 발생 기록 · 해당하면 1</t>
  </si>
  <si>
    <t>0 — 하지 않았다</t>
  </si>
  <si>
    <t>1 — 했다</t>
  </si>
  <si>
    <t>발생 기록 · 보23·24의 근거</t>
  </si>
  <si>
    <t>[낯선] 보호자 — 개를 붙잡거나 안아 올렸다  ※0 또는 1 · 발생 기록 · 해당하면 1</t>
  </si>
  <si>
    <t>[낯선] 보호자 — 일어서거나 자리를 옮겼다 (개 앞으로 몸을 옮긴 것 포함)  ※0 또는 1 · 발생 기록 · 해당하면 1</t>
  </si>
  <si>
    <t>발생 기록 · 착석 상태 확인</t>
  </si>
  <si>
    <t>조건 기록</t>
  </si>
  <si>
    <t>[재회] 회피 뒤 접촉 변화 ※후반 15초 중 개가 고개·몸을 돌리거나 물러난 첫 명확한 사건 뒤 대응. 보38=2/3일 때만. 접근만 있었다면 채점하지 않음.</t>
  </si>
  <si>
    <t>손을 완전히 거두고 상체도 뒤로 옮겨 거리를 넓힘</t>
  </si>
  <si>
    <t>손 움직임·접촉을 멈추거나 손을 떼되 상체 위치 유지</t>
  </si>
  <si>
    <t>손을 기존 위치에 둔 채 접촉 방식을 바꾸지 않음</t>
  </si>
  <si>
    <t>물러나는 개를 따라 손을 뻗어 접촉을 이어감</t>
  </si>
  <si>
    <t>개 몸을 붙잡거나 안아 움직임을 제한하며 접촉 지속</t>
  </si>
  <si>
    <t>상호작용 · 시범 핵심</t>
  </si>
  <si>
    <t>[낯선] 앉은 상태의 지시 방식. 말·손짓으로 행동을 요청한 정도. G→C 순으로 선택. 반복은 같은 행동을 다시 요청한 횟수. 전 구간 관찰 시만 무지시 선택. 직원 지시·안전 조치는 별도 메모.</t>
  </si>
  <si>
    <t>−2: 개에게 행동을 요청하는 말·손짓 없이 개의 행동을 지켜봄</t>
  </si>
  <si>
    <t>−1: 말·손짓으로 한 번 요청한 뒤 같은 요청을 반복하지 않음</t>
  </si>
  <si>
    <t>0: 같은 행동을 두 번 요청함. 목소리·손짓의 강도를 높이지 않음</t>
  </si>
  <si>
    <t>+1: 같은 행동을 세 번 이상 요청함. 목소리·손짓의 강도를 높이지 않음</t>
  </si>
  <si>
    <t>+2: 요청을 반복하면서 목소리를 높이거나 손짓을 더 크게·급하게 함</t>
  </si>
  <si>
    <t>양쪽 · 지시 정도</t>
  </si>
  <si>
    <t>[낯선] 찾아온 개에 대한 접촉 대응 v0.2. 보40=1/2일 때. 개가 먼저 시작한 접촉·움직임을 따르는지, 이후 접근·회피 신호에 따라 대응을 바꾸는지 구분. 해당 근거가 없으면 빈칸+사유.</t>
  </si>
  <si>
    <t>-2 (범주): 다가온 개를 밀어내거나 몸을 옮겨 접촉을 피함</t>
  </si>
  <si>
    <t>−1: 개가 먼저 기대거나 앞발을 올리는 접촉을 받아 주고, 개가 움직이는 대로 몸·손 위치를 맞춤. 보호자가 새 접촉 형태·방향을 요구하지 않음.</t>
  </si>
  <si>
    <t>0: 개의 추가 접근·회피·멈춤을 확인한 뒤 접촉을 시작·멈추거나 방법을 바꿈. 변화 전후의 개 신호와 대응을 보27에 기록.</t>
  </si>
  <si>
    <t>+1 (범주): 개가 머무는 동안 보호자가 반복해서 쓰다듬거나 접촉 유지</t>
  </si>
  <si>
    <t>+2 (범주): 개를 붙잡거나 안아 올려 보호자 곁에 머물게 함</t>
  </si>
  <si>
    <t>보22 사유・시각</t>
  </si>
  <si>
    <t>재회 회피·접근 사건 시각 / 개 신호 → 보호자 대응. 보39=1·2를 가른 근거와 보22와 같은 사건인지 기록. 접근 기회·판독 불가 사유.</t>
  </si>
  <si>
    <t>보23 사유・시각</t>
  </si>
  <si>
    <t>실제 말·손짓, 요청 횟수·시각, 직전 개 행동과 반응 후 지시를 멈추거나 바꿨는지 기록. 지시가 필요할 상황이 없었는지도 구분. 관찰 불가면 보23 빈칸.</t>
  </si>
  <si>
    <t>보24 사유・시각</t>
  </si>
  <si>
    <t>첫 접근 시각 / 개가 요구한 접촉 / 보호자가 그대로 맞춘 행동 / 이후 신호에 따라 바꾼 행동. 단순 접촉 수용을 조율로 간주하지 않음. −1과 0이 함께 있으면 신호와 대응 변화가 확인된 0을 우선.</t>
  </si>
  <si>
    <t>보22·24는 기회가 있는 첫 명확한 사건의 대응을 기록하는 운영안입니다. 이후 다른 반응은 사유에 기록. 양쪽 코드는 움직임 방향·접촉 관여이며 좋고 나쁨 또는 등간 척도로 검증되지 않았습니다.</t>
  </si>
  <si>
    <t>보38: 0 접근·회피 모두 없음 / 1 접근만 / 2 회피만 / 3 둘 다. 보22는 2 또는 3인 경우만 입력합니다. 기회 없음·판독 불가를 0점으로 넣지 않습니다.</t>
  </si>
  <si>
    <t>보22는 첫 회피 사건 직후부터 다음 분명한 개 행동 전까지의 대응. 여러 행동이 이어지면 가장 마지막에 도달한 범주를 기록하고 전체 순서를 시각과 함께 남깁니다. 이 기록 규칙은 예비 채점에서 확인해야 합니다.</t>
  </si>
  <si>
    <t>보23은 직접 입력합니다. 옛 차단·유도 보41·42와 자동 차감 수식은 삭제했습니다. 숫자 0은 조율형을 뜻하지 않으며, 지시할 상황이 없었던 무지시를 허용형 근거로 단정하지 않습니다.</t>
  </si>
  <si>
    <t>보40: 0 찾아오지 않음 / 1 찾아와 머물며 회피 없음 / 2 찾아온 뒤 접촉 중 회피 / 3 판독 불가. 보24는 1 또는 2만 입력. 보24의 +값은 접촉량·제한 방식이며 과잉이나 나쁜 태도의 판정이 아닙니다.</t>
  </si>
  <si>
    <t>안전 확보·복지 중단 목적의 행동은 그 맥락을 반드시 남깁니다. 중단 뒤 조치는 태도 점수에서 제외. 보호자의 자연스러운 행동과 지시된 행동을 혼동하지 않습니다.</t>
  </si>
  <si>
    <t>재회 지시: 신호 뒤 이름을 한 번 부르고 평소처럼 만져 주세요. 개가 명확히 회피·굳음·으르렁을 보이면 접촉을 멈춥니다. 보22는 지시 전부터 자발적으로 발생한 대응만 관찰하며 직원 중단 신호 뒤 행동은 제외합니다.</t>
  </si>
  <si>
    <t>낯선 사람은 보호자 착석·전환 대기 5초 뒤 시작(운영 제안). 보호자는 앉아서 자연스럽게 반응합니다. 개입은 원관찰에 남기되 통합 비교 조건과 구분합니다.</t>
  </si>
  <si>
    <t>보5는 앞 당김 사건의 요청 표현(−1/0/+1)입니다. 어조·반복은 개59 메모. 보6 앞 당김과 보9 뒤처짐·버팀은 별도 항목으로 유지합니다. 보5를 부호 합계로 유형 점수에 직접 더하지 않습니다.</t>
  </si>
  <si>
    <t>보22 관찰 기회 ※0~3. 개가 보인 사건, 보호자의 좋고 나쁨 아님.</t>
  </si>
  <si>
    <t>0 — 접근·회피 모두 없음</t>
  </si>
  <si>
    <t>1 — 접근만 있었음</t>
  </si>
  <si>
    <t>2 — 회피만 있었음</t>
  </si>
  <si>
    <t>3 — 접근·회피 모두 있었음</t>
  </si>
  <si>
    <t>기회</t>
  </si>
  <si>
    <t>[재회] 자발적 접근 뒤 접촉 대응 v0.2. 보38=1/3일 때. 개가 먼저 시작한 접촉에 맞춤과 이후 신호에 따른 대응 변화를 구분. 보22와 같은 사건이면 같은 재회 장면 안에서 평균.</t>
  </si>
  <si>
    <t>0 — 접근을 막거나 피함</t>
  </si>
  <si>
    <t>1 — 개가 기대거나 올라오는 접촉을 받아 주고, 개 움직임에 몸·손 위치를 맞춤. 보호자가 다른 접촉 형태·방향을 요구하지 않음</t>
  </si>
  <si>
    <t>2 — 개의 추가 접근·회피·멈춤 신호를 확인한 뒤 접촉을 시작·멈추거나 방법을 바꿈. 신호와 대응 변화 기록</t>
  </si>
  <si>
    <t>3 — 붙잡거나 안아 올림</t>
  </si>
  <si>
    <t>보호자 유형 배점 근거</t>
  </si>
  <si>
    <t>범주</t>
  </si>
  <si>
    <t>보24 관찰 기회 ※0~3. 찾아온 뒤 개의 반응을 먼저 기록.</t>
  </si>
  <si>
    <t>0 — 보호자에게 찾아오지 않음</t>
  </si>
  <si>
    <t>1 — 찾아와 머물며 접촉 회피 없음</t>
  </si>
  <si>
    <t>2 — 찾아온 뒤 접촉 중 회피가 있었음</t>
  </si>
  <si>
    <t>3 — 개의 반응 판독 불가</t>
  </si>
  <si>
    <t>보호자 3유형 · 자동 초안이 먼저 나오고, 채점자가 고르면 그것이 이깁니다</t>
  </si>
  <si>
    <t>허용형</t>
  </si>
  <si>
    <t>개의 선택을 주로 따르며 행동 방향을 정하거나 제한하는 개입이 적게 관찰됨. 보10·11의 상호작용·접촉 방식과 줄 대처·재회 대응을 함께 봅니다. 접촉이 많다는 이유만으로 허용형으로 정하지 않으며, 개입할 기회와 지시된 무반응을 구분합니다.</t>
  </si>
  <si>
    <t>조율형</t>
  </si>
  <si>
    <t>개의 접근·회피·멈춤 등 신호에 맞춰 기다림·안내·제한을 바꾸는 모습이 관찰됨. 보10·11의 상호작용 시작·접촉 방식에 보22·38·39의 대응을 대조해 “개 신호 → 보호자 대응 변화”를 기록합니다. 중간 코드나 반대 점수의 혼합을 뜻하지 않습니다.</t>
  </si>
  <si>
    <t>통제형</t>
  </si>
  <si>
    <t>보호자가 정한 방향으로 개의 이동·접촉을 유도하거나 제한하는 개입이 주로 관찰됨. 보10·11의 상호작용 주도와 줄·회피 대응을 함께 봅니다. 먼저 안아 올림·큰 목소리 하나만으로 정하지 않으며, 안전 확보와 실험 지시를 구분합니다.</t>
  </si>
  <si>
    <t>보6·9 줄 대처 / 보22·39 재회 / 보23·24 낯선 사람의 세 장면을 각각 평균 후 합산합니다. 최소 3개 근거 항목·2개 장면을 공통 적용합니다. 60%·15%p 문턱은 검증 전 임시값입니다.</t>
  </si>
  <si>
    <t>허용: 줄 대처에서 개를 따름, 재회·낯선 구간에서 개가 시작한 접촉·움직임을 따름. 조율: 개 신호에 따라 대응을 바꿈. 지시·통제: 행동·이동 제한. 보5·10·11은 보조 해석. **B열 유형을 골라도 C열 근거와 G열 채점자·날짜가 모두 있어야 최종이 됩니다** — 그 전에는 자동 초안이 나가고 U열에 「채점자 기록 미완」이라고 적힙니다. 목록 밖 글자가 들어가면 「유형 입력 확인」으로 표시되고 최종에 쓰지 않습니다.</t>
  </si>
  <si>
    <t>보호자 유형 · 채점자 선택 (비우면 자동 초안)</t>
  </si>
  <si>
    <t>관찰 근거 · 구간/시각 | 개 신호 → 보호자 반응 | 반대 사례·기회·지시 여부</t>
  </si>
  <si>
    <t>채점자 / 날짜</t>
  </si>
  <si>
    <t>근거 항목 수</t>
  </si>
  <si>
    <t>장면 수</t>
  </si>
  <si>
    <t>허용 근거점</t>
  </si>
  <si>
    <t>조율 근거점</t>
  </si>
  <si>
    <t>통제 근거점</t>
  </si>
  <si>
    <t>근거점 합계</t>
  </si>
  <si>
    <t>허용 비율</t>
  </si>
  <si>
    <t>조율 비율</t>
  </si>
  <si>
    <t>통제 비율</t>
  </si>
  <si>
    <t>임시 자동 유형</t>
  </si>
  <si>
    <t>최종 유형</t>
  </si>
  <si>
    <t>판정 출처</t>
  </si>
  <si>
    <t>B열 유형과 J~S열 점수는 자동입니다. C열 영상 근거와 G열 채점자/날짜는 직접 기록합니다. 비율은 이번 임시 규칙의 근거 구성비이며 성격 확률·검증된 진단 점수가 아닙니다.</t>
  </si>
  <si>
    <t>보호자 유형 임시 배점표 v0.2</t>
  </si>
  <si>
    <t>수정 가능한 운영안. 0=해당 유형 배점 없음, 1=약한 근거, 2=뚜렷한 근거로 임시 설정. 같은 장면 내 항목은 평균하여 중복 가중을 줄임.</t>
  </si>
  <si>
    <t>비율 산출 최소 근거 항목</t>
  </si>
  <si>
    <t>비율 산출 최소 장면</t>
  </si>
  <si>
    <t>우세 유형 최소 비율</t>
  </si>
  <si>
    <t>1위·2위 최소 비율 차이</t>
  </si>
  <si>
    <t>보호자 항목</t>
  </si>
  <si>
    <t>원코드</t>
  </si>
  <si>
    <t>통제형(지시)</t>
  </si>
  <si>
    <t>장면</t>
  </si>
  <si>
    <t>배점 이유</t>
  </si>
  <si>
    <t>근거 유무</t>
  </si>
  <si>
    <t>줄 대처</t>
  </si>
  <si>
    <t>개가 가는 방향을 따름</t>
  </si>
  <si>
    <t>당김에 기다림으로 대응</t>
  </si>
  <si>
    <t>개가 돌아온 뒤 이동</t>
  </si>
  <si>
    <t>짧게 줄로 이동 요청</t>
  </si>
  <si>
    <t>반복·지속 당김으로 이동</t>
  </si>
  <si>
    <t>개의 위치로 돌아감</t>
  </si>
  <si>
    <t>버팀에 느슨한 줄로 기다림</t>
  </si>
  <si>
    <t>줄을 느슨하게 두고 요청</t>
  </si>
  <si>
    <t>줄로 몸을 이동</t>
  </si>
  <si>
    <t>회피에 거리를 넓힘</t>
  </si>
  <si>
    <t>회피에 접촉을 멈춤</t>
  </si>
  <si>
    <t>회피 뒤 변화 없음만으로 의도·유형을 단정하지 않음</t>
  </si>
  <si>
    <t>물러남에도 접촉 이어감</t>
  </si>
  <si>
    <t>회피에도 붙잡고 접촉</t>
  </si>
  <si>
    <t>낯선 사람</t>
  </si>
  <si>
    <t>무지시만으로 허용 근거 불충분</t>
  </si>
  <si>
    <t>1회 요청만으로 유형 불충분</t>
  </si>
  <si>
    <t>2회 요청만으로 조율 근거 불충분</t>
  </si>
  <si>
    <t>같은 행동을 반복 요청</t>
  </si>
  <si>
    <t>반복 요청하며 강도 증가</t>
  </si>
  <si>
    <t>개 접근을 밀어내거나 차단</t>
  </si>
  <si>
    <t>개가 먼저 시작한 접촉·움직임을 그대로 따름</t>
  </si>
  <si>
    <t>개 신호를 확인하고 접촉 방식을 바꿈</t>
  </si>
  <si>
    <t>쓰다듬기 지속만으로 유형 불충분</t>
  </si>
  <si>
    <t>곁에 붙잡아 이동 제한</t>
  </si>
  <si>
    <t>계산 내역 · 관찰 기회가 없거나 미입력이면 빈칸. 0배점 범주는 근거 항목 수에서 제외.</t>
  </si>
  <si>
    <t>보6 허용 근거점수</t>
  </si>
  <si>
    <t>보6 조율 근거점수</t>
  </si>
  <si>
    <t>보6 통제 근거점수</t>
  </si>
  <si>
    <t>보9 허용 근거점수</t>
  </si>
  <si>
    <t>보9 조율 근거점수</t>
  </si>
  <si>
    <t>보9 통제 근거점수</t>
  </si>
  <si>
    <t>보22 허용 근거점수</t>
  </si>
  <si>
    <t>보22 조율 근거점수</t>
  </si>
  <si>
    <t>보22 통제 근거점수</t>
  </si>
  <si>
    <t>보23 허용 근거점수</t>
  </si>
  <si>
    <t>보23 조율 근거점수</t>
  </si>
  <si>
    <t>보23 통제 근거점수</t>
  </si>
  <si>
    <t>보24 허용 근거점수</t>
  </si>
  <si>
    <t>보24 조율 근거점수</t>
  </si>
  <si>
    <t>보24 통제 근거점수</t>
  </si>
  <si>
    <t>보6 근거 항목 포함</t>
  </si>
  <si>
    <t>보9 근거 항목 포함</t>
  </si>
  <si>
    <t>보22 근거 항목 포함</t>
  </si>
  <si>
    <t>보23 근거 항목 포함</t>
  </si>
  <si>
    <t>보24 근거 항목 포함</t>
  </si>
  <si>
    <t>줄 대처 허용 평균</t>
  </si>
  <si>
    <t>줄 대처 조율 평균</t>
  </si>
  <si>
    <t>줄 대처 통제 평균</t>
  </si>
  <si>
    <t>재회 허용 평균</t>
  </si>
  <si>
    <t>재회 조율 평균</t>
  </si>
  <si>
    <t>재회 통제 평균</t>
  </si>
  <si>
    <t>낯선 사람 허용 평균</t>
  </si>
  <si>
    <t>낯선 사람 조율 평균</t>
  </si>
  <si>
    <t>낯선 사람 통제 평균</t>
  </si>
  <si>
    <t>재회 접근 배점 · 아래 네 행도 같은 배점표의 일부입니다.</t>
  </si>
  <si>
    <t>개 접근을 막거나 피함</t>
  </si>
  <si>
    <t>개가 시작한 접촉·움직임을 따름</t>
  </si>
  <si>
    <t>개 신호를 보고 접촉 대응을 바꿈</t>
  </si>
  <si>
    <t>붙잡거나 들어 올려 이동을 제한</t>
  </si>
  <si>
    <t>보39 허용 근거점수</t>
  </si>
  <si>
    <t>보39 조율 근거점수</t>
  </si>
  <si>
    <t>보39 통제 근거점수</t>
  </si>
  <si>
    <t>보39 근거 항목 포함</t>
  </si>
  <si>
    <t>행사 관찰 의견</t>
  </si>
  <si>
    <t>관찰한 영역만 적고 관찰자·일자와 완료 표시를 남깁니다. 완료된 의견은 해당 영역의 리포트에 우선 반영하며, 빈 영역은 기존 AI 관찰 근거를 사용합니다. 입장 판단도 각 대상의 같은 입력란에서 작성합니다.</t>
  </si>
  <si>
    <t>반려견</t>
  </si>
  <si>
    <t>기록 상태</t>
  </si>
  <si>
    <t>입력 위치</t>
  </si>
  <si>
    <t>관찰자·일자</t>
  </si>
  <si>
    <t>입장 판단</t>
  </si>
  <si>
    <t>관찰할 내용</t>
  </si>
  <si>
    <t>관찰 의견</t>
  </si>
  <si>
    <t>애착·관계</t>
  </si>
  <si>
    <t>분리 초기·이후, 재회·접촉, 보호자와 함께 있을 때의 모습</t>
  </si>
  <si>
    <t>보호자 교육태도</t>
  </si>
  <si>
    <t>개 행동에 맞춤, 신호에 따른 대응 변화, 지시·제한</t>
  </si>
  <si>
    <t>사람에 대한 사회성</t>
  </si>
  <si>
    <t>낯선 사람의 접근·부름·접촉·퇴장에 대한 반응</t>
  </si>
  <si>
    <t>비사회적 두려움</t>
  </si>
  <si>
    <t>바닥·물건·소리 등 비사회적 자극에 보인 두려움 반응</t>
  </si>
  <si>
    <t>환경 적응·회복</t>
  </si>
  <si>
    <t>첫 반응 이후의 변화와 도움이 된 대응. 실제 시각 확인</t>
  </si>
  <si>
    <t>개의 성향</t>
  </si>
  <si>
    <t>이번 시행의 활동·접근·차분함 등. 고정된 성격으로 단정하지 않음</t>
  </si>
  <si>
    <t>가장 먼저 도와줄 부분</t>
  </si>
  <si>
    <t>작성 표시</t>
  </si>
  <si>
    <t>빈 영역은 AI 근거를 사용합니다. 원점수와 기본 유형은 보존하고 리포트 해석에서 의견을 우선 반영합니다.</t>
  </si>
  <si>
    <t>입장 판단 (선택)</t>
  </si>
  <si>
    <t>선택 시 아래 근거·시각도 기록</t>
  </si>
  <si>
    <t>입장 근거·시각</t>
  </si>
  <si>
    <t>한 마리 결과와 원항목 조회</t>
  </si>
  <si>
    <t>대상 번호</t>
  </si>
  <si>
    <t>리포트에 사용할 우선 근거</t>
  </si>
  <si>
    <t>기본 유형과 관찰 수치</t>
  </si>
  <si>
    <t>기본 애착유형</t>
  </si>
  <si>
    <t>기본 보호자 유형</t>
  </si>
  <si>
    <t>보호자 유형 근거 비율</t>
  </si>
  <si>
    <t>걷기 근접 국면 비율</t>
  </si>
  <si>
    <t>분리 관찰 순서</t>
  </si>
  <si>
    <t>몸 상태 원점수와 변화</t>
  </si>
  <si>
    <t>재회·무시 방향별 합</t>
  </si>
  <si>
    <t>환경 원관찰 방향별 합</t>
  </si>
  <si>
    <t>사람 원관찰 방향별 합</t>
  </si>
  <si>
    <t>시행 조건</t>
  </si>
  <si>
    <t>내부 확인 기록</t>
  </si>
  <si>
    <t>관찰 의견 기록 상태</t>
  </si>
  <si>
    <t>애착 판정 근거</t>
  </si>
  <si>
    <t>애착 평가자·일자</t>
  </si>
  <si>
    <t>애착 기록 상태</t>
  </si>
  <si>
    <t>보호자 유형 수동 근거</t>
  </si>
  <si>
    <t>보호자 유형 기록 상태</t>
  </si>
  <si>
    <t>보호자 유형 평가자·일자</t>
  </si>
  <si>
    <t>입장 자동 근거</t>
  </si>
  <si>
    <t>입장 우선 관찰 근거</t>
  </si>
  <si>
    <t>실제 시각·기회·가림 메모</t>
  </si>
  <si>
    <t>분리·재회 보조 서술</t>
  </si>
  <si>
    <t>애착 유형과 별도로 읽는 분리·재회 보조 서술입니다. 분리 초기 개9와 재회·무시 관찰을 연결하며, 실제 분리 원점수·시간·접촉 기회를 함께 봅니다. 자동 보조 서술만으로 애착 유형을 대체하지 않습니다.</t>
  </si>
  <si>
    <t>꼬리 — 기준 구간 대비</t>
  </si>
  <si>
    <t>이 화면은 리포트 작성 근거입니다. 보호자에게는 기존 리포트 양식으로 유형·총평·실천 조언을 통합하며, 내부 출처·미완성 메모를 그대로 출력하지 않습니다.</t>
  </si>
  <si>
    <t>원항목 조회 · 점수 수정은 원래 채점 시트에서</t>
  </si>
  <si>
    <t>항목</t>
  </si>
  <si>
    <t>기록값</t>
  </si>
  <si>
    <t>해당 범주 또는 기록 종류</t>
  </si>
  <si>
    <t>눈금·원본 위치</t>
  </si>
  <si>
    <t>보5</t>
  </si>
  <si>
    <t>범주 · 요청 표현
3_보호자행동 5행</t>
  </si>
  <si>
    <t>바5</t>
  </si>
  <si>
    <t>양쪽·위치
1_바디시그널 5행</t>
  </si>
  <si>
    <t>바6</t>
  </si>
  <si>
    <t>한쪽·발성량
1_바디시그널 6행</t>
  </si>
  <si>
    <t>바7</t>
  </si>
  <si>
    <t>양쪽·위치
1_바디시그널 7행</t>
  </si>
  <si>
    <t>바8</t>
  </si>
  <si>
    <t>참고
1_바디시그널 8행</t>
  </si>
  <si>
    <t>바14</t>
  </si>
  <si>
    <t>참고
1_바디시그널 14행</t>
  </si>
  <si>
    <t>바15</t>
  </si>
  <si>
    <t>참고
1_바디시그널 15행</t>
  </si>
  <si>
    <t>바16</t>
  </si>
  <si>
    <t>참고
1_바디시그널 16행</t>
  </si>
  <si>
    <t>개5</t>
  </si>
  <si>
    <t>양쪽·통과
2_개행동 5행</t>
  </si>
  <si>
    <t>개6</t>
  </si>
  <si>
    <t>양쪽·살핌
2_개행동 6행</t>
  </si>
  <si>
    <t>개7</t>
  </si>
  <si>
    <t>범주 0/1
2_개행동 7행</t>
  </si>
  <si>
    <t>개30</t>
  </si>
  <si>
    <t>양쪽·살핌
2_개행동 30행</t>
  </si>
  <si>
    <t>개32</t>
  </si>
  <si>
    <t>참고
2_개행동 32행</t>
  </si>
  <si>
    <t>보14</t>
  </si>
  <si>
    <t>참고
3_보호자행동 14행</t>
  </si>
  <si>
    <t>바38</t>
  </si>
  <si>
    <t>양쪽·위치
1_바디시그널 38행</t>
  </si>
  <si>
    <t>바40</t>
  </si>
  <si>
    <t>양쪽·움직임
1_바디시그널 40행</t>
  </si>
  <si>
    <t>개8</t>
  </si>
  <si>
    <t>양쪽·몸상태
2_개행동 8행</t>
  </si>
  <si>
    <t>바9</t>
  </si>
  <si>
    <t>양쪽·위치
1_바디시그널 9행</t>
  </si>
  <si>
    <t>바10</t>
  </si>
  <si>
    <t>참고
1_바디시그널 10행</t>
  </si>
  <si>
    <t>바20</t>
  </si>
  <si>
    <t>참고
1_바디시그널 20행</t>
  </si>
  <si>
    <t>바21</t>
  </si>
  <si>
    <t>참고
1_바디시그널 21행</t>
  </si>
  <si>
    <t>바22</t>
  </si>
  <si>
    <t>참고
1_바디시그널 22행</t>
  </si>
  <si>
    <t>개9</t>
  </si>
  <si>
    <t>양쪽·거리
2_개행동 9행</t>
  </si>
  <si>
    <t>개10</t>
  </si>
  <si>
    <t>범주 · 이후 50초
2_개행동 10행</t>
  </si>
  <si>
    <t>개11</t>
  </si>
  <si>
    <t>한쪽·발성량
2_개행동 11행</t>
  </si>
  <si>
    <t>개12</t>
  </si>
  <si>
    <t>참고
2_개행동 12행</t>
  </si>
  <si>
    <t>보10</t>
  </si>
  <si>
    <t>범주 · 유형 근거
3_보호자행동 10행</t>
  </si>
  <si>
    <t>바11</t>
  </si>
  <si>
    <t>양쪽·위치
1_바디시그널 11행</t>
  </si>
  <si>
    <t>바23</t>
  </si>
  <si>
    <t>참고
1_바디시그널 23행</t>
  </si>
  <si>
    <t>바24</t>
  </si>
  <si>
    <t>참고
1_바디시그널 24행</t>
  </si>
  <si>
    <t>바25</t>
  </si>
  <si>
    <t>참고
1_바디시그널 25행</t>
  </si>
  <si>
    <t>바41</t>
  </si>
  <si>
    <t>양쪽·움직임
1_바디시그널 41행</t>
  </si>
  <si>
    <t>개13</t>
  </si>
  <si>
    <t>양쪽·인사
2_개행동 13행</t>
  </si>
  <si>
    <t>개14</t>
  </si>
  <si>
    <t>양쪽·몸상태
2_개행동 14행</t>
  </si>
  <si>
    <t>개15</t>
  </si>
  <si>
    <t>양쪽·인사
2_개행동 15행</t>
  </si>
  <si>
    <t>개16</t>
  </si>
  <si>
    <t>범주 · 신호
2_개행동 16행</t>
  </si>
  <si>
    <t>바26</t>
  </si>
  <si>
    <t>참고
1_바디시그널 26행</t>
  </si>
  <si>
    <t>바27</t>
  </si>
  <si>
    <t>참고
1_바디시그널 27행</t>
  </si>
  <si>
    <t>바28</t>
  </si>
  <si>
    <t>참고
1_바디시그널 28행</t>
  </si>
  <si>
    <t>바42</t>
  </si>
  <si>
    <t>양쪽·움직임
1_바디시그널 42행</t>
  </si>
  <si>
    <t>바43</t>
  </si>
  <si>
    <t>양쪽·위치
1_바디시그널 43행</t>
  </si>
  <si>
    <t>개17</t>
  </si>
  <si>
    <t>양쪽·거리
2_개행동 17행</t>
  </si>
  <si>
    <t>개18</t>
  </si>
  <si>
    <t>양쪽·몸상태
2_개행동 18행</t>
  </si>
  <si>
    <t>개19</t>
  </si>
  <si>
    <t>양쪽·거리
2_개행동 19행</t>
  </si>
  <si>
    <t>개21</t>
  </si>
  <si>
    <t>참고
2_개행동 21행</t>
  </si>
  <si>
    <t>개44</t>
  </si>
  <si>
    <t>양쪽·몸상태
2_개행동 44행</t>
  </si>
  <si>
    <t>보11</t>
  </si>
  <si>
    <t>범주 · 유형 근거
3_보호자행동 11행</t>
  </si>
  <si>
    <t>바29</t>
  </si>
  <si>
    <t>참고
1_바디시그널 29행</t>
  </si>
  <si>
    <t>바30</t>
  </si>
  <si>
    <t>참고
1_바디시그널 30행</t>
  </si>
  <si>
    <t>바31</t>
  </si>
  <si>
    <t>참고
1_바디시그널 31행</t>
  </si>
  <si>
    <t>바39</t>
  </si>
  <si>
    <t>양쪽·위치
1_바디시그널 39행</t>
  </si>
  <si>
    <t>개22</t>
  </si>
  <si>
    <t>양쪽·거리
2_개행동 22행</t>
  </si>
  <si>
    <t>개23</t>
  </si>
  <si>
    <t>양쪽·몸상태
2_개행동 23행</t>
  </si>
  <si>
    <t>보12</t>
  </si>
  <si>
    <t>참고
3_보호자행동 12행</t>
  </si>
  <si>
    <t>바12</t>
  </si>
  <si>
    <t>양쪽·위치
1_바디시그널 12행</t>
  </si>
  <si>
    <t>바32</t>
  </si>
  <si>
    <t>참고
1_바디시그널 32행</t>
  </si>
  <si>
    <t>바33</t>
  </si>
  <si>
    <t>참고
1_바디시그널 33행</t>
  </si>
  <si>
    <t>바34</t>
  </si>
  <si>
    <t>참고
1_바디시그널 34행</t>
  </si>
  <si>
    <t>개24</t>
  </si>
  <si>
    <t>양쪽·거리
2_개행동 24행</t>
  </si>
  <si>
    <t>개25</t>
  </si>
  <si>
    <t>양쪽·살핌
2_개행동 25행</t>
  </si>
  <si>
    <t>개26</t>
  </si>
  <si>
    <t>참고
2_개행동 26행</t>
  </si>
  <si>
    <t>개27</t>
  </si>
  <si>
    <t>참고
2_개행동 27행</t>
  </si>
  <si>
    <t>개36</t>
  </si>
  <si>
    <t>참고
2_개행동 36행</t>
  </si>
  <si>
    <t>개37</t>
  </si>
  <si>
    <t>참고
2_개행동 37행</t>
  </si>
  <si>
    <t>개38</t>
  </si>
  <si>
    <t>참고
2_개행동 38행</t>
  </si>
  <si>
    <t>개39</t>
  </si>
  <si>
    <t>참고
2_개행동 39행</t>
  </si>
  <si>
    <t>개40</t>
  </si>
  <si>
    <t>참고
2_개행동 40행</t>
  </si>
  <si>
    <t>개41</t>
  </si>
  <si>
    <t>참고
2_개행동 41행</t>
  </si>
  <si>
    <t>개42</t>
  </si>
  <si>
    <t>참고
2_개행동 42행</t>
  </si>
  <si>
    <t>개43</t>
  </si>
  <si>
    <t>참고
2_개행동 43행</t>
  </si>
  <si>
    <t>보13</t>
  </si>
  <si>
    <t>참고
3_보호자행동 13행</t>
  </si>
  <si>
    <t>바13</t>
  </si>
  <si>
    <t>양쪽·위치
1_바디시그널 13행</t>
  </si>
  <si>
    <t>바35</t>
  </si>
  <si>
    <t>참고
1_바디시그널 35행</t>
  </si>
  <si>
    <t>바36</t>
  </si>
  <si>
    <t>참고
1_바디시그널 36행</t>
  </si>
  <si>
    <t>바37</t>
  </si>
  <si>
    <t>참고
1_바디시그널 37행</t>
  </si>
  <si>
    <t>개28</t>
  </si>
  <si>
    <t>양쪽·통과
2_개행동 28행</t>
  </si>
  <si>
    <t>개29</t>
  </si>
  <si>
    <t>범주 0/1
2_개행동 29행</t>
  </si>
  <si>
    <t>개34</t>
  </si>
  <si>
    <t>양쪽·살핌
2_개행동 34행</t>
  </si>
  <si>
    <t>보6</t>
  </si>
  <si>
    <t>양쪽 · 개입 정도
3_보호자행동 6행</t>
  </si>
  <si>
    <t>보9</t>
  </si>
  <si>
    <t>양쪽 · 개입 정도
3_보호자행동 9행</t>
  </si>
  <si>
    <t>개45</t>
  </si>
  <si>
    <t>참고
2_개행동 45행</t>
  </si>
  <si>
    <t>개46</t>
  </si>
  <si>
    <t>참고
2_개행동 46행</t>
  </si>
  <si>
    <t>바44</t>
  </si>
  <si>
    <t>양쪽·위치
1_바디시그널 44행</t>
  </si>
  <si>
    <t>개47</t>
  </si>
  <si>
    <t>한쪽·발성량
2_개행동 47행</t>
  </si>
  <si>
    <t>개48</t>
  </si>
  <si>
    <t>한쪽·발성량
2_개행동 48행</t>
  </si>
  <si>
    <t>개49</t>
  </si>
  <si>
    <t>한쪽·발성량
2_개행동 49행</t>
  </si>
  <si>
    <t>개50</t>
  </si>
  <si>
    <t>한쪽·발성량
2_개행동 50행</t>
  </si>
  <si>
    <t>개51</t>
  </si>
  <si>
    <t>양쪽·인사
2_개행동 51행</t>
  </si>
  <si>
    <t>개52</t>
  </si>
  <si>
    <t>양쪽·몸상태
2_개행동 52행</t>
  </si>
  <si>
    <t>개53</t>
  </si>
  <si>
    <t>참고
2_개행동 53행</t>
  </si>
  <si>
    <t>개54</t>
  </si>
  <si>
    <t>양쪽·인사
2_개행동 54행</t>
  </si>
  <si>
    <t>바45</t>
  </si>
  <si>
    <t>양쪽·위치
1_바디시그널 45행</t>
  </si>
  <si>
    <t>개55</t>
  </si>
  <si>
    <t>양쪽·인사
2_개행동 55행</t>
  </si>
  <si>
    <t>개56</t>
  </si>
  <si>
    <t>참고
2_개행동 56행</t>
  </si>
  <si>
    <t>개57</t>
  </si>
  <si>
    <t>참고
2_개행동 57행</t>
  </si>
  <si>
    <t>보16</t>
  </si>
  <si>
    <t>참고
3_보호자행동 16행</t>
  </si>
  <si>
    <t>보17</t>
  </si>
  <si>
    <t>참고
3_보호자행동 17행</t>
  </si>
  <si>
    <t>보18</t>
  </si>
  <si>
    <t>조건 기록
3_보호자행동 18행</t>
  </si>
  <si>
    <t>바17</t>
  </si>
  <si>
    <t>참고
1_바디시그널 17행</t>
  </si>
  <si>
    <t>바18</t>
  </si>
  <si>
    <t>참고
1_바디시그널 18행</t>
  </si>
  <si>
    <t>바19</t>
  </si>
  <si>
    <t>참고
1_바디시그널 19행</t>
  </si>
  <si>
    <t>보22</t>
  </si>
  <si>
    <t>양쪽 · 개입 정도
3_보호자행동 22행</t>
  </si>
  <si>
    <t>보23</t>
  </si>
  <si>
    <t>양쪽 · 지시 정도
3_보호자행동 23행</t>
  </si>
  <si>
    <t>보24</t>
  </si>
  <si>
    <t>범주 · 유형 근거
3_보호자행동 24행</t>
  </si>
  <si>
    <t>보38</t>
  </si>
  <si>
    <t>기회
3_보호자행동 38행</t>
  </si>
  <si>
    <t>보39</t>
  </si>
  <si>
    <t>범주
3_보호자행동 39행</t>
  </si>
  <si>
    <t>보40</t>
  </si>
  <si>
    <t>기회
3_보호자행동 40행</t>
  </si>
  <si>
    <t>개58</t>
  </si>
  <si>
    <t>양쪽·몸상태
2_개행동 58행</t>
  </si>
  <si>
    <t>개59</t>
  </si>
  <si>
    <t>기록
2_개행동 59행</t>
  </si>
  <si>
    <t>개20</t>
  </si>
  <si>
    <t>미사용
2_개행동 20행</t>
  </si>
  <si>
    <t>개31</t>
  </si>
  <si>
    <t>미사용
2_개행동 31행</t>
  </si>
  <si>
    <t>개33</t>
  </si>
  <si>
    <t>미사용
2_개행동 33행</t>
  </si>
  <si>
    <t>개35</t>
  </si>
  <si>
    <t>미사용
2_개행동 35행</t>
  </si>
  <si>
    <t>개60</t>
  </si>
  <si>
    <t>자동
2_개행동 60행</t>
  </si>
  <si>
    <t>보25</t>
  </si>
  <si>
    <t>기록
3_보호자행동 25행</t>
  </si>
  <si>
    <t>보26</t>
  </si>
  <si>
    <t>기록
3_보호자행동 26행</t>
  </si>
  <si>
    <t>보27</t>
  </si>
  <si>
    <t>기록
3_보호자행동 27행</t>
  </si>
  <si>
    <t>아스트라 · 개별 관찰과 방향 요약 / 합산값은 검증 전 기술 지표</t>
  </si>
  <si>
    <t>파랑=원본 의미를 유지한 정리, 빨강=기준·계산·해석 변경 및 추가. 원코드·관찰수·조건을 먼저 봅니다. 보호자 3유형은 AQ~AT에 채점자 선택과 근거를 연결하며 평균으로 만들지 않습니다.</t>
  </si>
  <si>
    <t>반려견 이름</t>
  </si>
  <si>
    <t>견종 · 나이</t>
  </si>
  <si>
    <t>보호자 개별 행동</t>
  </si>
  <si>
    <t>환경 방향</t>
  </si>
  <si>
    <t>낯선 사람 방향</t>
  </si>
  <si>
    <t>애착유형</t>
  </si>
  <si>
    <t>걷기 관찰</t>
  </si>
  <si>
    <t>퇴장 관찰</t>
  </si>
  <si>
    <t>기준→무시 기술 차이</t>
  </si>
  <si>
    <t>혼자→재회 기술 차이</t>
  </si>
  <si>
    <t>(뺀 칸)</t>
  </si>
  <si>
    <t>낯선 방 초기 상태</t>
  </si>
  <si>
    <t>근접 국면 비율</t>
  </si>
  <si>
    <t>메모 · 주요 이슈</t>
  </si>
  <si>
    <t>퇴장 직후 10초 문 반응</t>
  </si>
  <si>
    <t>이후 50초 공간 사용</t>
  </si>
  <si>
    <t>재회 후반 몸 상태</t>
  </si>
  <si>
    <t>재회·무시 접촉 쪽 합</t>
  </si>
  <si>
    <t>재회·무시 거리 쪽 합</t>
  </si>
  <si>
    <t>환경 방향 요약</t>
  </si>
  <si>
    <t>걷기 거리 범주</t>
  </si>
  <si>
    <t>퇴장 문 범주</t>
  </si>
  <si>
    <t>몸 상태 −칸 수</t>
  </si>
  <si>
    <t>몸 상태 +칸 수</t>
  </si>
  <si>
    <t>몸 상태 방향 요약</t>
  </si>
  <si>
    <t>같은 물건 반응 비교</t>
  </si>
  <si>
    <t>입장 문 범주</t>
  </si>
  <si>
    <t>걷기 시선 범주</t>
  </si>
  <si>
    <t>꼬리 위치 원범주 차이</t>
  </si>
  <si>
    <t>보호자 유형</t>
  </si>
  <si>
    <t>유형 관찰 근거</t>
  </si>
  <si>
    <t>유형 기록 상태</t>
  </si>
  <si>
    <t>유형 채점자·날짜</t>
  </si>
  <si>
    <t>애착 판정 보조</t>
  </si>
  <si>
    <t>소리·사건 원관찰</t>
  </si>
  <si>
    <t>중앙범주 기술 지표</t>
  </si>
  <si>
    <t>발성 원관찰</t>
  </si>
  <si>
    <t>환경 분리 합계</t>
  </si>
  <si>
    <t>낯선 사람 분리 합계</t>
  </si>
  <si>
    <t>애착 관찰 근거</t>
  </si>
  <si>
    <t>애착 평가자·날짜</t>
  </si>
  <si>
    <t>애착 유형 설명</t>
  </si>
  <si>
    <t>분리·재회 보조 서술 · 여기서 사용하는 개9는 처음 10초의 문 반응. 이후 변화는 CK열에 별도 표시. M열 애착유형과 AU 보조는 유지. 검증된 애착유형이 아님.</t>
  </si>
  <si>
    <t>꼬리 — 기준 구간 대비 (위치는 바38 · 흔들림은 바40 을 뺀 값 · 기준 20초도 낯선 장소이므로 «평소»가 아니다 · 낯선 바닥은 AP 가 이미 낸다)</t>
  </si>
  <si>
    <t>입장 — 낯선 곳에 들어갈 때 (2026-09-28 · ④층 요약 체크 · 주축은 개5 · 개6 · 개30 · 물건은 보14 가 3 이면 뺀다 · 꼬리·긴장 신호·냄새는 근거 줄에만 나온다)</t>
  </si>
  <si>
    <t>행사 전문가 · 애착·관계</t>
  </si>
  <si>
    <t>행사 전문가 · 보호자 교육태도</t>
  </si>
  <si>
    <t>행사 전문가 · 사람 사회성</t>
  </si>
  <si>
    <t>행사 전문가 · 환경 적응·회복</t>
  </si>
  <si>
    <t>행사 전문가 · 우선 도움</t>
  </si>
  <si>
    <t>행사 전문가 · 관찰자·일자</t>
  </si>
  <si>
    <t>행사 전문가 · 기록 상태</t>
  </si>
  <si>
    <t>분리 반응 변화</t>
  </si>
  <si>
    <t>애착·관계 우선 근거</t>
  </si>
  <si>
    <t>교육태도 우선 근거</t>
  </si>
  <si>
    <t>사람 사회성 우선 근거</t>
  </si>
  <si>
    <t>환경 적응·회복 우선 근거</t>
  </si>
  <si>
    <t>실천 조언 우선 근거</t>
  </si>
  <si>
    <t>관찰 원기록 · 비사회적 두려움</t>
  </si>
  <si>
    <t>관찰 원기록 · 개의 성향</t>
  </si>
  <si>
    <t>비사회적 두려움 우선 의견</t>
  </si>
  <si>
    <t>개의 성향 우선 의견</t>
  </si>
  <si>
    <t>보호자 유형 · 판정 출처 (2026-09-28 · 채점자 선택 / 자동 초안)</t>
  </si>
  <si>
    <t>보5 앞 당김 요청 표현</t>
  </si>
  <si>
    <t>보6 앞 당김 대처</t>
  </si>
  <si>
    <t>보9 뒤 버팀 대처</t>
  </si>
  <si>
    <t>환경 −합/관찰수</t>
  </si>
  <si>
    <t>환경 +합/관찰수</t>
  </si>
  <si>
    <t>환경 관찰수 /3</t>
  </si>
  <si>
    <t>사람 방향 요약</t>
  </si>
  <si>
    <t>사람 −합/관찰수</t>
  </si>
  <si>
    <t>사람 +합/관찰수</t>
  </si>
  <si>
    <t>평가자 선택 · 잠정</t>
  </si>
  <si>
    <t>재회 몸 상태</t>
  </si>
  <si>
    <t>재회 발성량 0~3</t>
  </si>
  <si>
    <t>걷기 거리 개24</t>
  </si>
  <si>
    <t>걷기 시선 개25</t>
  </si>
  <si>
    <t>퇴장 문 통과</t>
  </si>
  <si>
    <t>퇴장 물건 반응</t>
  </si>
  <si>
    <t>퇴장 발성량</t>
  </si>
  <si>
    <t>|기준 몸|−|무시 몸|</t>
  </si>
  <si>
    <t>|혼자 몸|−|재회 몸|</t>
  </si>
  <si>
    <t>사용 안 함</t>
  </si>
  <si>
    <t>기준 몸 상태</t>
  </si>
  <si>
    <t>개9 · 초기 10초</t>
  </si>
  <si>
    <t>개10 · 이후 50초</t>
  </si>
  <si>
    <t>재회 몸 개18</t>
  </si>
  <si>
    <t>접촉 쪽 합 /6</t>
  </si>
  <si>
    <t>거리 쪽 합 /6</t>
  </si>
  <si>
    <t>입장 꼬리−기준 꼬리</t>
  </si>
  <si>
    <t>보호자 유형 (최종)</t>
  </si>
  <si>
    <t>구간·시각·대응</t>
  </si>
  <si>
    <t>자동 누락 확인</t>
  </si>
  <si>
    <t>사람 기록</t>
  </si>
  <si>
    <t>행동 패턴 · 자동</t>
  </si>
  <si>
    <t>발성·사건 별도 표시</t>
  </si>
  <si>
    <t>환경 중앙범주 지표</t>
  </si>
  <si>
    <t>사람 중앙범주 지표</t>
  </si>
  <si>
    <t>통합 중앙범주 지표</t>
  </si>
  <si>
    <t>무시 발성량 원코드</t>
  </si>
  <si>
    <t>환경 −절댓값 합</t>
  </si>
  <si>
    <t>환경 +합</t>
  </si>
  <si>
    <t>환경 관찰 수 /3</t>
  </si>
  <si>
    <t>사람 −절댓값 합</t>
  </si>
  <si>
    <t>사람 +합</t>
  </si>
  <si>
    <t>사람 관찰 수 /7</t>
  </si>
  <si>
    <t>영상·시각·조건</t>
  </si>
  <si>
    <t>사람/AI 구분</t>
  </si>
  <si>
    <t>입력 누락 확인</t>
  </si>
  <si>
    <t>근거 입력 후 표시</t>
  </si>
  <si>
    <t>퇴장 직후와 재회·무시</t>
  </si>
  <si>
    <t>입장(바5)</t>
  </si>
  <si>
    <t>혼자(바9)</t>
  </si>
  <si>
    <t>낯선(바11)</t>
  </si>
  <si>
    <t>퇴장(바13)</t>
  </si>
  <si>
    <t>무시(바39)</t>
  </si>
  <si>
    <t>재회 접촉(바43)</t>
  </si>
  <si>
    <t>입장 새 물건(바44)</t>
  </si>
  <si>
    <t>낯선 접촉(바45)</t>
  </si>
  <si>
    <t>흔들림 · 낯선(바41)</t>
  </si>
  <si>
    <t>흔들림 · 재회(바42)</t>
  </si>
  <si>
    <t>주저 쪽 칸 수</t>
  </si>
  <si>
    <t>들이닥침 쪽 칸 수</t>
  </si>
  <si>
    <t>주축 관찰 칸 수</t>
  </si>
  <si>
    <t>자동 초안</t>
  </si>
  <si>
    <t>근거 요약</t>
  </si>
  <si>
    <t>완료된 입장 판단</t>
  </si>
  <si>
    <t>입장 관찰 근거</t>
  </si>
  <si>
    <t>입장 판단 · 최종</t>
  </si>
  <si>
    <t>완료된 의견만 연결</t>
  </si>
  <si>
    <t>완료 여부 확인</t>
  </si>
  <si>
    <t>개9·개10 조합 · 자동</t>
  </si>
  <si>
    <t>내부 작성 자료 · 완료 의견 우선 / 빈 영역은 AI 근거</t>
  </si>
  <si>
    <t>빈칸이면 해당 영역 AI 영상·설문 근거로 작성</t>
  </si>
  <si>
    <t>자동 문장 사전 · 관찰값이 뒷받침하는 범위만 기술</t>
  </si>
  <si>
    <t>한마리상세의 자동 문장과 연결됩니다. 자료 부족·조건 미확인·이탈은 판정을 보류하며 0·안정으로 바꾸지 않습니다.</t>
  </si>
  <si>
    <t>갈래</t>
  </si>
  <si>
    <t>문장</t>
  </si>
  <si>
    <t>열쇠(자동)</t>
  </si>
  <si>
    <t>해석 범위</t>
  </si>
  <si>
    <t>환경</t>
  </si>
  <si>
    <t>−방향 관찰</t>
  </si>
  <si>
    <t>환경 항목에는 −방향으로 분류된 행동이 기록되었습니다. 구체적인 모습은 원항목 설명을 확인해 주세요.</t>
  </si>
  <si>
    <t>이번 관찰의 기술 문장. 성격·원인·임상 진단으로 확장하지 않음.</t>
  </si>
  <si>
    <t>+방향 관찰</t>
  </si>
  <si>
    <t>환경 항목에는 +방향으로 분류된 행동이 기록되었습니다. 구체적인 모습은 원항목 설명을 확인해 주세요.</t>
  </si>
  <si>
    <t>중앙범주만 관찰</t>
  </si>
  <si>
    <t>환경에서 채점한 항목은 모두 각 항목의 중앙범주였습니다. 이것만으로 편안함이나 사회성의 정도를 확정하지 않습니다.</t>
  </si>
  <si>
    <t>양방향 관찰</t>
  </si>
  <si>
    <t>환경의 여러 항목에서 양쪽 방향의 행동이 함께 기록되었습니다. 항목별 장면을 함께 확인해 주세요.</t>
  </si>
  <si>
    <t>자료 부족</t>
  </si>
  <si>
    <t>환경 반응은 필요한 관찰값이 부족해 요약을 보류했습니다.</t>
  </si>
  <si>
    <t>사람</t>
  </si>
  <si>
    <t>사람 항목에는 −방향으로 분류된 행동이 기록되었습니다. 구체적인 모습은 원항목 설명을 확인해 주세요.</t>
  </si>
  <si>
    <t>사람 항목에는 +방향으로 분류된 행동이 기록되었습니다. 구체적인 모습은 원항목 설명을 확인해 주세요.</t>
  </si>
  <si>
    <t>사람에서 채점한 항목은 모두 각 항목의 중앙범주였습니다. 이것만으로 편안함이나 사회성의 정도를 확정하지 않습니다.</t>
  </si>
  <si>
    <t>사람의 여러 항목에서 양쪽 방향의 행동이 함께 기록되었습니다. 항목별 장면을 함께 확인해 주세요.</t>
  </si>
  <si>
    <t>사람 반응은 필요한 관찰값이 부족해 요약을 보류했습니다.</t>
  </si>
  <si>
    <t>애착</t>
  </si>
  <si>
    <t>접촉·거리 반응 혼재</t>
  </si>
  <si>
    <t>애착 판정의 보조 관찰: 접촉·거리 반응 혼재. 최종 유형은 평가자가 기록한 판정과 영상 근거를 함께 봅니다.</t>
  </si>
  <si>
    <t>재회 몸 상태 지속</t>
  </si>
  <si>
    <t>애착 판정의 보조 관찰: 재회 몸 상태 지속. 최종 유형은 평가자가 기록한 판정과 영상 근거를 함께 봅니다.</t>
  </si>
  <si>
    <t>거리 유지 관찰</t>
  </si>
  <si>
    <t>애착 판정의 보조 관찰: 거리 유지 관찰. 최종 유형은 평가자가 기록한 판정과 영상 근거를 함께 봅니다.</t>
  </si>
  <si>
    <t>접촉 유지 관찰</t>
  </si>
  <si>
    <t>애착 판정의 보조 관찰: 접촉 유지 관찰. 최종 유형은 평가자가 기록한 판정과 영상 근거를 함께 봅니다.</t>
  </si>
  <si>
    <t>기준상 뚜렷한 치우침 없음</t>
  </si>
  <si>
    <t>애착 판정의 보조 관찰: 기준상 뚜렷한 치우침 없음. 최종 유형은 평가자가 기록한 판정과 영상 근거를 함께 봅니다.</t>
  </si>
  <si>
    <t>애착 판정의 보조 관찰: 자료 부족. 최종 유형은 평가자가 기록한 판정과 영상 근거를 함께 봅니다.</t>
  </si>
  <si>
    <t>조건 이탈</t>
  </si>
  <si>
    <t>애착 판정의 보조 관찰: 조건 이탈. 최종 유형은 평가자가 기록한 판정과 영상 근거를 함께 봅니다.</t>
  </si>
  <si>
    <t>동조</t>
  </si>
  <si>
    <t>-2</t>
  </si>
  <si>
    <t>접촉하며 다리에 매달리거나 몸을 얹은 상태가 주됨으로 기록되었습니다.</t>
  </si>
  <si>
    <t>-1</t>
  </si>
  <si>
    <t>비접촉이나 몸길이 1개 미만으로 붙어 이동으로 기록되었습니다.</t>
  </si>
  <si>
    <t>몸길이 1개 이상~2개 이내으로 기록되었습니다.</t>
  </si>
  <si>
    <t>몸길이 2개 초과~5개 이내으로 기록되었습니다.</t>
  </si>
  <si>
    <t>몸길이 5개 초과으로 기록되었습니다.</t>
  </si>
  <si>
    <t>퇴장·몸</t>
  </si>
  <si>
    <t>문턱 앞 버팀·우회로 자발 통과하지 못함; 유도·안기·당김은 별도 기록으로 기록되었습니다.</t>
  </si>
  <si>
    <t>자발 통과했으나 보호자 뒤에서 문턱을 넘음으로 기록되었습니다.</t>
  </si>
  <si>
    <t>보호자와 나란히 문턱을 넘음으로 기록되었습니다.</t>
  </si>
  <si>
    <t>보호자보다 앞서 걸어 문턱을 넘음으로 기록되었습니다.</t>
  </si>
  <si>
    <t>앞서 뛰거나 줄이 당겨진 채 문턱을 넘음으로 기록되었습니다.</t>
  </si>
  <si>
    <t>퇴장·물건</t>
  </si>
  <si>
    <t>같은 범주</t>
  </si>
  <si>
    <t>같은 물건에 대한 입장·퇴장 반응이 같은 범주로 기록되었습니다.</t>
  </si>
  <si>
    <t>범주 변화</t>
  </si>
  <si>
    <t>같은 물건에 대한 입장·퇴장 반응 범주가 달랐습니다. 익숙해짐·피로·순서 등의 원인을 이 차이만으로 가릴 수 없습니다.</t>
  </si>
  <si>
    <t>비교 보류</t>
  </si>
  <si>
    <t>물건 관찰값이나 진행 조건이 부족해 입장·퇴장 비교를 보류했습니다.</t>
  </si>
  <si>
    <t>몸 상태</t>
  </si>
  <si>
    <t>관찰된 몸 상태 코드는 ‘−방향 관찰’였습니다. 꼬리·발성과 구분한 결과이며 촬영 전체의 감정을 뜻하지 않습니다.</t>
  </si>
  <si>
    <t>관찰된 몸 상태 코드는 ‘+방향 관찰’였습니다. 꼬리·발성과 구분한 결과이며 촬영 전체의 감정을 뜻하지 않습니다.</t>
  </si>
  <si>
    <t>관찰된 몸 상태 코드는 ‘중앙범주만 관찰’였습니다. 꼬리·발성과 구분한 결과이며 촬영 전체의 감정을 뜻하지 않습니다.</t>
  </si>
  <si>
    <t>관찰된 몸 상태 코드는 ‘양방향 관찰’였습니다. 꼬리·발성과 구분한 결과이며 촬영 전체의 감정을 뜻하지 않습니다.</t>
  </si>
  <si>
    <t>입장·몸</t>
  </si>
  <si>
    <t>동조·확인</t>
  </si>
  <si>
    <t>계속 올려다봄 · 앞을 보지 않음으로 기록되었습니다.</t>
  </si>
  <si>
    <t>자주 올려다보며 걸음으로 기록되었습니다.</t>
  </si>
  <si>
    <t>이동 중 여러 번 확인하고 다시 앞을 봄으로 기록되었습니다.</t>
  </si>
  <si>
    <t>한두 번 힐끗으로 기록되었습니다.</t>
  </si>
  <si>
    <t>한 번도 쳐다보지 않음으로 기록되었습니다.</t>
  </si>
  <si>
    <t>애착유형(잠정)</t>
  </si>
  <si>
    <t>이번 시행에서는 보호자와의 상호작용 속에서 안심하는 양상으로 판정했습니다. 구체적인 장면은 아래의 영상·관찰 근거와 함께 읽어 주세요.</t>
  </si>
  <si>
    <t>평가자 선택과 영상 근거에 따른 잠정 판정. 문헌의 안정형·회피형·양가형·혼란형과 일대일로 대응하지 않음.</t>
  </si>
  <si>
    <t>이번 시행에서는 보호자에게 다가가거나 접촉을 구해도 긴장이나 분주함이 쉽게 가라앉지 않는 양상으로 판정했습니다. 그때의 상황과 몸 상태를 관찰 근거에서 확인해 주세요.</t>
  </si>
  <si>
    <t>이번 시행에서는 보호자와의 상호작용을 적극적으로 구하기보다 거리를 유지하는 양상으로 판정했습니다. 접근 기회와 다른 자극의 영향을 관찰 근거와 함께 확인해 주세요.</t>
  </si>
  <si>
    <t>이번 시행에서는 보호자에게 다가가는 모습과 물러나는 모습이 함께 나타나는 양상으로 판정했습니다. 어떤 순서와 상황에서 나타났는지 영상·관찰 근거를 함께 읽어 주세요.</t>
  </si>
  <si>
    <t>이번 시행의 기록만으로는 애착유형을 정하기 어려워 판정을 보류했습니다. 영상·관찰 근거에 적힌 보류 사유를 확인해 주세요.</t>
  </si>
  <si>
    <t>조건 미확인</t>
  </si>
  <si>
    <t>환경 비교의 진행 조건이 확인되지 않아 해석을 보류했습니다.</t>
  </si>
  <si>
    <t>낯선 사람 구간의 보호자 개입 여부가 확인되지 않아 통합 해석을 보류했습니다.</t>
  </si>
  <si>
    <t>보호자 3유형</t>
  </si>
  <si>
    <t>이번 관찰에서 채점자는 보호자가 개의 선택을 주로 따르고 행동을 제한하는 개입이 적은 양상으로 요약했습니다. 실제 장면과 개입 기회는 아래 근거를 함께 읽어 주세요.</t>
  </si>
  <si>
    <t>보호자 3유형|허용형</t>
  </si>
  <si>
    <t>채점자 선택 + 관찰 근거. 검증 전 운영 분류이며 평소 성격·양육의 좋고 나쁨을 확정하지 않음.</t>
  </si>
  <si>
    <t>이번 관찰에서 채점자는 보호자가 개의 신호에 맞춰 기다리거나 안내·제한하는 방식을 바꾸는 양상으로 요약했습니다. 대응이 달라진 장면은 아래 근거를 함께 읽어 주세요.</t>
  </si>
  <si>
    <t>보호자 3유형|조율형</t>
  </si>
  <si>
    <t>이번 관찰에서 채점자는 보호자가 정한 방향으로 개의 행동을 유도하거나 제한하는 개입이 주로 나타난 양상으로 요약했습니다. 개의 반응과 안전·실험 지시 여부는 아래 근거를 함께 읽어 주세요.</t>
  </si>
  <si>
    <t>보호자 3유형|통제형</t>
  </si>
  <si>
    <t>분리 초기·이후 관찰 조합 문장</t>
  </si>
  <si>
    <t>초기 개9</t>
  </si>
  <si>
    <t>이후 개10</t>
  </si>
  <si>
    <t>문 반응의 관찰 순서</t>
  </si>
  <si>
    <t>처음 10초에는 문·안전문을 향해 뛰거나 앞발을 걸어 올림. 이후 50초에는 문을 긁거나 넘으려는 지속적 시도가 관찰됨.</t>
  </si>
  <si>
    <t>처음 10초에는 문·안전문을 향해 뛰거나 앞발을 걸어 올림. 이후 50초에는 가끔 코나 앞발로 문을 건드림.</t>
  </si>
  <si>
    <t>처음 10초에는 문·안전문을 향해 뛰거나 앞발을 걸어 올림. 이후 50초에는 문 앞에 20초 이상 머문 뒤 주변을 둘러보거나 위치를 바꿈.</t>
  </si>
  <si>
    <t>처음 10초에는 문·안전문을 향해 뛰거나 앞발을 걸어 올림. 이후 50초에는 문 앞에 5초 이상 20초 미만 머문 뒤 다른 곳으로 감.</t>
  </si>
  <si>
    <t>처음 10초에는 문·안전문을 향해 뛰거나 앞발을 걸어 올림. 이후 50초에는 다른 곳을 살피며 문 쪽으로 돌아오지 않음.</t>
  </si>
  <si>
    <t>처음 10초에는 문을 코나 앞발로 건드림. 이후 50초에는 문을 긁거나 넘으려는 지속적 시도가 관찰됨.</t>
  </si>
  <si>
    <t>처음 10초에는 문을 코나 앞발로 건드림. 이후 50초에는 가끔 코나 앞발로 문을 건드림.</t>
  </si>
  <si>
    <t>처음 10초에는 문을 코나 앞발로 건드림. 이후 50초에는 문 앞에 20초 이상 머문 뒤 주변을 둘러보거나 위치를 바꿈.</t>
  </si>
  <si>
    <t>처음 10초에는 문을 코나 앞발로 건드림. 이후 50초에는 문 앞에 5초 이상 20초 미만 머문 뒤 다른 곳으로 감.</t>
  </si>
  <si>
    <t>처음 10초에는 문을 코나 앞발로 건드림. 이후 50초에는 다른 곳을 살피며 문 쪽으로 돌아오지 않음.</t>
  </si>
  <si>
    <t>처음 10초에는 문 앞 몸길이 1개 이내에서 합계 5초를 넘게 머묾. 이후 50초에는 문을 긁거나 넘으려는 지속적 시도가 관찰됨.</t>
  </si>
  <si>
    <t>처음 10초에는 문 앞 몸길이 1개 이내에서 합계 5초를 넘게 머묾. 이후 50초에는 가끔 코나 앞발로 문을 건드림.</t>
  </si>
  <si>
    <t>처음 10초에는 문 앞 몸길이 1개 이내에서 합계 5초를 넘게 머묾. 이후 50초에는 문 앞에 20초 이상 머문 뒤 주변을 둘러보거나 위치를 바꿈.</t>
  </si>
  <si>
    <t>처음 10초에는 문 앞 몸길이 1개 이내에서 합계 5초를 넘게 머묾. 이후 50초에는 문 앞에 5초 이상 20초 미만 머문 뒤 다른 곳으로 감.</t>
  </si>
  <si>
    <t>처음 10초에는 문 앞 몸길이 1개 이내에서 합계 5초를 넘게 머묾. 이후 50초에는 다른 곳을 살피며 문 쪽으로 돌아오지 않음.</t>
  </si>
  <si>
    <t>처음 10초에는 문 쪽을 향하거나 다가감. 이후 50초에는 문을 긁거나 넘으려는 지속적 시도가 관찰됨.</t>
  </si>
  <si>
    <t>처음 10초에는 문 쪽을 향하거나 다가감. 이후 50초에는 가끔 코나 앞발로 문을 건드림.</t>
  </si>
  <si>
    <t>처음 10초에는 문 쪽을 향하거나 다가감. 이후 50초에는 문 앞에 20초 이상 머문 뒤 주변을 둘러보거나 위치를 바꿈.</t>
  </si>
  <si>
    <t>처음 10초에는 문 쪽을 향하거나 다가감. 이후 50초에는 문 앞에 5초 이상 20초 미만 머문 뒤 다른 곳으로 감.</t>
  </si>
  <si>
    <t>처음 10초에는 문 쪽을 향하거나 다가감. 이후 50초에는 다른 곳을 살피며 문 쪽으로 돌아오지 않음.</t>
  </si>
  <si>
    <t>처음 10초에는 문 쪽 방향 전환·접근이 관찰되지 않음. 이후 50초에는 문을 긁거나 넘으려는 지속적 시도가 관찰됨.</t>
  </si>
  <si>
    <t>처음 10초에는 문 쪽 방향 전환·접근이 관찰되지 않음. 이후 50초에는 가끔 코나 앞발로 문을 건드림.</t>
  </si>
  <si>
    <t>처음 10초에는 문 쪽 방향 전환·접근이 관찰되지 않음. 이후 50초에는 문 앞에 20초 이상 머문 뒤 주변을 둘러보거나 위치를 바꿈.</t>
  </si>
  <si>
    <t>처음 10초에는 문 쪽 방향 전환·접근이 관찰되지 않음. 이후 50초에는 문 앞에 5초 이상 20초 미만 머문 뒤 다른 곳으로 감.</t>
  </si>
  <si>
    <t>처음 10초에는 문 쪽 방향 전환·접근이 관찰되지 않음. 이후 50초에는 다른 곳을 살피며 문 쪽으로 돌아오지 않음.</t>
  </si>
  <si>
    <t>개9와 개10은 관찰 시간과 범주가 다릅니다. 코드의 대소·차이로 불안의 증감이나 안정 여부를 정하지 않습니다. 몸 상태와 발성은 분리 구간 전체의 별도 관찰로 함께 읽습니다.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</si>
</sst>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\+0.00;\-0.00;0.00"/>
    <numFmt numFmtId="177" formatCode="0.0%"/>
    <numFmt numFmtId="178" formatCode="\+0;\-0;0"/>
  </numFmts>
  <fonts count="10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</patternFill>
    </fill>
    <fill>
      <patternFill patternType="solid">
        <fgColor rgb="FFE8E8E8"/>
      </patternFill>
    </fill>
    <fill>
      <patternFill patternType="solid">
        <fgColor rgb="FFF4F4F4"/>
      </patternFill>
    </fill>
    <fill>
      <patternFill patternType="solid">
        <fgColor rgb="FFF6F6F6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/>
      <top/>
      <bottom/>
      <diagonal/>
    </border>
  </borders>
  <cellStyleXfs count="1">
    <xf numFmtId="0" fontId="0" fillId="2" borderId="6"/>
  </cellStyleXfs>
  <cellXfs count="70"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Fill="1" applyBorder="1"/>
    <xf numFmtId="0" fontId="2" fillId="0" borderId="0" xfId="0" applyFont="1" applyFill="1" applyBorder="1"/>
    <xf numFmtId="0" fontId="4" fillId="3" borderId="0" xfId="0" applyFont="1" applyFill="1" applyBorder="1" applyAlignment="1">
      <alignment wrapText="1"/>
    </xf>
    <xf numFmtId="0" fontId="2" fillId="3" borderId="0" xfId="0" applyFont="1" applyFill="1" applyBorder="1" applyAlignment="1">
      <alignment vertical="center"/>
    </xf>
    <xf numFmtId="0" fontId="5" fillId="3" borderId="0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2" fontId="2" fillId="3" borderId="0" xfId="0" applyNumberFormat="1" applyFont="1" applyFill="1" applyBorder="1" applyAlignment="1">
      <alignment vertical="center" wrapText="1"/>
    </xf>
    <xf numFmtId="9" fontId="2" fillId="3" borderId="0" xfId="0" applyNumberFormat="1" applyFont="1" applyFill="1" applyBorder="1" applyAlignment="1">
      <alignment vertical="center" wrapText="1"/>
    </xf>
    <xf numFmtId="9" fontId="2" fillId="3" borderId="0" xfId="0" applyNumberFormat="1" applyFont="1" applyFill="1" applyBorder="1"/>
    <xf numFmtId="2" fontId="2" fillId="3" borderId="0" xfId="0" applyNumberFormat="1" applyFont="1" applyFill="1" applyBorder="1"/>
    <xf numFmtId="0" fontId="3" fillId="3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0" fontId="2" fillId="4" borderId="3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0" xfId="0" applyFont="1" applyFill="1" applyBorder="1" applyAlignment="1">
      <alignment vertical="center" wrapText="1"/>
    </xf>
    <xf numFmtId="0" fontId="7" fillId="4" borderId="0" xfId="0" applyFont="1" applyFill="1" applyBorder="1"/>
    <xf numFmtId="0" fontId="2" fillId="4" borderId="2" xfId="0" applyFont="1" applyFill="1" applyBorder="1" applyAlignment="1">
      <alignment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vertical="center" wrapText="1"/>
    </xf>
    <xf numFmtId="9" fontId="3" fillId="3" borderId="0" xfId="0" applyNumberFormat="1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 wrapText="1"/>
    </xf>
    <xf numFmtId="0" fontId="2" fillId="3" borderId="0" xfId="0" applyFont="1" applyFill="1" applyBorder="1"/>
    <xf numFmtId="0" fontId="2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wrapText="1"/>
    </xf>
    <xf numFmtId="0" fontId="5" fillId="3" borderId="0" xfId="0" applyFont="1" applyFill="1" applyBorder="1" applyAlignment="1">
      <alignment vertical="center" wrapText="1"/>
    </xf>
    <xf numFmtId="0" fontId="3" fillId="5" borderId="0" xfId="0" applyFont="1" applyFill="1" applyBorder="1" applyAlignment="1">
      <alignment vertical="center" wrapText="1"/>
    </xf>
    <xf numFmtId="0" fontId="3" fillId="4" borderId="0" xfId="0" applyFont="1" applyFill="1" applyBorder="1" applyAlignment="1">
      <alignment vertical="center" wrapText="1"/>
    </xf>
    <xf numFmtId="0" fontId="2" fillId="4" borderId="0" xfId="0" applyFont="1" applyFill="1" applyBorder="1"/>
    <xf numFmtId="0" fontId="2" fillId="4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6" fillId="4" borderId="6" xfId="0" applyFont="1" applyFill="1" applyAlignment="1">
      <alignment vertical="center" wrapText="1"/>
    </xf>
    <xf numFmtId="178" fontId="3" fillId="6" borderId="0" xfId="0" applyNumberFormat="1" applyFont="1" applyFill="1" applyBorder="1" applyAlignment="1">
      <alignment vertical="center" wrapText="1"/>
    </xf>
    <xf numFmtId="178" fontId="3" fillId="3" borderId="0" xfId="0" applyNumberFormat="1" applyFont="1" applyFill="1" applyBorder="1" applyAlignment="1">
      <alignment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>
      <alignment horizontal="center" vertical="center" wrapText="1"/>
    </xf>
    <xf numFmtId="178" fontId="3" fillId="3" borderId="1" xfId="0" applyNumberFormat="1" applyFont="1" applyFill="1" applyBorder="1" applyAlignment="1">
      <alignment horizontal="center" vertical="center" wrapText="1"/>
    </xf>
    <xf numFmtId="178" fontId="2" fillId="0" borderId="0" xfId="0" applyNumberFormat="1" applyFont="1" applyFill="1" applyBorder="1" applyAlignment="1">
      <alignment wrapText="1"/>
    </xf>
    <xf numFmtId="0" fontId="3" fillId="3" borderId="6" xfId="0" applyFont="1" applyFill="1" applyAlignment="1">
      <alignment vertical="center" wrapText="1"/>
    </xf>
    <xf numFmtId="0" fontId="0" fillId="0" borderId="0" xfId="0" applyFill="1" applyBorder="1"/>
    <xf numFmtId="0" fontId="6" fillId="4" borderId="6" xfId="0" applyFont="1" applyFill="1" applyAlignment="1">
      <alignment vertical="center" wrapText="1"/>
    </xf>
    <xf numFmtId="0" fontId="8" fillId="3" borderId="6" xfId="0" applyFont="1" applyFill="1" applyAlignment="1">
      <alignment vertical="center" wrapText="1"/>
    </xf>
    <xf numFmtId="0" fontId="2" fillId="3" borderId="6" xfId="0" applyFont="1" applyFill="1"/>
    <xf numFmtId="0" fontId="4" fillId="3" borderId="6" xfId="0" applyFont="1" applyFill="1" applyAlignment="1">
      <alignment vertical="center" wrapText="1"/>
    </xf>
    <xf numFmtId="0" fontId="2" fillId="3" borderId="6" xfId="0" applyFont="1" applyFill="1" applyAlignment="1">
      <alignment wrapText="1"/>
    </xf>
    <xf numFmtId="0" fontId="2" fillId="3" borderId="6" xfId="0" applyFont="1" applyFill="1" applyAlignment="1">
      <alignment vertical="center" wrapText="1"/>
    </xf>
    <xf numFmtId="0" fontId="5" fillId="3" borderId="6" xfId="0" applyFont="1" applyFill="1" applyAlignment="1">
      <alignment vertical="center" wrapText="1"/>
    </xf>
    <xf numFmtId="0" fontId="4" fillId="3" borderId="6" xfId="0" applyFont="1" applyFill="1"/>
    <xf numFmtId="0" fontId="3" fillId="5" borderId="6" xfId="0" applyFont="1" applyFill="1" applyAlignment="1">
      <alignment vertical="center" wrapText="1"/>
    </xf>
    <xf numFmtId="0" fontId="3" fillId="4" borderId="6" xfId="0" applyFont="1" applyFill="1" applyAlignment="1">
      <alignment vertical="center" wrapText="1"/>
    </xf>
    <xf numFmtId="0" fontId="2" fillId="4" borderId="6" xfId="0" applyFont="1" applyFill="1"/>
    <xf numFmtId="0" fontId="2" fillId="0" borderId="6" xfId="0" applyFont="1" applyFill="1" applyAlignment="1">
      <alignment wrapText="1"/>
    </xf>
    <xf numFmtId="0" fontId="4" fillId="4" borderId="6" xfId="0" applyFont="1" applyFill="1" applyAlignment="1">
      <alignment wrapText="1"/>
    </xf>
    <xf numFmtId="0" fontId="2" fillId="4" borderId="6" xfId="0" applyFont="1" applyFill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7"/>
  <sheetViews>
    <sheetView showGridLines="0" tabSelected="1" workbookViewId="0">
      <selection sqref="A1:F1"/>
    </sheetView>
  </sheetViews>
  <sheetFormatPr defaultRowHeight="16.5" x14ac:dyDescent="0.3"/>
  <cols>
    <col min="1" max="1" width="22" style="2" customWidth="1"/>
    <col min="2" max="6" width="23" style="2" customWidth="1"/>
  </cols>
  <sheetData>
    <row r="1" spans="1:6" ht="24" customHeight="1" x14ac:dyDescent="0.3">
      <c r="A1" s="57" t="s">
        <v>0</v>
      </c>
      <c r="B1" s="55"/>
      <c r="C1" s="55"/>
      <c r="D1" s="55"/>
      <c r="E1" s="55"/>
      <c r="F1" s="55"/>
    </row>
    <row r="2" spans="1:6" ht="12" customHeight="1" x14ac:dyDescent="0.3">
      <c r="A2" s="36"/>
      <c r="B2" s="36"/>
      <c r="C2" s="36"/>
      <c r="D2" s="36"/>
      <c r="E2" s="36"/>
      <c r="F2" s="36"/>
    </row>
    <row r="3" spans="1:6" ht="24" customHeight="1" x14ac:dyDescent="0.3">
      <c r="A3" s="54" t="s">
        <v>1</v>
      </c>
      <c r="B3" s="55"/>
      <c r="C3" s="55"/>
      <c r="D3" s="55"/>
      <c r="E3" s="55"/>
      <c r="F3" s="55"/>
    </row>
    <row r="4" spans="1:6" ht="24" customHeight="1" x14ac:dyDescent="0.3">
      <c r="A4" s="55"/>
      <c r="B4" s="55"/>
      <c r="C4" s="55"/>
      <c r="D4" s="55"/>
      <c r="E4" s="55"/>
      <c r="F4" s="55"/>
    </row>
    <row r="5" spans="1:6" ht="12" customHeight="1" x14ac:dyDescent="0.3">
      <c r="A5" s="36"/>
      <c r="B5" s="36"/>
      <c r="C5" s="36"/>
      <c r="D5" s="36"/>
      <c r="E5" s="36"/>
      <c r="F5" s="36"/>
    </row>
    <row r="6" spans="1:6" ht="26.1" customHeight="1" x14ac:dyDescent="0.3">
      <c r="A6" s="56" t="s">
        <v>2</v>
      </c>
      <c r="B6" s="55"/>
      <c r="C6" s="55"/>
      <c r="D6" s="55"/>
      <c r="E6" s="55"/>
      <c r="F6" s="55"/>
    </row>
    <row r="7" spans="1:6" ht="12" customHeight="1" x14ac:dyDescent="0.3">
      <c r="A7" s="36"/>
      <c r="B7" s="36"/>
      <c r="C7" s="36"/>
      <c r="D7" s="36"/>
      <c r="E7" s="36"/>
      <c r="F7" s="36"/>
    </row>
    <row r="8" spans="1:6" ht="48" customHeight="1" x14ac:dyDescent="0.3">
      <c r="A8" s="36" t="s">
        <v>3</v>
      </c>
      <c r="B8" s="54" t="s">
        <v>4</v>
      </c>
      <c r="C8" s="55"/>
      <c r="D8" s="55"/>
      <c r="E8" s="55"/>
      <c r="F8" s="55"/>
    </row>
    <row r="9" spans="1:6" ht="48" customHeight="1" x14ac:dyDescent="0.3">
      <c r="A9" s="36" t="s">
        <v>5</v>
      </c>
      <c r="B9" s="54" t="s">
        <v>6</v>
      </c>
      <c r="C9" s="55"/>
      <c r="D9" s="55"/>
      <c r="E9" s="55"/>
      <c r="F9" s="55"/>
    </row>
    <row r="10" spans="1:6" ht="48" customHeight="1" x14ac:dyDescent="0.3">
      <c r="A10" s="36" t="s">
        <v>7</v>
      </c>
      <c r="B10" s="54" t="s">
        <v>8</v>
      </c>
      <c r="C10" s="55"/>
      <c r="D10" s="55"/>
      <c r="E10" s="55"/>
      <c r="F10" s="55"/>
    </row>
    <row r="11" spans="1:6" ht="48" customHeight="1" x14ac:dyDescent="0.3">
      <c r="A11" s="36" t="s">
        <v>9</v>
      </c>
      <c r="B11" s="54" t="s">
        <v>10</v>
      </c>
      <c r="C11" s="55"/>
      <c r="D11" s="55"/>
      <c r="E11" s="55"/>
      <c r="F11" s="55"/>
    </row>
    <row r="12" spans="1:6" ht="48" customHeight="1" x14ac:dyDescent="0.3">
      <c r="A12" s="36" t="s">
        <v>11</v>
      </c>
      <c r="B12" s="54" t="s">
        <v>12</v>
      </c>
      <c r="C12" s="55"/>
      <c r="D12" s="55"/>
      <c r="E12" s="55"/>
      <c r="F12" s="55"/>
    </row>
    <row r="13" spans="1:6" ht="48" customHeight="1" x14ac:dyDescent="0.3">
      <c r="A13" s="36" t="s">
        <v>13</v>
      </c>
      <c r="B13" s="54" t="s">
        <v>14</v>
      </c>
      <c r="C13" s="55"/>
      <c r="D13" s="55"/>
      <c r="E13" s="55"/>
      <c r="F13" s="55"/>
    </row>
    <row r="14" spans="1:6" ht="48" customHeight="1" x14ac:dyDescent="0.3">
      <c r="A14" s="36" t="s">
        <v>15</v>
      </c>
      <c r="B14" s="54" t="s">
        <v>16</v>
      </c>
      <c r="C14" s="55"/>
      <c r="D14" s="55"/>
      <c r="E14" s="55"/>
      <c r="F14" s="55"/>
    </row>
    <row r="15" spans="1:6" ht="12" customHeight="1" x14ac:dyDescent="0.3">
      <c r="A15" s="36"/>
      <c r="B15" s="36"/>
      <c r="C15" s="36"/>
      <c r="D15" s="36"/>
      <c r="E15" s="36"/>
      <c r="F15" s="36"/>
    </row>
    <row r="16" spans="1:6" ht="12" customHeight="1" x14ac:dyDescent="0.3">
      <c r="A16" s="36"/>
      <c r="B16" s="36"/>
      <c r="C16" s="36"/>
      <c r="D16" s="36"/>
      <c r="E16" s="36"/>
      <c r="F16" s="36"/>
    </row>
    <row r="17" spans="1:6" ht="26.1" customHeight="1" x14ac:dyDescent="0.3">
      <c r="A17" s="56" t="s">
        <v>17</v>
      </c>
      <c r="B17" s="55"/>
      <c r="C17" s="55"/>
      <c r="D17" s="55"/>
      <c r="E17" s="55"/>
      <c r="F17" s="55"/>
    </row>
    <row r="18" spans="1:6" ht="12" customHeight="1" x14ac:dyDescent="0.3">
      <c r="A18" s="36"/>
      <c r="B18" s="36"/>
      <c r="C18" s="36"/>
      <c r="D18" s="36"/>
      <c r="E18" s="36"/>
      <c r="F18" s="36"/>
    </row>
    <row r="19" spans="1:6" ht="57.95" customHeight="1" x14ac:dyDescent="0.3">
      <c r="A19" s="54" t="s">
        <v>18</v>
      </c>
      <c r="B19" s="55"/>
      <c r="C19" s="55"/>
      <c r="D19" s="55"/>
      <c r="E19" s="55"/>
      <c r="F19" s="55"/>
    </row>
    <row r="20" spans="1:6" ht="57.95" customHeight="1" x14ac:dyDescent="0.3">
      <c r="A20" s="54" t="s">
        <v>19</v>
      </c>
      <c r="B20" s="55"/>
      <c r="C20" s="55"/>
      <c r="D20" s="55"/>
      <c r="E20" s="55"/>
      <c r="F20" s="55"/>
    </row>
    <row r="21" spans="1:6" ht="57.95" customHeight="1" x14ac:dyDescent="0.3">
      <c r="A21" s="54" t="s">
        <v>20</v>
      </c>
      <c r="B21" s="55"/>
      <c r="C21" s="55"/>
      <c r="D21" s="55"/>
      <c r="E21" s="55"/>
      <c r="F21" s="55"/>
    </row>
    <row r="22" spans="1:6" ht="57.95" customHeight="1" x14ac:dyDescent="0.3">
      <c r="A22" s="54" t="s">
        <v>21</v>
      </c>
      <c r="B22" s="55"/>
      <c r="C22" s="55"/>
      <c r="D22" s="55"/>
      <c r="E22" s="55"/>
      <c r="F22" s="55"/>
    </row>
    <row r="23" spans="1:6" ht="57.95" customHeight="1" x14ac:dyDescent="0.3">
      <c r="A23" s="54" t="s">
        <v>22</v>
      </c>
      <c r="B23" s="55"/>
      <c r="C23" s="55"/>
      <c r="D23" s="55"/>
      <c r="E23" s="55"/>
      <c r="F23" s="55"/>
    </row>
    <row r="24" spans="1:6" ht="57.95" customHeight="1" x14ac:dyDescent="0.3">
      <c r="A24" s="54" t="s">
        <v>23</v>
      </c>
      <c r="B24" s="55"/>
      <c r="C24" s="55"/>
      <c r="D24" s="55"/>
      <c r="E24" s="55"/>
      <c r="F24" s="55"/>
    </row>
    <row r="25" spans="1:6" ht="57.95" customHeight="1" x14ac:dyDescent="0.3">
      <c r="A25" s="54" t="s">
        <v>24</v>
      </c>
      <c r="B25" s="55"/>
      <c r="C25" s="55"/>
      <c r="D25" s="55"/>
      <c r="E25" s="55"/>
      <c r="F25" s="55"/>
    </row>
    <row r="26" spans="1:6" ht="57.95" customHeight="1" x14ac:dyDescent="0.3">
      <c r="A26" s="54" t="s">
        <v>25</v>
      </c>
      <c r="B26" s="55"/>
      <c r="C26" s="55"/>
      <c r="D26" s="55"/>
      <c r="E26" s="55"/>
      <c r="F26" s="55"/>
    </row>
    <row r="27" spans="1:6" ht="12" customHeight="1" x14ac:dyDescent="0.3">
      <c r="A27" s="36"/>
      <c r="B27" s="36"/>
      <c r="C27" s="36"/>
      <c r="D27" s="36"/>
      <c r="E27" s="36"/>
      <c r="F27" s="36"/>
    </row>
    <row r="28" spans="1:6" ht="12" customHeight="1" x14ac:dyDescent="0.3">
      <c r="A28" s="36"/>
      <c r="B28" s="36"/>
      <c r="C28" s="36"/>
      <c r="D28" s="36"/>
      <c r="E28" s="36"/>
      <c r="F28" s="36"/>
    </row>
    <row r="29" spans="1:6" ht="26.1" customHeight="1" x14ac:dyDescent="0.3">
      <c r="A29" s="56" t="s">
        <v>26</v>
      </c>
      <c r="B29" s="55"/>
      <c r="C29" s="55"/>
      <c r="D29" s="55"/>
      <c r="E29" s="55"/>
      <c r="F29" s="55"/>
    </row>
    <row r="30" spans="1:6" ht="12" customHeight="1" x14ac:dyDescent="0.3">
      <c r="A30" s="36"/>
      <c r="B30" s="36"/>
      <c r="C30" s="36"/>
      <c r="D30" s="36"/>
      <c r="E30" s="36"/>
      <c r="F30" s="36"/>
    </row>
    <row r="31" spans="1:6" ht="57.95" customHeight="1" x14ac:dyDescent="0.3">
      <c r="A31" s="54" t="s">
        <v>27</v>
      </c>
      <c r="B31" s="55"/>
      <c r="C31" s="55"/>
      <c r="D31" s="55"/>
      <c r="E31" s="55"/>
      <c r="F31" s="55"/>
    </row>
    <row r="32" spans="1:6" ht="57.95" customHeight="1" x14ac:dyDescent="0.3">
      <c r="A32" s="54" t="s">
        <v>28</v>
      </c>
      <c r="B32" s="55"/>
      <c r="C32" s="55"/>
      <c r="D32" s="55"/>
      <c r="E32" s="55"/>
      <c r="F32" s="55"/>
    </row>
    <row r="33" spans="1:6" ht="57.95" customHeight="1" x14ac:dyDescent="0.3">
      <c r="A33" s="54" t="s">
        <v>29</v>
      </c>
      <c r="B33" s="55"/>
      <c r="C33" s="55"/>
      <c r="D33" s="55"/>
      <c r="E33" s="55"/>
      <c r="F33" s="55"/>
    </row>
    <row r="34" spans="1:6" ht="57.95" customHeight="1" x14ac:dyDescent="0.3">
      <c r="A34" s="54" t="s">
        <v>30</v>
      </c>
      <c r="B34" s="55"/>
      <c r="C34" s="55"/>
      <c r="D34" s="55"/>
      <c r="E34" s="55"/>
      <c r="F34" s="55"/>
    </row>
    <row r="35" spans="1:6" ht="57.95" customHeight="1" x14ac:dyDescent="0.3">
      <c r="A35" s="54" t="s">
        <v>31</v>
      </c>
      <c r="B35" s="55"/>
      <c r="C35" s="55"/>
      <c r="D35" s="55"/>
      <c r="E35" s="55"/>
      <c r="F35" s="55"/>
    </row>
    <row r="36" spans="1:6" ht="57.95" customHeight="1" x14ac:dyDescent="0.3">
      <c r="A36" s="54" t="s">
        <v>32</v>
      </c>
      <c r="B36" s="55"/>
      <c r="C36" s="55"/>
      <c r="D36" s="55"/>
      <c r="E36" s="55"/>
      <c r="F36" s="55"/>
    </row>
    <row r="37" spans="1:6" ht="57.95" customHeight="1" x14ac:dyDescent="0.3">
      <c r="A37" s="54" t="s">
        <v>33</v>
      </c>
      <c r="B37" s="55"/>
      <c r="C37" s="55"/>
      <c r="D37" s="55"/>
      <c r="E37" s="55"/>
      <c r="F37" s="55"/>
    </row>
    <row r="38" spans="1:6" ht="57.95" customHeight="1" x14ac:dyDescent="0.3">
      <c r="A38" s="54" t="s">
        <v>34</v>
      </c>
      <c r="B38" s="55"/>
      <c r="C38" s="55"/>
      <c r="D38" s="55"/>
      <c r="E38" s="55"/>
      <c r="F38" s="55"/>
    </row>
    <row r="39" spans="1:6" ht="57.95" customHeight="1" x14ac:dyDescent="0.3">
      <c r="A39" s="54" t="s">
        <v>35</v>
      </c>
      <c r="B39" s="55"/>
      <c r="C39" s="55"/>
      <c r="D39" s="55"/>
      <c r="E39" s="55"/>
      <c r="F39" s="55"/>
    </row>
    <row r="40" spans="1:6" ht="57.95" customHeight="1" x14ac:dyDescent="0.3">
      <c r="A40" s="54" t="s">
        <v>36</v>
      </c>
      <c r="B40" s="55"/>
      <c r="C40" s="55"/>
      <c r="D40" s="55"/>
      <c r="E40" s="55"/>
      <c r="F40" s="55"/>
    </row>
    <row r="41" spans="1:6" ht="57.95" customHeight="1" x14ac:dyDescent="0.3">
      <c r="A41" s="54" t="s">
        <v>37</v>
      </c>
      <c r="B41" s="55"/>
      <c r="C41" s="55"/>
      <c r="D41" s="55"/>
      <c r="E41" s="55"/>
      <c r="F41" s="55"/>
    </row>
    <row r="42" spans="1:6" ht="57.95" customHeight="1" x14ac:dyDescent="0.3">
      <c r="A42" s="54" t="s">
        <v>38</v>
      </c>
      <c r="B42" s="55"/>
      <c r="C42" s="55"/>
      <c r="D42" s="55"/>
      <c r="E42" s="55"/>
      <c r="F42" s="55"/>
    </row>
    <row r="43" spans="1:6" ht="57.95" customHeight="1" x14ac:dyDescent="0.3">
      <c r="A43" s="54" t="s">
        <v>39</v>
      </c>
      <c r="B43" s="55"/>
      <c r="C43" s="55"/>
      <c r="D43" s="55"/>
      <c r="E43" s="55"/>
      <c r="F43" s="55"/>
    </row>
    <row r="44" spans="1:6" ht="80.099999999999994" customHeight="1" x14ac:dyDescent="0.3">
      <c r="A44" s="54" t="s">
        <v>40</v>
      </c>
      <c r="B44" s="55"/>
      <c r="C44" s="55"/>
      <c r="D44" s="55"/>
      <c r="E44" s="55"/>
      <c r="F44" s="55"/>
    </row>
    <row r="45" spans="1:6" ht="57.95" customHeight="1" x14ac:dyDescent="0.3">
      <c r="A45" s="54" t="s">
        <v>41</v>
      </c>
      <c r="B45" s="55"/>
      <c r="C45" s="55"/>
      <c r="D45" s="55"/>
      <c r="E45" s="55"/>
      <c r="F45" s="55"/>
    </row>
    <row r="46" spans="1:6" ht="57.95" customHeight="1" x14ac:dyDescent="0.3">
      <c r="A46" s="54" t="s">
        <v>42</v>
      </c>
      <c r="B46" s="55"/>
      <c r="C46" s="55"/>
      <c r="D46" s="55"/>
      <c r="E46" s="55"/>
      <c r="F46" s="55"/>
    </row>
    <row r="47" spans="1:6" ht="57.95" customHeight="1" x14ac:dyDescent="0.3">
      <c r="A47" s="54" t="s">
        <v>43</v>
      </c>
      <c r="B47" s="55"/>
      <c r="C47" s="55"/>
      <c r="D47" s="55"/>
      <c r="E47" s="55"/>
      <c r="F47" s="55"/>
    </row>
    <row r="48" spans="1:6" ht="12" customHeight="1" x14ac:dyDescent="0.3">
      <c r="A48" s="36"/>
      <c r="B48" s="36"/>
      <c r="C48" s="36"/>
      <c r="D48" s="36"/>
      <c r="E48" s="36"/>
      <c r="F48" s="36"/>
    </row>
    <row r="49" spans="1:6" ht="12" customHeight="1" x14ac:dyDescent="0.3">
      <c r="A49" s="36"/>
      <c r="B49" s="36"/>
      <c r="C49" s="36"/>
      <c r="D49" s="36"/>
      <c r="E49" s="36"/>
      <c r="F49" s="36"/>
    </row>
    <row r="50" spans="1:6" ht="26.1" customHeight="1" x14ac:dyDescent="0.3">
      <c r="A50" s="56" t="s">
        <v>44</v>
      </c>
      <c r="B50" s="55"/>
      <c r="C50" s="55"/>
      <c r="D50" s="55"/>
      <c r="E50" s="55"/>
      <c r="F50" s="55"/>
    </row>
    <row r="51" spans="1:6" ht="12" customHeight="1" x14ac:dyDescent="0.3">
      <c r="A51" s="36"/>
      <c r="B51" s="36"/>
      <c r="C51" s="36"/>
      <c r="D51" s="36"/>
      <c r="E51" s="36"/>
      <c r="F51" s="36"/>
    </row>
    <row r="52" spans="1:6" ht="24" customHeight="1" x14ac:dyDescent="0.3">
      <c r="A52" s="54" t="s">
        <v>45</v>
      </c>
      <c r="B52" s="55"/>
      <c r="C52" s="55"/>
      <c r="D52" s="55"/>
      <c r="E52" s="55"/>
      <c r="F52" s="55"/>
    </row>
    <row r="53" spans="1:6" ht="24" customHeight="1" x14ac:dyDescent="0.3">
      <c r="A53" s="55"/>
      <c r="B53" s="55"/>
      <c r="C53" s="55"/>
      <c r="D53" s="55"/>
      <c r="E53" s="55"/>
      <c r="F53" s="55"/>
    </row>
    <row r="54" spans="1:6" ht="12" customHeight="1" x14ac:dyDescent="0.3">
      <c r="A54" s="36"/>
      <c r="B54" s="36"/>
      <c r="C54" s="36"/>
      <c r="D54" s="36"/>
      <c r="E54" s="36"/>
      <c r="F54" s="36"/>
    </row>
    <row r="55" spans="1:6" ht="24" customHeight="1" x14ac:dyDescent="0.3">
      <c r="A55" s="54" t="s">
        <v>46</v>
      </c>
      <c r="B55" s="55"/>
      <c r="C55" s="55"/>
      <c r="D55" s="55"/>
      <c r="E55" s="55"/>
      <c r="F55" s="55"/>
    </row>
    <row r="56" spans="1:6" ht="24" customHeight="1" x14ac:dyDescent="0.3">
      <c r="A56" s="55"/>
      <c r="B56" s="55"/>
      <c r="C56" s="55"/>
      <c r="D56" s="55"/>
      <c r="E56" s="55"/>
      <c r="F56" s="55"/>
    </row>
    <row r="57" spans="1:6" ht="24" customHeight="1" x14ac:dyDescent="0.3">
      <c r="A57" s="36"/>
      <c r="B57" s="36"/>
      <c r="C57" s="36"/>
      <c r="D57" s="36"/>
      <c r="E57" s="36"/>
      <c r="F57" s="36"/>
    </row>
    <row r="58" spans="1:6" ht="24" customHeight="1" x14ac:dyDescent="0.3">
      <c r="A58" s="36"/>
      <c r="B58" s="36"/>
      <c r="C58" s="36"/>
      <c r="D58" s="36"/>
      <c r="E58" s="36"/>
      <c r="F58" s="36"/>
    </row>
    <row r="59" spans="1:6" ht="24" customHeight="1" x14ac:dyDescent="0.3">
      <c r="A59" s="36"/>
      <c r="B59" s="36"/>
      <c r="C59" s="36"/>
      <c r="D59" s="36"/>
      <c r="E59" s="36"/>
      <c r="F59" s="36"/>
    </row>
    <row r="60" spans="1:6" ht="24" customHeight="1" x14ac:dyDescent="0.3">
      <c r="A60" s="36"/>
      <c r="B60" s="36"/>
      <c r="C60" s="36"/>
      <c r="D60" s="36"/>
      <c r="E60" s="36"/>
      <c r="F60" s="36"/>
    </row>
    <row r="61" spans="1:6" ht="24" customHeight="1" x14ac:dyDescent="0.3">
      <c r="A61" s="36"/>
      <c r="B61" s="36"/>
      <c r="C61" s="36"/>
      <c r="D61" s="36"/>
      <c r="E61" s="36"/>
      <c r="F61" s="36"/>
    </row>
    <row r="62" spans="1:6" ht="24" customHeight="1" x14ac:dyDescent="0.3">
      <c r="A62" s="36"/>
      <c r="B62" s="36"/>
      <c r="C62" s="36"/>
      <c r="D62" s="36"/>
      <c r="E62" s="36"/>
      <c r="F62" s="36"/>
    </row>
    <row r="63" spans="1:6" ht="24" customHeight="1" x14ac:dyDescent="0.3">
      <c r="A63" s="36"/>
      <c r="B63" s="36"/>
      <c r="C63" s="36"/>
      <c r="D63" s="36"/>
      <c r="E63" s="36"/>
      <c r="F63" s="36"/>
    </row>
    <row r="64" spans="1:6" ht="24" customHeight="1" x14ac:dyDescent="0.3">
      <c r="A64" s="36"/>
      <c r="B64" s="36"/>
      <c r="C64" s="36"/>
      <c r="D64" s="36"/>
      <c r="E64" s="36"/>
      <c r="F64" s="36"/>
    </row>
    <row r="65" spans="1:6" ht="24" customHeight="1" x14ac:dyDescent="0.3">
      <c r="A65" s="36"/>
      <c r="B65" s="36"/>
      <c r="C65" s="36"/>
      <c r="D65" s="36"/>
      <c r="E65" s="36"/>
      <c r="F65" s="36"/>
    </row>
    <row r="66" spans="1:6" ht="24" customHeight="1" x14ac:dyDescent="0.3">
      <c r="A66" s="36"/>
      <c r="B66" s="36"/>
      <c r="C66" s="36"/>
      <c r="D66" s="36"/>
      <c r="E66" s="36"/>
      <c r="F66" s="36"/>
    </row>
    <row r="67" spans="1:6" ht="24" customHeight="1" x14ac:dyDescent="0.3">
      <c r="A67" s="36"/>
      <c r="B67" s="36"/>
      <c r="C67" s="36"/>
      <c r="D67" s="36"/>
      <c r="E67" s="36"/>
      <c r="F67" s="36"/>
    </row>
    <row r="68" spans="1:6" ht="24" customHeight="1" x14ac:dyDescent="0.3">
      <c r="A68" s="36"/>
      <c r="B68" s="36"/>
      <c r="C68" s="36"/>
      <c r="D68" s="36"/>
      <c r="E68" s="36"/>
      <c r="F68" s="36"/>
    </row>
    <row r="69" spans="1:6" ht="24" customHeight="1" x14ac:dyDescent="0.3">
      <c r="A69" s="36"/>
      <c r="B69" s="36"/>
      <c r="C69" s="36"/>
      <c r="D69" s="36"/>
      <c r="E69" s="36"/>
      <c r="F69" s="36"/>
    </row>
    <row r="70" spans="1:6" ht="24" customHeight="1" x14ac:dyDescent="0.3">
      <c r="A70" s="36"/>
      <c r="B70" s="36"/>
      <c r="C70" s="36"/>
      <c r="D70" s="36"/>
      <c r="E70" s="36"/>
      <c r="F70" s="36"/>
    </row>
    <row r="71" spans="1:6" ht="24" customHeight="1" x14ac:dyDescent="0.3">
      <c r="A71" s="36"/>
      <c r="B71" s="36"/>
      <c r="C71" s="36"/>
      <c r="D71" s="36"/>
      <c r="E71" s="36"/>
      <c r="F71" s="36"/>
    </row>
    <row r="72" spans="1:6" ht="24" customHeight="1" x14ac:dyDescent="0.3">
      <c r="A72" s="36"/>
      <c r="B72" s="36"/>
      <c r="C72" s="36"/>
      <c r="D72" s="36"/>
      <c r="E72" s="36"/>
      <c r="F72" s="36"/>
    </row>
    <row r="73" spans="1:6" ht="24" customHeight="1" x14ac:dyDescent="0.3">
      <c r="A73" s="36"/>
      <c r="B73" s="36"/>
      <c r="C73" s="36"/>
      <c r="D73" s="36"/>
      <c r="E73" s="36"/>
      <c r="F73" s="36"/>
    </row>
    <row r="74" spans="1:6" ht="24" customHeight="1" x14ac:dyDescent="0.3">
      <c r="A74" s="36"/>
      <c r="B74" s="36"/>
      <c r="C74" s="36"/>
      <c r="D74" s="36"/>
      <c r="E74" s="36"/>
      <c r="F74" s="36"/>
    </row>
    <row r="75" spans="1:6" ht="24" customHeight="1" x14ac:dyDescent="0.3">
      <c r="A75" s="36"/>
      <c r="B75" s="36"/>
      <c r="C75" s="36"/>
      <c r="D75" s="36"/>
      <c r="E75" s="36"/>
      <c r="F75" s="36"/>
    </row>
    <row r="76" spans="1:6" ht="24" customHeight="1" x14ac:dyDescent="0.3">
      <c r="A76" s="36"/>
      <c r="B76" s="36"/>
      <c r="C76" s="36"/>
      <c r="D76" s="36"/>
      <c r="E76" s="36"/>
      <c r="F76" s="36"/>
    </row>
    <row r="77" spans="1:6" ht="24" customHeight="1" x14ac:dyDescent="0.3">
      <c r="A77" s="36"/>
      <c r="B77" s="36"/>
      <c r="C77" s="36"/>
      <c r="D77" s="36"/>
      <c r="E77" s="36"/>
      <c r="F77" s="36"/>
    </row>
    <row r="78" spans="1:6" ht="24" customHeight="1" x14ac:dyDescent="0.3">
      <c r="A78" s="36"/>
      <c r="B78" s="36"/>
      <c r="C78" s="36"/>
      <c r="D78" s="36"/>
      <c r="E78" s="36"/>
      <c r="F78" s="36"/>
    </row>
    <row r="79" spans="1:6" ht="24" customHeight="1" x14ac:dyDescent="0.3">
      <c r="A79" s="36"/>
      <c r="B79" s="36"/>
      <c r="C79" s="36"/>
      <c r="D79" s="36"/>
      <c r="E79" s="36"/>
      <c r="F79" s="36"/>
    </row>
    <row r="80" spans="1:6" ht="24" customHeight="1" x14ac:dyDescent="0.3">
      <c r="A80" s="36"/>
      <c r="B80" s="36"/>
      <c r="C80" s="36"/>
      <c r="D80" s="36"/>
      <c r="E80" s="36"/>
      <c r="F80" s="36"/>
    </row>
    <row r="81" spans="1:6" ht="24" customHeight="1" x14ac:dyDescent="0.3">
      <c r="A81" s="36"/>
      <c r="B81" s="36"/>
      <c r="C81" s="36"/>
      <c r="D81" s="36"/>
      <c r="E81" s="36"/>
      <c r="F81" s="36"/>
    </row>
    <row r="82" spans="1:6" ht="24" customHeight="1" x14ac:dyDescent="0.3">
      <c r="A82" s="36"/>
      <c r="B82" s="36"/>
      <c r="C82" s="36"/>
      <c r="D82" s="36"/>
      <c r="E82" s="36"/>
      <c r="F82" s="36"/>
    </row>
    <row r="83" spans="1:6" ht="24" customHeight="1" x14ac:dyDescent="0.3">
      <c r="A83" s="36"/>
      <c r="B83" s="36"/>
      <c r="C83" s="36"/>
      <c r="D83" s="36"/>
      <c r="E83" s="36"/>
      <c r="F83" s="36"/>
    </row>
    <row r="84" spans="1:6" ht="39.950000000000003" customHeight="1" x14ac:dyDescent="0.3">
      <c r="A84" s="3"/>
      <c r="B84" s="3"/>
      <c r="C84" s="3"/>
      <c r="D84" s="3"/>
      <c r="E84" s="3"/>
      <c r="F84" s="3"/>
    </row>
    <row r="85" spans="1:6" ht="39.950000000000003" customHeight="1" x14ac:dyDescent="0.3">
      <c r="A85" s="3"/>
      <c r="B85" s="3"/>
      <c r="C85" s="3"/>
      <c r="D85" s="3"/>
      <c r="E85" s="3"/>
      <c r="F85" s="3"/>
    </row>
    <row r="86" spans="1:6" ht="39.950000000000003" customHeight="1" x14ac:dyDescent="0.3">
      <c r="A86" s="3"/>
      <c r="B86" s="3"/>
      <c r="C86" s="3"/>
      <c r="D86" s="3"/>
      <c r="E86" s="3"/>
      <c r="F86" s="3"/>
    </row>
    <row r="87" spans="1:6" ht="39.950000000000003" customHeight="1" x14ac:dyDescent="0.3">
      <c r="A87" s="3"/>
      <c r="B87" s="3"/>
      <c r="C87" s="3"/>
      <c r="D87" s="3"/>
      <c r="E87" s="3"/>
      <c r="F87" s="3"/>
    </row>
    <row r="88" spans="1:6" ht="39.950000000000003" customHeight="1" x14ac:dyDescent="0.3">
      <c r="A88" s="3"/>
      <c r="B88" s="3"/>
      <c r="C88" s="3"/>
      <c r="D88" s="3"/>
      <c r="E88" s="3"/>
      <c r="F88" s="3"/>
    </row>
    <row r="89" spans="1:6" ht="39.950000000000003" customHeight="1" x14ac:dyDescent="0.3">
      <c r="A89" s="3"/>
      <c r="B89" s="3"/>
      <c r="C89" s="3"/>
      <c r="D89" s="3"/>
      <c r="E89" s="3"/>
      <c r="F89" s="3"/>
    </row>
    <row r="90" spans="1:6" ht="39.950000000000003" customHeight="1" x14ac:dyDescent="0.3">
      <c r="A90" s="3"/>
      <c r="B90" s="3"/>
      <c r="C90" s="3"/>
      <c r="D90" s="3"/>
      <c r="E90" s="3"/>
      <c r="F90" s="3"/>
    </row>
    <row r="91" spans="1:6" ht="39.950000000000003" customHeight="1" x14ac:dyDescent="0.3">
      <c r="A91" s="3"/>
      <c r="B91" s="3"/>
      <c r="C91" s="3"/>
      <c r="D91" s="3"/>
      <c r="E91" s="3"/>
      <c r="F91" s="3"/>
    </row>
    <row r="92" spans="1:6" ht="39.950000000000003" customHeight="1" x14ac:dyDescent="0.3">
      <c r="A92" s="3"/>
      <c r="B92" s="3"/>
      <c r="C92" s="3"/>
      <c r="D92" s="3"/>
      <c r="E92" s="3"/>
      <c r="F92" s="3"/>
    </row>
    <row r="93" spans="1:6" ht="39.950000000000003" customHeight="1" x14ac:dyDescent="0.3">
      <c r="A93" s="3"/>
      <c r="B93" s="3"/>
      <c r="C93" s="3"/>
      <c r="D93" s="3"/>
      <c r="E93" s="3"/>
      <c r="F93" s="3"/>
    </row>
    <row r="94" spans="1:6" ht="39.950000000000003" customHeight="1" x14ac:dyDescent="0.3">
      <c r="A94" s="3"/>
      <c r="B94" s="3"/>
      <c r="C94" s="3"/>
      <c r="D94" s="3"/>
      <c r="E94" s="3"/>
      <c r="F94" s="3"/>
    </row>
    <row r="95" spans="1:6" ht="39.950000000000003" customHeight="1" x14ac:dyDescent="0.3">
      <c r="A95" s="3"/>
      <c r="B95" s="3"/>
      <c r="C95" s="3"/>
      <c r="D95" s="3"/>
      <c r="E95" s="3"/>
      <c r="F95" s="3"/>
    </row>
    <row r="96" spans="1:6" ht="39.950000000000003" customHeight="1" x14ac:dyDescent="0.3">
      <c r="A96" s="3"/>
      <c r="B96" s="3"/>
      <c r="C96" s="3"/>
      <c r="D96" s="3"/>
      <c r="E96" s="3"/>
      <c r="F96" s="3"/>
    </row>
    <row r="97" spans="1:6" ht="39.950000000000003" customHeight="1" x14ac:dyDescent="0.3">
      <c r="A97" s="3"/>
      <c r="B97" s="3"/>
      <c r="C97" s="3"/>
      <c r="D97" s="3"/>
      <c r="E97" s="3"/>
      <c r="F97" s="3"/>
    </row>
    <row r="98" spans="1:6" ht="39.950000000000003" customHeight="1" x14ac:dyDescent="0.3">
      <c r="A98" s="3"/>
      <c r="B98" s="3"/>
      <c r="C98" s="3"/>
      <c r="D98" s="3"/>
      <c r="E98" s="3"/>
      <c r="F98" s="3"/>
    </row>
    <row r="99" spans="1:6" ht="39.950000000000003" customHeight="1" x14ac:dyDescent="0.3">
      <c r="A99" s="3"/>
      <c r="B99" s="3"/>
      <c r="C99" s="3"/>
      <c r="D99" s="3"/>
      <c r="E99" s="3"/>
      <c r="F99" s="3"/>
    </row>
    <row r="100" spans="1:6" ht="39.950000000000003" customHeight="1" x14ac:dyDescent="0.3">
      <c r="A100" s="3"/>
      <c r="B100" s="3"/>
      <c r="C100" s="3"/>
      <c r="D100" s="3"/>
      <c r="E100" s="3"/>
      <c r="F100" s="3"/>
    </row>
    <row r="101" spans="1:6" ht="39.950000000000003" customHeight="1" x14ac:dyDescent="0.3">
      <c r="A101" s="3"/>
      <c r="B101" s="3"/>
      <c r="C101" s="3"/>
      <c r="D101" s="3"/>
      <c r="E101" s="3"/>
      <c r="F101" s="3"/>
    </row>
    <row r="102" spans="1:6" ht="39.950000000000003" customHeight="1" x14ac:dyDescent="0.3">
      <c r="A102" s="3"/>
      <c r="B102" s="3"/>
      <c r="C102" s="3"/>
      <c r="D102" s="3"/>
      <c r="E102" s="3"/>
      <c r="F102" s="3"/>
    </row>
    <row r="103" spans="1:6" ht="39.950000000000003" customHeight="1" x14ac:dyDescent="0.3">
      <c r="A103" s="3"/>
      <c r="B103" s="3"/>
      <c r="C103" s="3"/>
      <c r="D103" s="3"/>
      <c r="E103" s="3"/>
      <c r="F103" s="3"/>
    </row>
    <row r="104" spans="1:6" ht="39.950000000000003" customHeight="1" x14ac:dyDescent="0.3">
      <c r="A104" s="3"/>
      <c r="B104" s="3"/>
      <c r="C104" s="3"/>
      <c r="D104" s="3"/>
      <c r="E104" s="3"/>
      <c r="F104" s="3"/>
    </row>
    <row r="105" spans="1:6" ht="39.950000000000003" customHeight="1" x14ac:dyDescent="0.3">
      <c r="A105" s="3"/>
      <c r="B105" s="3"/>
      <c r="C105" s="3"/>
      <c r="D105" s="3"/>
      <c r="E105" s="3"/>
      <c r="F105" s="3"/>
    </row>
    <row r="106" spans="1:6" ht="39.950000000000003" customHeight="1" x14ac:dyDescent="0.3">
      <c r="A106" s="3"/>
      <c r="B106" s="3"/>
      <c r="C106" s="3"/>
      <c r="D106" s="3"/>
      <c r="E106" s="3"/>
      <c r="F106" s="3"/>
    </row>
    <row r="107" spans="1:6" ht="60" customHeight="1" x14ac:dyDescent="0.3">
      <c r="A107" s="3"/>
      <c r="B107" s="3"/>
      <c r="C107" s="3"/>
      <c r="D107" s="3"/>
      <c r="E107" s="3"/>
      <c r="F107" s="3"/>
    </row>
    <row r="108" spans="1:6" ht="39.950000000000003" customHeight="1" x14ac:dyDescent="0.3">
      <c r="A108" s="3"/>
      <c r="B108" s="3"/>
      <c r="C108" s="3"/>
      <c r="D108" s="3"/>
      <c r="E108" s="3"/>
      <c r="F108" s="3"/>
    </row>
    <row r="109" spans="1:6" ht="39.950000000000003" customHeight="1" x14ac:dyDescent="0.3">
      <c r="A109" s="3"/>
      <c r="B109" s="3"/>
      <c r="C109" s="3"/>
      <c r="D109" s="3"/>
      <c r="E109" s="3"/>
      <c r="F109" s="3"/>
    </row>
    <row r="110" spans="1:6" ht="60" customHeight="1" x14ac:dyDescent="0.3">
      <c r="A110" s="3"/>
      <c r="B110" s="3"/>
      <c r="C110" s="3"/>
      <c r="D110" s="3"/>
      <c r="E110" s="3"/>
      <c r="F110" s="3"/>
    </row>
    <row r="111" spans="1:6" ht="60" customHeight="1" x14ac:dyDescent="0.3">
      <c r="A111" s="3"/>
      <c r="B111" s="3"/>
      <c r="C111" s="3"/>
      <c r="D111" s="3"/>
      <c r="E111" s="3"/>
      <c r="F111" s="3"/>
    </row>
    <row r="112" spans="1:6" ht="39.950000000000003" customHeight="1" x14ac:dyDescent="0.3">
      <c r="A112" s="3"/>
      <c r="B112" s="3"/>
      <c r="C112" s="3"/>
      <c r="D112" s="3"/>
      <c r="E112" s="3"/>
      <c r="F112" s="3"/>
    </row>
    <row r="113" spans="1:6" ht="39.950000000000003" customHeight="1" x14ac:dyDescent="0.3">
      <c r="A113" s="3"/>
      <c r="B113" s="3"/>
      <c r="C113" s="3"/>
      <c r="D113" s="3"/>
      <c r="E113" s="3"/>
      <c r="F113" s="3"/>
    </row>
    <row r="114" spans="1:6" ht="39.950000000000003" customHeight="1" x14ac:dyDescent="0.3">
      <c r="A114" s="3"/>
      <c r="B114" s="3"/>
      <c r="C114" s="3"/>
      <c r="D114" s="3"/>
      <c r="E114" s="3"/>
      <c r="F114" s="3"/>
    </row>
    <row r="115" spans="1:6" ht="39.950000000000003" customHeight="1" x14ac:dyDescent="0.3">
      <c r="A115" s="3"/>
      <c r="B115" s="3"/>
      <c r="C115" s="3"/>
      <c r="D115" s="3"/>
      <c r="E115" s="3"/>
      <c r="F115" s="3"/>
    </row>
    <row r="116" spans="1:6" ht="39.950000000000003" customHeight="1" x14ac:dyDescent="0.3">
      <c r="A116" s="3"/>
      <c r="B116" s="3"/>
      <c r="C116" s="3"/>
      <c r="D116" s="3"/>
      <c r="E116" s="3"/>
      <c r="F116" s="3"/>
    </row>
    <row r="117" spans="1:6" ht="39.950000000000003" customHeight="1" x14ac:dyDescent="0.3">
      <c r="A117" s="3"/>
      <c r="B117" s="3"/>
      <c r="C117" s="3"/>
      <c r="D117" s="3"/>
      <c r="E117" s="3"/>
      <c r="F117" s="3"/>
    </row>
    <row r="118" spans="1:6" ht="39.950000000000003" customHeight="1" x14ac:dyDescent="0.3">
      <c r="A118" s="3"/>
      <c r="B118" s="3"/>
      <c r="C118" s="3"/>
      <c r="D118" s="3"/>
      <c r="E118" s="3"/>
      <c r="F118" s="3"/>
    </row>
    <row r="119" spans="1:6" ht="39.950000000000003" customHeight="1" x14ac:dyDescent="0.3">
      <c r="A119" s="3"/>
      <c r="B119" s="3"/>
      <c r="C119" s="3"/>
      <c r="D119" s="3"/>
      <c r="E119" s="3"/>
      <c r="F119" s="3"/>
    </row>
    <row r="120" spans="1:6" ht="39.950000000000003" customHeight="1" x14ac:dyDescent="0.3">
      <c r="A120" s="3"/>
      <c r="B120" s="3"/>
      <c r="C120" s="3"/>
      <c r="D120" s="3"/>
      <c r="E120" s="3"/>
      <c r="F120" s="3"/>
    </row>
    <row r="121" spans="1:6" ht="39.950000000000003" customHeight="1" x14ac:dyDescent="0.3">
      <c r="A121" s="3"/>
      <c r="B121" s="3"/>
      <c r="C121" s="3"/>
      <c r="D121" s="3"/>
      <c r="E121" s="3"/>
      <c r="F121" s="3"/>
    </row>
    <row r="122" spans="1:6" ht="48" customHeight="1" x14ac:dyDescent="0.3">
      <c r="A122" s="3"/>
      <c r="B122" s="3"/>
      <c r="C122" s="3"/>
      <c r="D122" s="3"/>
      <c r="E122" s="3"/>
      <c r="F122" s="3"/>
    </row>
    <row r="123" spans="1:6" ht="48" customHeight="1" x14ac:dyDescent="0.3">
      <c r="A123" s="3"/>
      <c r="B123" s="3"/>
      <c r="C123" s="3"/>
      <c r="D123" s="3"/>
      <c r="E123" s="3"/>
      <c r="F123" s="3"/>
    </row>
    <row r="124" spans="1:6" ht="48" customHeight="1" x14ac:dyDescent="0.3">
      <c r="A124" s="3"/>
      <c r="B124" s="3"/>
      <c r="C124" s="3"/>
      <c r="D124" s="3"/>
      <c r="E124" s="3"/>
      <c r="F124" s="3"/>
    </row>
    <row r="125" spans="1:6" ht="48" customHeight="1" x14ac:dyDescent="0.3">
      <c r="A125" s="3"/>
      <c r="B125" s="3"/>
      <c r="C125" s="3"/>
      <c r="D125" s="3"/>
      <c r="E125" s="3"/>
      <c r="F125" s="3"/>
    </row>
    <row r="126" spans="1:6" ht="48" customHeight="1" x14ac:dyDescent="0.3">
      <c r="A126" s="3"/>
      <c r="B126" s="3"/>
      <c r="C126" s="3"/>
      <c r="D126" s="3"/>
      <c r="E126" s="3"/>
      <c r="F126" s="3"/>
    </row>
    <row r="127" spans="1:6" ht="48" customHeight="1" x14ac:dyDescent="0.3">
      <c r="A127" s="3"/>
      <c r="B127" s="3"/>
      <c r="C127" s="3"/>
      <c r="D127" s="3"/>
      <c r="E127" s="3"/>
      <c r="F127" s="3"/>
    </row>
    <row r="128" spans="1:6" ht="48" customHeight="1" x14ac:dyDescent="0.3">
      <c r="A128" s="3"/>
      <c r="B128" s="3"/>
      <c r="C128" s="3"/>
      <c r="D128" s="3"/>
      <c r="E128" s="3"/>
      <c r="F128" s="3"/>
    </row>
    <row r="129" spans="1:6" ht="60" customHeight="1" x14ac:dyDescent="0.3">
      <c r="A129" s="3"/>
      <c r="B129" s="3"/>
      <c r="C129" s="3"/>
      <c r="D129" s="3"/>
      <c r="E129" s="3"/>
      <c r="F129" s="3"/>
    </row>
    <row r="130" spans="1:6" ht="60" customHeight="1" x14ac:dyDescent="0.3">
      <c r="A130" s="3"/>
      <c r="B130" s="3"/>
      <c r="C130" s="3"/>
      <c r="D130" s="3"/>
      <c r="E130" s="3"/>
      <c r="F130" s="3"/>
    </row>
    <row r="131" spans="1:6" ht="60" customHeight="1" x14ac:dyDescent="0.3">
      <c r="A131" s="3"/>
      <c r="B131" s="3"/>
      <c r="C131" s="3"/>
      <c r="D131" s="3"/>
      <c r="E131" s="3"/>
      <c r="F131" s="3"/>
    </row>
    <row r="132" spans="1:6" ht="60" customHeight="1" x14ac:dyDescent="0.3">
      <c r="A132" s="3"/>
      <c r="B132" s="3"/>
      <c r="C132" s="3"/>
      <c r="D132" s="3"/>
      <c r="E132" s="3"/>
      <c r="F132" s="3"/>
    </row>
    <row r="133" spans="1:6" ht="60" customHeight="1" x14ac:dyDescent="0.3">
      <c r="A133" s="3"/>
      <c r="B133" s="3"/>
      <c r="C133" s="3"/>
      <c r="D133" s="3"/>
      <c r="E133" s="3"/>
      <c r="F133" s="3"/>
    </row>
    <row r="134" spans="1:6" ht="60" customHeight="1" x14ac:dyDescent="0.3">
      <c r="A134" s="3"/>
      <c r="B134" s="3"/>
      <c r="C134" s="3"/>
      <c r="D134" s="3"/>
      <c r="E134" s="3"/>
      <c r="F134" s="3"/>
    </row>
    <row r="135" spans="1:6" ht="60" customHeight="1" x14ac:dyDescent="0.3">
      <c r="A135" s="3"/>
      <c r="B135" s="3"/>
      <c r="C135" s="3"/>
      <c r="D135" s="3"/>
      <c r="E135" s="3"/>
      <c r="F135" s="3"/>
    </row>
    <row r="136" spans="1:6" ht="48" customHeight="1" x14ac:dyDescent="0.3">
      <c r="A136" s="3"/>
      <c r="B136" s="3"/>
      <c r="C136" s="3"/>
      <c r="D136" s="3"/>
      <c r="E136" s="3"/>
      <c r="F136" s="3"/>
    </row>
    <row r="137" spans="1:6" x14ac:dyDescent="0.3">
      <c r="A137" s="3"/>
      <c r="B137" s="3"/>
      <c r="C137" s="3"/>
      <c r="D137" s="3"/>
      <c r="E137" s="3"/>
      <c r="F137" s="3"/>
    </row>
    <row r="138" spans="1:6" ht="60" customHeight="1" x14ac:dyDescent="0.3">
      <c r="A138" s="3"/>
      <c r="B138" s="3"/>
      <c r="C138" s="3"/>
      <c r="D138" s="3"/>
      <c r="E138" s="3"/>
      <c r="F138" s="3"/>
    </row>
    <row r="139" spans="1:6" ht="60" customHeight="1" x14ac:dyDescent="0.3">
      <c r="A139" s="3"/>
      <c r="B139" s="3"/>
      <c r="C139" s="3"/>
      <c r="D139" s="3"/>
      <c r="E139" s="3"/>
      <c r="F139" s="3"/>
    </row>
    <row r="140" spans="1:6" ht="60" customHeight="1" x14ac:dyDescent="0.3">
      <c r="A140" s="3"/>
      <c r="B140" s="3"/>
      <c r="C140" s="3"/>
      <c r="D140" s="3"/>
      <c r="E140" s="3"/>
      <c r="F140" s="3"/>
    </row>
    <row r="141" spans="1:6" ht="60" customHeight="1" x14ac:dyDescent="0.3">
      <c r="A141" s="3"/>
      <c r="B141" s="3"/>
      <c r="C141" s="3"/>
      <c r="D141" s="3"/>
      <c r="E141" s="3"/>
      <c r="F141" s="3"/>
    </row>
    <row r="142" spans="1:6" ht="60" customHeight="1" x14ac:dyDescent="0.3">
      <c r="A142" s="3"/>
      <c r="B142" s="3"/>
      <c r="C142" s="3"/>
      <c r="D142" s="3"/>
      <c r="E142" s="3"/>
      <c r="F142" s="3"/>
    </row>
    <row r="143" spans="1:6" ht="60" customHeight="1" x14ac:dyDescent="0.3">
      <c r="A143" s="3"/>
      <c r="B143" s="3"/>
      <c r="C143" s="3"/>
      <c r="D143" s="3"/>
      <c r="E143" s="3"/>
      <c r="F143" s="3"/>
    </row>
    <row r="144" spans="1:6" ht="60" customHeight="1" x14ac:dyDescent="0.3">
      <c r="A144" s="3"/>
      <c r="B144" s="3"/>
      <c r="C144" s="3"/>
      <c r="D144" s="3"/>
      <c r="E144" s="3"/>
      <c r="F144" s="3"/>
    </row>
    <row r="145" spans="1:6" ht="60" customHeight="1" x14ac:dyDescent="0.3">
      <c r="A145" s="3"/>
      <c r="B145" s="3"/>
      <c r="C145" s="3"/>
      <c r="D145" s="3"/>
      <c r="E145" s="3"/>
      <c r="F145" s="3"/>
    </row>
    <row r="146" spans="1:6" ht="60" customHeight="1" x14ac:dyDescent="0.3">
      <c r="A146" s="3"/>
      <c r="B146" s="3"/>
      <c r="C146" s="3"/>
      <c r="D146" s="3"/>
      <c r="E146" s="3"/>
      <c r="F146" s="3"/>
    </row>
    <row r="147" spans="1:6" ht="60" customHeight="1" x14ac:dyDescent="0.3">
      <c r="A147" s="3"/>
      <c r="B147" s="3"/>
      <c r="C147" s="3"/>
      <c r="D147" s="3"/>
      <c r="E147" s="3"/>
      <c r="F147" s="3"/>
    </row>
    <row r="148" spans="1:6" ht="60" customHeight="1" x14ac:dyDescent="0.3">
      <c r="A148" s="3"/>
      <c r="B148" s="3"/>
      <c r="C148" s="3"/>
      <c r="D148" s="3"/>
      <c r="E148" s="3"/>
      <c r="F148" s="3"/>
    </row>
    <row r="149" spans="1:6" ht="60" customHeight="1" x14ac:dyDescent="0.3">
      <c r="A149" s="3"/>
      <c r="B149" s="3"/>
      <c r="C149" s="3"/>
      <c r="D149" s="3"/>
      <c r="E149" s="3"/>
      <c r="F149" s="3"/>
    </row>
    <row r="150" spans="1:6" x14ac:dyDescent="0.3">
      <c r="A150" s="3"/>
      <c r="B150" s="3"/>
      <c r="C150" s="3"/>
      <c r="D150" s="3"/>
      <c r="E150" s="3"/>
      <c r="F150" s="3"/>
    </row>
    <row r="151" spans="1:6" x14ac:dyDescent="0.3">
      <c r="A151" s="3"/>
      <c r="B151" s="3"/>
      <c r="C151" s="3"/>
      <c r="D151" s="3"/>
      <c r="E151" s="3"/>
      <c r="F151" s="3"/>
    </row>
    <row r="152" spans="1:6" ht="33" customHeight="1" x14ac:dyDescent="0.3">
      <c r="A152" s="3"/>
      <c r="B152" s="3"/>
      <c r="C152" s="3"/>
      <c r="D152" s="3"/>
      <c r="E152" s="3"/>
      <c r="F152" s="3"/>
    </row>
    <row r="153" spans="1:6" ht="33" customHeight="1" x14ac:dyDescent="0.3">
      <c r="A153" s="3"/>
      <c r="B153" s="3"/>
      <c r="C153" s="3"/>
      <c r="D153" s="3"/>
      <c r="E153" s="3"/>
      <c r="F153" s="3"/>
    </row>
    <row r="154" spans="1:6" x14ac:dyDescent="0.3">
      <c r="A154" s="3"/>
      <c r="B154" s="3"/>
      <c r="C154" s="3"/>
      <c r="D154" s="3"/>
      <c r="E154" s="3"/>
      <c r="F154" s="3"/>
    </row>
    <row r="155" spans="1:6" ht="33" customHeight="1" x14ac:dyDescent="0.3">
      <c r="A155" s="3"/>
      <c r="B155" s="3"/>
      <c r="C155" s="3"/>
      <c r="D155" s="3"/>
      <c r="E155" s="3"/>
      <c r="F155" s="3"/>
    </row>
    <row r="156" spans="1:6" ht="33" customHeight="1" x14ac:dyDescent="0.3">
      <c r="A156" s="3"/>
      <c r="B156" s="3"/>
      <c r="C156" s="3"/>
      <c r="D156" s="3"/>
      <c r="E156" s="3"/>
      <c r="F156" s="3"/>
    </row>
    <row r="157" spans="1:6" x14ac:dyDescent="0.3">
      <c r="A157" s="3"/>
      <c r="B157" s="3"/>
      <c r="C157" s="3"/>
      <c r="D157" s="3"/>
      <c r="E157" s="3"/>
      <c r="F157" s="3"/>
    </row>
    <row r="158" spans="1:6" x14ac:dyDescent="0.3">
      <c r="A158" s="3"/>
      <c r="B158" s="3"/>
      <c r="C158" s="3"/>
      <c r="D158" s="3"/>
      <c r="E158" s="3"/>
      <c r="F158" s="3"/>
    </row>
    <row r="159" spans="1:6" x14ac:dyDescent="0.3">
      <c r="A159" s="3"/>
      <c r="B159" s="3"/>
      <c r="C159" s="3"/>
      <c r="D159" s="3"/>
      <c r="E159" s="3"/>
      <c r="F159" s="3"/>
    </row>
    <row r="160" spans="1:6" ht="60" customHeight="1" x14ac:dyDescent="0.3">
      <c r="A160" s="3"/>
      <c r="B160" s="3"/>
      <c r="C160" s="3"/>
      <c r="D160" s="3"/>
      <c r="E160" s="3"/>
      <c r="F160" s="3"/>
    </row>
    <row r="161" spans="1:6" ht="60" customHeight="1" x14ac:dyDescent="0.3">
      <c r="A161" s="3"/>
      <c r="B161" s="3"/>
      <c r="C161" s="3"/>
      <c r="D161" s="3"/>
      <c r="E161" s="3"/>
      <c r="F161" s="3"/>
    </row>
    <row r="162" spans="1:6" ht="60" customHeight="1" x14ac:dyDescent="0.3">
      <c r="A162" s="3"/>
      <c r="B162" s="3"/>
      <c r="C162" s="3"/>
      <c r="D162" s="3"/>
      <c r="E162" s="3"/>
      <c r="F162" s="3"/>
    </row>
    <row r="163" spans="1:6" ht="60" customHeight="1" x14ac:dyDescent="0.3">
      <c r="A163" s="3"/>
      <c r="B163" s="3"/>
      <c r="C163" s="3"/>
      <c r="D163" s="3"/>
      <c r="E163" s="3"/>
      <c r="F163" s="3"/>
    </row>
    <row r="164" spans="1:6" x14ac:dyDescent="0.3">
      <c r="A164" s="3"/>
      <c r="B164" s="3"/>
      <c r="C164" s="3"/>
      <c r="D164" s="3"/>
      <c r="E164" s="3"/>
      <c r="F164" s="3"/>
    </row>
    <row r="165" spans="1:6" ht="54.95" customHeight="1" x14ac:dyDescent="0.3">
      <c r="A165" s="3"/>
      <c r="B165" s="3"/>
      <c r="C165" s="3"/>
      <c r="D165" s="3"/>
      <c r="E165" s="3"/>
      <c r="F165" s="3"/>
    </row>
    <row r="166" spans="1:6" ht="54.95" customHeight="1" x14ac:dyDescent="0.3">
      <c r="A166" s="3"/>
      <c r="B166" s="3"/>
      <c r="C166" s="3"/>
      <c r="D166" s="3"/>
      <c r="E166" s="3"/>
      <c r="F166" s="3"/>
    </row>
    <row r="167" spans="1:6" ht="54.95" customHeight="1" x14ac:dyDescent="0.3">
      <c r="A167" s="3"/>
      <c r="B167" s="3"/>
      <c r="C167" s="3"/>
      <c r="D167" s="3"/>
      <c r="E167" s="3"/>
      <c r="F167" s="3"/>
    </row>
    <row r="168" spans="1:6" ht="84.95" customHeight="1" x14ac:dyDescent="0.3">
      <c r="A168" s="3"/>
      <c r="B168" s="3"/>
      <c r="C168" s="3"/>
      <c r="D168" s="3"/>
      <c r="E168" s="3"/>
      <c r="F168" s="3"/>
    </row>
    <row r="169" spans="1:6" ht="54.95" customHeight="1" x14ac:dyDescent="0.3">
      <c r="A169" s="3"/>
      <c r="B169" s="3"/>
      <c r="C169" s="3"/>
      <c r="D169" s="3"/>
      <c r="E169" s="3"/>
      <c r="F169" s="3"/>
    </row>
    <row r="170" spans="1:6" ht="84.95" customHeight="1" x14ac:dyDescent="0.3">
      <c r="A170" s="3"/>
      <c r="B170" s="3"/>
      <c r="C170" s="3"/>
      <c r="D170" s="3"/>
      <c r="E170" s="3"/>
      <c r="F170" s="3"/>
    </row>
    <row r="171" spans="1:6" ht="54.95" customHeight="1" x14ac:dyDescent="0.3">
      <c r="A171" s="3"/>
      <c r="B171" s="3"/>
      <c r="C171" s="3"/>
      <c r="D171" s="3"/>
      <c r="E171" s="3"/>
      <c r="F171" s="3"/>
    </row>
    <row r="172" spans="1:6" ht="84.95" customHeight="1" x14ac:dyDescent="0.3">
      <c r="A172" s="3"/>
      <c r="B172" s="3"/>
      <c r="C172" s="3"/>
      <c r="D172" s="3"/>
      <c r="E172" s="3"/>
      <c r="F172" s="3"/>
    </row>
    <row r="173" spans="1:6" x14ac:dyDescent="0.3">
      <c r="A173" s="3"/>
      <c r="B173" s="3"/>
      <c r="C173" s="3"/>
      <c r="D173" s="3"/>
      <c r="E173" s="3"/>
      <c r="F173" s="3"/>
    </row>
    <row r="174" spans="1:6" ht="54.95" customHeight="1" x14ac:dyDescent="0.3">
      <c r="A174" s="3"/>
      <c r="B174" s="3"/>
      <c r="C174" s="3"/>
      <c r="D174" s="3"/>
      <c r="E174" s="3"/>
      <c r="F174" s="3"/>
    </row>
    <row r="175" spans="1:6" ht="54.95" customHeight="1" x14ac:dyDescent="0.3">
      <c r="A175" s="3"/>
      <c r="B175" s="3"/>
      <c r="C175" s="3"/>
      <c r="D175" s="3"/>
      <c r="E175" s="3"/>
      <c r="F175" s="3"/>
    </row>
    <row r="176" spans="1:6" ht="54.95" customHeight="1" x14ac:dyDescent="0.3">
      <c r="A176" s="3"/>
      <c r="B176" s="3"/>
      <c r="C176" s="3"/>
      <c r="D176" s="3"/>
      <c r="E176" s="3"/>
      <c r="F176" s="3"/>
    </row>
    <row r="177" spans="1:6" ht="54.95" customHeight="1" x14ac:dyDescent="0.3">
      <c r="A177" s="3"/>
      <c r="B177" s="3"/>
      <c r="C177" s="3"/>
      <c r="D177" s="3"/>
      <c r="E177" s="3"/>
      <c r="F177" s="3"/>
    </row>
    <row r="178" spans="1:6" ht="54.95" customHeight="1" x14ac:dyDescent="0.3">
      <c r="A178" s="3"/>
      <c r="B178" s="3"/>
      <c r="C178" s="3"/>
      <c r="D178" s="3"/>
      <c r="E178" s="3"/>
      <c r="F178" s="3"/>
    </row>
    <row r="179" spans="1:6" ht="60" customHeight="1" x14ac:dyDescent="0.3">
      <c r="A179" s="3"/>
      <c r="B179" s="3"/>
      <c r="C179" s="3"/>
      <c r="D179" s="3"/>
      <c r="E179" s="3"/>
      <c r="F179" s="3"/>
    </row>
    <row r="180" spans="1:6" ht="65.099999999999994" customHeight="1" x14ac:dyDescent="0.3">
      <c r="A180" s="3"/>
      <c r="B180" s="3"/>
      <c r="C180" s="3"/>
      <c r="D180" s="3"/>
      <c r="E180" s="3"/>
      <c r="F180" s="3"/>
    </row>
    <row r="181" spans="1:6" ht="60" customHeight="1" x14ac:dyDescent="0.3">
      <c r="A181" s="3"/>
      <c r="B181" s="3"/>
      <c r="C181" s="3"/>
      <c r="D181" s="3"/>
      <c r="E181" s="3"/>
      <c r="F181" s="3"/>
    </row>
    <row r="182" spans="1:6" ht="60" customHeight="1" x14ac:dyDescent="0.3">
      <c r="A182" s="3"/>
      <c r="B182" s="3"/>
      <c r="C182" s="3"/>
      <c r="D182" s="3"/>
      <c r="E182" s="3"/>
      <c r="F182" s="3"/>
    </row>
    <row r="183" spans="1:6" ht="75" customHeight="1" x14ac:dyDescent="0.3">
      <c r="A183" s="3"/>
      <c r="B183" s="3"/>
      <c r="C183" s="3"/>
      <c r="D183" s="3"/>
      <c r="E183" s="3"/>
      <c r="F183" s="3"/>
    </row>
    <row r="184" spans="1:6" ht="75" customHeight="1" x14ac:dyDescent="0.3">
      <c r="A184" s="3"/>
      <c r="B184" s="3"/>
      <c r="C184" s="3"/>
      <c r="D184" s="3"/>
      <c r="E184" s="3"/>
      <c r="F184" s="3"/>
    </row>
    <row r="185" spans="1:6" ht="60" customHeight="1" x14ac:dyDescent="0.3">
      <c r="A185" s="3"/>
      <c r="B185" s="3"/>
      <c r="C185" s="3"/>
      <c r="D185" s="3"/>
      <c r="E185" s="3"/>
      <c r="F185" s="3"/>
    </row>
    <row r="186" spans="1:6" ht="60" customHeight="1" x14ac:dyDescent="0.3">
      <c r="A186" s="3"/>
      <c r="B186" s="3"/>
      <c r="C186" s="3"/>
      <c r="D186" s="3"/>
      <c r="E186" s="3"/>
      <c r="F186" s="3"/>
    </row>
    <row r="187" spans="1:6" ht="60" customHeight="1" x14ac:dyDescent="0.3">
      <c r="A187" s="3"/>
      <c r="B187" s="3"/>
      <c r="C187" s="3"/>
      <c r="D187" s="3"/>
      <c r="E187" s="3"/>
      <c r="F187" s="3"/>
    </row>
    <row r="188" spans="1:6" ht="65.099999999999994" customHeight="1" x14ac:dyDescent="0.3">
      <c r="A188" s="3"/>
      <c r="B188" s="3"/>
      <c r="C188" s="3"/>
      <c r="D188" s="3"/>
      <c r="E188" s="3"/>
      <c r="F188" s="3"/>
    </row>
    <row r="189" spans="1:6" ht="65.099999999999994" customHeight="1" x14ac:dyDescent="0.3">
      <c r="A189" s="3"/>
      <c r="B189" s="3"/>
      <c r="C189" s="3"/>
      <c r="D189" s="3"/>
      <c r="E189" s="3"/>
      <c r="F189" s="3"/>
    </row>
    <row r="190" spans="1:6" ht="65.099999999999994" customHeight="1" x14ac:dyDescent="0.3">
      <c r="A190" s="3"/>
      <c r="B190" s="3"/>
      <c r="C190" s="3"/>
      <c r="D190" s="3"/>
      <c r="E190" s="3"/>
      <c r="F190" s="3"/>
    </row>
    <row r="191" spans="1:6" ht="65.099999999999994" customHeight="1" x14ac:dyDescent="0.3">
      <c r="A191" s="3"/>
      <c r="B191" s="3"/>
      <c r="C191" s="3"/>
      <c r="D191" s="3"/>
      <c r="E191" s="3"/>
      <c r="F191" s="3"/>
    </row>
    <row r="192" spans="1:6" ht="65.099999999999994" customHeight="1" x14ac:dyDescent="0.3">
      <c r="A192" s="3"/>
      <c r="B192" s="3"/>
      <c r="C192" s="3"/>
      <c r="D192" s="3"/>
      <c r="E192" s="3"/>
      <c r="F192" s="3"/>
    </row>
    <row r="193" spans="1:6" ht="75" customHeight="1" x14ac:dyDescent="0.3">
      <c r="A193" s="3"/>
      <c r="B193" s="3"/>
      <c r="C193" s="3"/>
      <c r="D193" s="3"/>
      <c r="E193" s="3"/>
      <c r="F193" s="3"/>
    </row>
    <row r="194" spans="1:6" ht="75" customHeight="1" x14ac:dyDescent="0.3">
      <c r="A194" s="3"/>
      <c r="B194" s="3"/>
      <c r="C194" s="3"/>
      <c r="D194" s="3"/>
      <c r="E194" s="3"/>
      <c r="F194" s="3"/>
    </row>
    <row r="195" spans="1:6" ht="75" customHeight="1" x14ac:dyDescent="0.3">
      <c r="A195" s="3"/>
      <c r="B195" s="3"/>
      <c r="C195" s="3"/>
      <c r="D195" s="3"/>
      <c r="E195" s="3"/>
      <c r="F195" s="3"/>
    </row>
    <row r="196" spans="1:6" x14ac:dyDescent="0.3">
      <c r="A196" s="3"/>
      <c r="B196" s="3"/>
      <c r="C196" s="3"/>
      <c r="D196" s="3"/>
      <c r="E196" s="3"/>
      <c r="F196" s="3"/>
    </row>
    <row r="197" spans="1:6" x14ac:dyDescent="0.3">
      <c r="A197" s="3"/>
      <c r="B197" s="3"/>
      <c r="C197" s="3"/>
      <c r="D197" s="3"/>
      <c r="E197" s="3"/>
      <c r="F197" s="3"/>
    </row>
    <row r="198" spans="1:6" ht="33" customHeight="1" x14ac:dyDescent="0.3">
      <c r="A198" s="3"/>
      <c r="B198" s="3"/>
      <c r="C198" s="3"/>
      <c r="D198" s="3"/>
      <c r="E198" s="3"/>
      <c r="F198" s="3"/>
    </row>
    <row r="199" spans="1:6" ht="33" customHeight="1" x14ac:dyDescent="0.3">
      <c r="A199" s="3"/>
      <c r="B199" s="3"/>
      <c r="C199" s="3"/>
      <c r="D199" s="3"/>
      <c r="E199" s="3"/>
      <c r="F199" s="3"/>
    </row>
    <row r="200" spans="1:6" x14ac:dyDescent="0.3">
      <c r="A200" s="3"/>
      <c r="B200" s="3"/>
      <c r="C200" s="3"/>
      <c r="D200" s="3"/>
      <c r="E200" s="3"/>
      <c r="F200" s="3"/>
    </row>
    <row r="201" spans="1:6" ht="33" customHeight="1" x14ac:dyDescent="0.3">
      <c r="A201" s="3"/>
      <c r="B201" s="3"/>
      <c r="C201" s="3"/>
      <c r="D201" s="3"/>
      <c r="E201" s="3"/>
      <c r="F201" s="3"/>
    </row>
    <row r="202" spans="1:6" ht="33" customHeight="1" x14ac:dyDescent="0.3">
      <c r="A202" s="3"/>
      <c r="B202" s="3"/>
      <c r="C202" s="3"/>
      <c r="D202" s="3"/>
      <c r="E202" s="3"/>
      <c r="F202" s="3"/>
    </row>
    <row r="203" spans="1:6" x14ac:dyDescent="0.3">
      <c r="A203" s="3"/>
      <c r="B203" s="3"/>
      <c r="C203" s="3"/>
      <c r="D203" s="3"/>
      <c r="E203" s="3"/>
      <c r="F203" s="3"/>
    </row>
    <row r="204" spans="1:6" x14ac:dyDescent="0.3">
      <c r="A204" s="3"/>
      <c r="B204" s="3"/>
      <c r="C204" s="3"/>
      <c r="D204" s="3"/>
      <c r="E204" s="3"/>
      <c r="F204" s="3"/>
    </row>
    <row r="205" spans="1:6" ht="33" customHeight="1" x14ac:dyDescent="0.3">
      <c r="A205" s="3"/>
      <c r="B205" s="3"/>
      <c r="C205" s="3"/>
      <c r="D205" s="3"/>
      <c r="E205" s="3"/>
      <c r="F205" s="3"/>
    </row>
    <row r="206" spans="1:6" ht="33" customHeight="1" x14ac:dyDescent="0.3">
      <c r="A206" s="3"/>
      <c r="B206" s="3"/>
      <c r="C206" s="3"/>
      <c r="D206" s="3"/>
      <c r="E206" s="3"/>
      <c r="F206" s="3"/>
    </row>
    <row r="207" spans="1:6" x14ac:dyDescent="0.3">
      <c r="A207" s="3"/>
      <c r="B207" s="3"/>
      <c r="C207" s="3"/>
      <c r="D207" s="3"/>
      <c r="E207" s="3"/>
      <c r="F207" s="3"/>
    </row>
  </sheetData>
  <mergeCells count="40">
    <mergeCell ref="A1:F1"/>
    <mergeCell ref="A6:F6"/>
    <mergeCell ref="A25:F25"/>
    <mergeCell ref="A3:F4"/>
    <mergeCell ref="B9:F9"/>
    <mergeCell ref="A55:F56"/>
    <mergeCell ref="A24:F24"/>
    <mergeCell ref="A36:F36"/>
    <mergeCell ref="A45:F45"/>
    <mergeCell ref="B8:F8"/>
    <mergeCell ref="A29:F29"/>
    <mergeCell ref="B13:F13"/>
    <mergeCell ref="A43:F43"/>
    <mergeCell ref="A38:F38"/>
    <mergeCell ref="A19:F19"/>
    <mergeCell ref="B10:F10"/>
    <mergeCell ref="A31:F31"/>
    <mergeCell ref="A40:F40"/>
    <mergeCell ref="A34:F34"/>
    <mergeCell ref="A39:F39"/>
    <mergeCell ref="B11:F11"/>
    <mergeCell ref="A23:F23"/>
    <mergeCell ref="A32:F32"/>
    <mergeCell ref="A22:F22"/>
    <mergeCell ref="A17:F17"/>
    <mergeCell ref="B14:F14"/>
    <mergeCell ref="A20:F20"/>
    <mergeCell ref="A26:F26"/>
    <mergeCell ref="A21:F21"/>
    <mergeCell ref="A33:F33"/>
    <mergeCell ref="B12:F12"/>
    <mergeCell ref="A47:F47"/>
    <mergeCell ref="A42:F42"/>
    <mergeCell ref="A35:F35"/>
    <mergeCell ref="A44:F44"/>
    <mergeCell ref="A41:F41"/>
    <mergeCell ref="A46:F46"/>
    <mergeCell ref="A37:F37"/>
    <mergeCell ref="A50:F50"/>
    <mergeCell ref="A52:F53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5"/>
  <sheetViews>
    <sheetView showGridLines="0" workbookViewId="0">
      <pane xSplit="9" ySplit="4" topLeftCell="J5" activePane="bottomRight" state="frozen"/>
      <selection pane="topRight"/>
      <selection pane="bottomLeft"/>
      <selection pane="bottomRight" activeCell="J5" sqref="J5"/>
    </sheetView>
  </sheetViews>
  <sheetFormatPr defaultRowHeight="16.5" x14ac:dyDescent="0.3"/>
  <cols>
    <col min="1" max="1" width="8" style="2" customWidth="1"/>
    <col min="2" max="2" width="44" style="2" customWidth="1"/>
    <col min="3" max="7" width="26" style="2" customWidth="1"/>
    <col min="8" max="8" width="22" style="2" customWidth="1"/>
    <col min="9" max="9" width="10" style="2" customWidth="1"/>
    <col min="10" max="29" width="5" style="2" customWidth="1"/>
    <col min="30" max="36" width="9" style="2" customWidth="1"/>
    <col min="37" max="16384" width="9" style="2"/>
  </cols>
  <sheetData>
    <row r="1" spans="1:51" ht="36" customHeight="1" x14ac:dyDescent="0.3">
      <c r="A1" s="39"/>
      <c r="B1" s="39"/>
      <c r="C1" s="39"/>
      <c r="D1" s="39"/>
      <c r="E1" s="39"/>
      <c r="F1" s="39"/>
      <c r="G1" s="39"/>
      <c r="H1" s="39"/>
      <c r="I1" s="39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</row>
    <row r="2" spans="1:51" ht="36" customHeight="1" x14ac:dyDescent="0.3">
      <c r="A2" s="41" t="s">
        <v>47</v>
      </c>
      <c r="B2" s="38"/>
      <c r="C2" s="38"/>
      <c r="D2" s="38"/>
      <c r="E2" s="38"/>
      <c r="F2" s="38"/>
      <c r="G2" s="38"/>
      <c r="H2" s="38"/>
      <c r="I2" s="38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</row>
    <row r="3" spans="1:51" ht="36" customHeight="1" x14ac:dyDescent="0.3">
      <c r="A3" s="41" t="s">
        <v>48</v>
      </c>
      <c r="B3" s="38"/>
      <c r="C3" s="38"/>
      <c r="D3" s="38"/>
      <c r="E3" s="38"/>
      <c r="F3" s="38"/>
      <c r="G3" s="38"/>
      <c r="H3" s="38"/>
      <c r="I3" s="38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</row>
    <row r="4" spans="1:51" x14ac:dyDescent="0.3">
      <c r="A4" s="19" t="s">
        <v>49</v>
      </c>
      <c r="B4" s="19" t="s">
        <v>50</v>
      </c>
      <c r="C4" s="19" t="s">
        <v>51</v>
      </c>
      <c r="D4" s="19" t="s">
        <v>52</v>
      </c>
      <c r="E4" s="19" t="s">
        <v>53</v>
      </c>
      <c r="F4" s="19" t="s">
        <v>54</v>
      </c>
      <c r="G4" s="19" t="s">
        <v>55</v>
      </c>
      <c r="H4" s="19" t="s">
        <v>56</v>
      </c>
      <c r="I4" s="19" t="s">
        <v>57</v>
      </c>
      <c r="J4" s="20" t="s">
        <v>58</v>
      </c>
      <c r="K4" s="20" t="s">
        <v>59</v>
      </c>
      <c r="L4" s="20" t="s">
        <v>60</v>
      </c>
      <c r="M4" s="20" t="s">
        <v>61</v>
      </c>
      <c r="N4" s="20" t="s">
        <v>62</v>
      </c>
      <c r="O4" s="20" t="s">
        <v>63</v>
      </c>
      <c r="P4" s="20" t="s">
        <v>64</v>
      </c>
      <c r="Q4" s="20" t="s">
        <v>65</v>
      </c>
      <c r="R4" s="20" t="s">
        <v>66</v>
      </c>
      <c r="S4" s="20" t="s">
        <v>67</v>
      </c>
      <c r="T4" s="20" t="s">
        <v>68</v>
      </c>
      <c r="U4" s="20" t="s">
        <v>69</v>
      </c>
      <c r="V4" s="20" t="s">
        <v>70</v>
      </c>
      <c r="W4" s="20" t="s">
        <v>71</v>
      </c>
      <c r="X4" s="20" t="s">
        <v>72</v>
      </c>
      <c r="Y4" s="20" t="s">
        <v>73</v>
      </c>
      <c r="Z4" s="20" t="s">
        <v>74</v>
      </c>
      <c r="AA4" s="20" t="s">
        <v>75</v>
      </c>
      <c r="AB4" s="20" t="s">
        <v>76</v>
      </c>
      <c r="AC4" s="20" t="s">
        <v>77</v>
      </c>
      <c r="AD4" s="6" t="s">
        <v>78</v>
      </c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6" t="s">
        <v>79</v>
      </c>
    </row>
    <row r="5" spans="1:51" ht="120" customHeight="1" x14ac:dyDescent="0.3">
      <c r="A5" s="7" t="s">
        <v>80</v>
      </c>
      <c r="B5" s="8" t="s">
        <v>81</v>
      </c>
      <c r="C5" s="8" t="s">
        <v>82</v>
      </c>
      <c r="D5" s="8" t="s">
        <v>83</v>
      </c>
      <c r="E5" s="8" t="s">
        <v>84</v>
      </c>
      <c r="F5" s="8" t="s">
        <v>85</v>
      </c>
      <c r="G5" s="8" t="s">
        <v>86</v>
      </c>
      <c r="H5" s="8" t="s">
        <v>87</v>
      </c>
      <c r="I5" s="9" t="s">
        <v>88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37"/>
      <c r="AE5" s="37">
        <f>0</f>
        <v>0</v>
      </c>
      <c r="AF5" s="37">
        <f>0</f>
        <v>0</v>
      </c>
      <c r="AG5" s="37">
        <f>0</f>
        <v>0</v>
      </c>
      <c r="AH5" s="37">
        <f>0</f>
        <v>0</v>
      </c>
      <c r="AI5" s="37">
        <f>0</f>
        <v>0</v>
      </c>
      <c r="AJ5" s="37">
        <f>0</f>
        <v>0</v>
      </c>
      <c r="AK5" s="37">
        <f>0</f>
        <v>0</v>
      </c>
      <c r="AL5" s="37">
        <f>0</f>
        <v>0</v>
      </c>
      <c r="AM5" s="37">
        <f>0</f>
        <v>0</v>
      </c>
      <c r="AN5" s="37">
        <f>0</f>
        <v>0</v>
      </c>
      <c r="AO5" s="37">
        <f>0</f>
        <v>0</v>
      </c>
      <c r="AP5" s="37">
        <f>0</f>
        <v>0</v>
      </c>
      <c r="AQ5" s="37">
        <f>0</f>
        <v>0</v>
      </c>
      <c r="AR5" s="37">
        <f>0</f>
        <v>0</v>
      </c>
      <c r="AS5" s="37">
        <f>0</f>
        <v>0</v>
      </c>
      <c r="AT5" s="37">
        <f>0</f>
        <v>0</v>
      </c>
      <c r="AU5" s="37">
        <f>0</f>
        <v>0</v>
      </c>
      <c r="AV5" s="37">
        <f>0</f>
        <v>0</v>
      </c>
      <c r="AW5" s="37">
        <f>0</f>
        <v>0</v>
      </c>
      <c r="AX5" s="37">
        <f>0</f>
        <v>0</v>
      </c>
      <c r="AY5" s="37"/>
    </row>
    <row r="6" spans="1:51" ht="120" customHeight="1" x14ac:dyDescent="0.3">
      <c r="A6" s="7" t="s">
        <v>80</v>
      </c>
      <c r="B6" s="8" t="s">
        <v>89</v>
      </c>
      <c r="C6" s="8" t="s">
        <v>90</v>
      </c>
      <c r="D6" s="8" t="s">
        <v>91</v>
      </c>
      <c r="E6" s="8" t="s">
        <v>92</v>
      </c>
      <c r="F6" s="8" t="s">
        <v>93</v>
      </c>
      <c r="G6" s="8"/>
      <c r="H6" s="8" t="s">
        <v>94</v>
      </c>
      <c r="I6" s="9" t="s">
        <v>95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37"/>
      <c r="AE6" s="37">
        <f>0</f>
        <v>0</v>
      </c>
      <c r="AF6" s="37">
        <f>0</f>
        <v>0</v>
      </c>
      <c r="AG6" s="37">
        <f>0</f>
        <v>0</v>
      </c>
      <c r="AH6" s="37">
        <f>0</f>
        <v>0</v>
      </c>
      <c r="AI6" s="37">
        <f>0</f>
        <v>0</v>
      </c>
      <c r="AJ6" s="37">
        <f>0</f>
        <v>0</v>
      </c>
      <c r="AK6" s="37">
        <f>0</f>
        <v>0</v>
      </c>
      <c r="AL6" s="37">
        <f>0</f>
        <v>0</v>
      </c>
      <c r="AM6" s="37">
        <f>0</f>
        <v>0</v>
      </c>
      <c r="AN6" s="37">
        <f>0</f>
        <v>0</v>
      </c>
      <c r="AO6" s="37">
        <f>0</f>
        <v>0</v>
      </c>
      <c r="AP6" s="37">
        <f>0</f>
        <v>0</v>
      </c>
      <c r="AQ6" s="37">
        <f>0</f>
        <v>0</v>
      </c>
      <c r="AR6" s="37">
        <f>0</f>
        <v>0</v>
      </c>
      <c r="AS6" s="37">
        <f>0</f>
        <v>0</v>
      </c>
      <c r="AT6" s="37">
        <f>0</f>
        <v>0</v>
      </c>
      <c r="AU6" s="37">
        <f>0</f>
        <v>0</v>
      </c>
      <c r="AV6" s="37">
        <f>0</f>
        <v>0</v>
      </c>
      <c r="AW6" s="37">
        <f>0</f>
        <v>0</v>
      </c>
      <c r="AX6" s="37">
        <f>0</f>
        <v>0</v>
      </c>
      <c r="AY6" s="37" t="s">
        <v>96</v>
      </c>
    </row>
    <row r="7" spans="1:51" ht="120" customHeight="1" x14ac:dyDescent="0.3">
      <c r="A7" s="7" t="s">
        <v>80</v>
      </c>
      <c r="B7" s="8" t="s">
        <v>97</v>
      </c>
      <c r="C7" s="8" t="s">
        <v>82</v>
      </c>
      <c r="D7" s="8" t="s">
        <v>83</v>
      </c>
      <c r="E7" s="8" t="s">
        <v>84</v>
      </c>
      <c r="F7" s="8" t="s">
        <v>85</v>
      </c>
      <c r="G7" s="8" t="s">
        <v>86</v>
      </c>
      <c r="H7" s="8" t="s">
        <v>87</v>
      </c>
      <c r="I7" s="9" t="s">
        <v>88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37"/>
      <c r="AE7" s="37">
        <f>0</f>
        <v>0</v>
      </c>
      <c r="AF7" s="37">
        <f>0</f>
        <v>0</v>
      </c>
      <c r="AG7" s="37">
        <f>0</f>
        <v>0</v>
      </c>
      <c r="AH7" s="37">
        <f>0</f>
        <v>0</v>
      </c>
      <c r="AI7" s="37">
        <f>0</f>
        <v>0</v>
      </c>
      <c r="AJ7" s="37">
        <f>0</f>
        <v>0</v>
      </c>
      <c r="AK7" s="37">
        <f>0</f>
        <v>0</v>
      </c>
      <c r="AL7" s="37">
        <f>0</f>
        <v>0</v>
      </c>
      <c r="AM7" s="37">
        <f>0</f>
        <v>0</v>
      </c>
      <c r="AN7" s="37">
        <f>0</f>
        <v>0</v>
      </c>
      <c r="AO7" s="37">
        <f>0</f>
        <v>0</v>
      </c>
      <c r="AP7" s="37">
        <f>0</f>
        <v>0</v>
      </c>
      <c r="AQ7" s="37">
        <f>0</f>
        <v>0</v>
      </c>
      <c r="AR7" s="37">
        <f>0</f>
        <v>0</v>
      </c>
      <c r="AS7" s="37">
        <f>0</f>
        <v>0</v>
      </c>
      <c r="AT7" s="37">
        <f>0</f>
        <v>0</v>
      </c>
      <c r="AU7" s="37">
        <f>0</f>
        <v>0</v>
      </c>
      <c r="AV7" s="37">
        <f>0</f>
        <v>0</v>
      </c>
      <c r="AW7" s="37">
        <f>0</f>
        <v>0</v>
      </c>
      <c r="AX7" s="37">
        <f>0</f>
        <v>0</v>
      </c>
      <c r="AY7" s="37"/>
    </row>
    <row r="8" spans="1:51" ht="120" customHeight="1" x14ac:dyDescent="0.3">
      <c r="A8" s="7" t="s">
        <v>80</v>
      </c>
      <c r="B8" s="8" t="s">
        <v>98</v>
      </c>
      <c r="C8" s="8" t="s">
        <v>99</v>
      </c>
      <c r="D8" s="8"/>
      <c r="E8" s="8"/>
      <c r="F8" s="8"/>
      <c r="G8" s="8"/>
      <c r="H8" s="8" t="s">
        <v>100</v>
      </c>
      <c r="I8" s="9" t="s">
        <v>101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37"/>
      <c r="AE8" s="37">
        <f>0</f>
        <v>0</v>
      </c>
      <c r="AF8" s="37">
        <f>0</f>
        <v>0</v>
      </c>
      <c r="AG8" s="37">
        <f>0</f>
        <v>0</v>
      </c>
      <c r="AH8" s="37">
        <f>0</f>
        <v>0</v>
      </c>
      <c r="AI8" s="37">
        <f>0</f>
        <v>0</v>
      </c>
      <c r="AJ8" s="37">
        <f>0</f>
        <v>0</v>
      </c>
      <c r="AK8" s="37">
        <f>0</f>
        <v>0</v>
      </c>
      <c r="AL8" s="37">
        <f>0</f>
        <v>0</v>
      </c>
      <c r="AM8" s="37">
        <f>0</f>
        <v>0</v>
      </c>
      <c r="AN8" s="37">
        <f>0</f>
        <v>0</v>
      </c>
      <c r="AO8" s="37">
        <f>0</f>
        <v>0</v>
      </c>
      <c r="AP8" s="37">
        <f>0</f>
        <v>0</v>
      </c>
      <c r="AQ8" s="37">
        <f>0</f>
        <v>0</v>
      </c>
      <c r="AR8" s="37">
        <f>0</f>
        <v>0</v>
      </c>
      <c r="AS8" s="37">
        <f>0</f>
        <v>0</v>
      </c>
      <c r="AT8" s="37">
        <f>0</f>
        <v>0</v>
      </c>
      <c r="AU8" s="37">
        <f>0</f>
        <v>0</v>
      </c>
      <c r="AV8" s="37">
        <f>0</f>
        <v>0</v>
      </c>
      <c r="AW8" s="37">
        <f>0</f>
        <v>0</v>
      </c>
      <c r="AX8" s="37">
        <f>0</f>
        <v>0</v>
      </c>
      <c r="AY8" s="37"/>
    </row>
    <row r="9" spans="1:51" ht="120" customHeight="1" x14ac:dyDescent="0.3">
      <c r="A9" s="7" t="s">
        <v>102</v>
      </c>
      <c r="B9" s="8" t="s">
        <v>103</v>
      </c>
      <c r="C9" s="8" t="s">
        <v>82</v>
      </c>
      <c r="D9" s="8" t="s">
        <v>83</v>
      </c>
      <c r="E9" s="8" t="s">
        <v>84</v>
      </c>
      <c r="F9" s="8" t="s">
        <v>85</v>
      </c>
      <c r="G9" s="8" t="s">
        <v>86</v>
      </c>
      <c r="H9" s="8" t="s">
        <v>87</v>
      </c>
      <c r="I9" s="9" t="s">
        <v>88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37"/>
      <c r="AE9" s="37">
        <f>0</f>
        <v>0</v>
      </c>
      <c r="AF9" s="37">
        <f>0</f>
        <v>0</v>
      </c>
      <c r="AG9" s="37">
        <f>0</f>
        <v>0</v>
      </c>
      <c r="AH9" s="37">
        <f>0</f>
        <v>0</v>
      </c>
      <c r="AI9" s="37">
        <f>0</f>
        <v>0</v>
      </c>
      <c r="AJ9" s="37">
        <f>0</f>
        <v>0</v>
      </c>
      <c r="AK9" s="37">
        <f>0</f>
        <v>0</v>
      </c>
      <c r="AL9" s="37">
        <f>0</f>
        <v>0</v>
      </c>
      <c r="AM9" s="37">
        <f>0</f>
        <v>0</v>
      </c>
      <c r="AN9" s="37">
        <f>0</f>
        <v>0</v>
      </c>
      <c r="AO9" s="37">
        <f>0</f>
        <v>0</v>
      </c>
      <c r="AP9" s="37">
        <f>0</f>
        <v>0</v>
      </c>
      <c r="AQ9" s="37">
        <f>0</f>
        <v>0</v>
      </c>
      <c r="AR9" s="37">
        <f>0</f>
        <v>0</v>
      </c>
      <c r="AS9" s="37">
        <f>0</f>
        <v>0</v>
      </c>
      <c r="AT9" s="37">
        <f>0</f>
        <v>0</v>
      </c>
      <c r="AU9" s="37">
        <f>0</f>
        <v>0</v>
      </c>
      <c r="AV9" s="37">
        <f>0</f>
        <v>0</v>
      </c>
      <c r="AW9" s="37">
        <f>0</f>
        <v>0</v>
      </c>
      <c r="AX9" s="37">
        <f>0</f>
        <v>0</v>
      </c>
      <c r="AY9" s="37"/>
    </row>
    <row r="10" spans="1:51" ht="120" customHeight="1" x14ac:dyDescent="0.3">
      <c r="A10" s="7" t="s">
        <v>102</v>
      </c>
      <c r="B10" s="8" t="s">
        <v>104</v>
      </c>
      <c r="C10" s="8" t="s">
        <v>105</v>
      </c>
      <c r="D10" s="8"/>
      <c r="E10" s="8"/>
      <c r="F10" s="8"/>
      <c r="G10" s="8"/>
      <c r="H10" s="8" t="s">
        <v>100</v>
      </c>
      <c r="I10" s="9" t="s">
        <v>101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37"/>
      <c r="AE10" s="37">
        <f>0</f>
        <v>0</v>
      </c>
      <c r="AF10" s="37">
        <f>0</f>
        <v>0</v>
      </c>
      <c r="AG10" s="37">
        <f>0</f>
        <v>0</v>
      </c>
      <c r="AH10" s="37">
        <f>0</f>
        <v>0</v>
      </c>
      <c r="AI10" s="37">
        <f>0</f>
        <v>0</v>
      </c>
      <c r="AJ10" s="37">
        <f>0</f>
        <v>0</v>
      </c>
      <c r="AK10" s="37">
        <f>0</f>
        <v>0</v>
      </c>
      <c r="AL10" s="37">
        <f>0</f>
        <v>0</v>
      </c>
      <c r="AM10" s="37">
        <f>0</f>
        <v>0</v>
      </c>
      <c r="AN10" s="37">
        <f>0</f>
        <v>0</v>
      </c>
      <c r="AO10" s="37">
        <f>0</f>
        <v>0</v>
      </c>
      <c r="AP10" s="37">
        <f>0</f>
        <v>0</v>
      </c>
      <c r="AQ10" s="37">
        <f>0</f>
        <v>0</v>
      </c>
      <c r="AR10" s="37">
        <f>0</f>
        <v>0</v>
      </c>
      <c r="AS10" s="37">
        <f>0</f>
        <v>0</v>
      </c>
      <c r="AT10" s="37">
        <f>0</f>
        <v>0</v>
      </c>
      <c r="AU10" s="37">
        <f>0</f>
        <v>0</v>
      </c>
      <c r="AV10" s="37">
        <f>0</f>
        <v>0</v>
      </c>
      <c r="AW10" s="37">
        <f>0</f>
        <v>0</v>
      </c>
      <c r="AX10" s="37">
        <f>0</f>
        <v>0</v>
      </c>
      <c r="AY10" s="37"/>
    </row>
    <row r="11" spans="1:51" ht="120" customHeight="1" x14ac:dyDescent="0.3">
      <c r="A11" s="7" t="s">
        <v>106</v>
      </c>
      <c r="B11" s="8" t="s">
        <v>107</v>
      </c>
      <c r="C11" s="8" t="s">
        <v>82</v>
      </c>
      <c r="D11" s="8" t="s">
        <v>83</v>
      </c>
      <c r="E11" s="8" t="s">
        <v>84</v>
      </c>
      <c r="F11" s="8" t="s">
        <v>85</v>
      </c>
      <c r="G11" s="8" t="s">
        <v>86</v>
      </c>
      <c r="H11" s="8" t="s">
        <v>87</v>
      </c>
      <c r="I11" s="9" t="s">
        <v>88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37"/>
      <c r="AE11" s="37">
        <f>0</f>
        <v>0</v>
      </c>
      <c r="AF11" s="37">
        <f>0</f>
        <v>0</v>
      </c>
      <c r="AG11" s="37">
        <f>0</f>
        <v>0</v>
      </c>
      <c r="AH11" s="37">
        <f>0</f>
        <v>0</v>
      </c>
      <c r="AI11" s="37">
        <f>0</f>
        <v>0</v>
      </c>
      <c r="AJ11" s="37">
        <f>0</f>
        <v>0</v>
      </c>
      <c r="AK11" s="37">
        <f>0</f>
        <v>0</v>
      </c>
      <c r="AL11" s="37">
        <f>0</f>
        <v>0</v>
      </c>
      <c r="AM11" s="37">
        <f>0</f>
        <v>0</v>
      </c>
      <c r="AN11" s="37">
        <f>0</f>
        <v>0</v>
      </c>
      <c r="AO11" s="37">
        <f>0</f>
        <v>0</v>
      </c>
      <c r="AP11" s="37">
        <f>0</f>
        <v>0</v>
      </c>
      <c r="AQ11" s="37">
        <f>0</f>
        <v>0</v>
      </c>
      <c r="AR11" s="37">
        <f>0</f>
        <v>0</v>
      </c>
      <c r="AS11" s="37">
        <f>0</f>
        <v>0</v>
      </c>
      <c r="AT11" s="37">
        <f>0</f>
        <v>0</v>
      </c>
      <c r="AU11" s="37">
        <f>0</f>
        <v>0</v>
      </c>
      <c r="AV11" s="37">
        <f>0</f>
        <v>0</v>
      </c>
      <c r="AW11" s="37">
        <f>0</f>
        <v>0</v>
      </c>
      <c r="AX11" s="37">
        <f>0</f>
        <v>0</v>
      </c>
      <c r="AY11" s="37"/>
    </row>
    <row r="12" spans="1:51" ht="120" customHeight="1" x14ac:dyDescent="0.3">
      <c r="A12" s="7" t="s">
        <v>108</v>
      </c>
      <c r="B12" s="8" t="s">
        <v>109</v>
      </c>
      <c r="C12" s="8" t="s">
        <v>82</v>
      </c>
      <c r="D12" s="8" t="s">
        <v>83</v>
      </c>
      <c r="E12" s="8" t="s">
        <v>84</v>
      </c>
      <c r="F12" s="8" t="s">
        <v>85</v>
      </c>
      <c r="G12" s="8" t="s">
        <v>86</v>
      </c>
      <c r="H12" s="8" t="s">
        <v>87</v>
      </c>
      <c r="I12" s="9" t="s">
        <v>88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37"/>
      <c r="AE12" s="37">
        <f>0</f>
        <v>0</v>
      </c>
      <c r="AF12" s="37">
        <f>0</f>
        <v>0</v>
      </c>
      <c r="AG12" s="37">
        <f>0</f>
        <v>0</v>
      </c>
      <c r="AH12" s="37">
        <f>0</f>
        <v>0</v>
      </c>
      <c r="AI12" s="37">
        <f>0</f>
        <v>0</v>
      </c>
      <c r="AJ12" s="37">
        <f>0</f>
        <v>0</v>
      </c>
      <c r="AK12" s="37">
        <f>0</f>
        <v>0</v>
      </c>
      <c r="AL12" s="37">
        <f>0</f>
        <v>0</v>
      </c>
      <c r="AM12" s="37">
        <f>0</f>
        <v>0</v>
      </c>
      <c r="AN12" s="37">
        <f>0</f>
        <v>0</v>
      </c>
      <c r="AO12" s="37">
        <f>0</f>
        <v>0</v>
      </c>
      <c r="AP12" s="37">
        <f>0</f>
        <v>0</v>
      </c>
      <c r="AQ12" s="37">
        <f>0</f>
        <v>0</v>
      </c>
      <c r="AR12" s="37">
        <f>0</f>
        <v>0</v>
      </c>
      <c r="AS12" s="37">
        <f>0</f>
        <v>0</v>
      </c>
      <c r="AT12" s="37">
        <f>0</f>
        <v>0</v>
      </c>
      <c r="AU12" s="37">
        <f>0</f>
        <v>0</v>
      </c>
      <c r="AV12" s="37">
        <f>0</f>
        <v>0</v>
      </c>
      <c r="AW12" s="37">
        <f>0</f>
        <v>0</v>
      </c>
      <c r="AX12" s="37">
        <f>0</f>
        <v>0</v>
      </c>
      <c r="AY12" s="37"/>
    </row>
    <row r="13" spans="1:51" ht="120" customHeight="1" x14ac:dyDescent="0.3">
      <c r="A13" s="7" t="s">
        <v>110</v>
      </c>
      <c r="B13" s="8" t="s">
        <v>111</v>
      </c>
      <c r="C13" s="8" t="s">
        <v>82</v>
      </c>
      <c r="D13" s="8" t="s">
        <v>83</v>
      </c>
      <c r="E13" s="8" t="s">
        <v>84</v>
      </c>
      <c r="F13" s="8" t="s">
        <v>85</v>
      </c>
      <c r="G13" s="8" t="s">
        <v>86</v>
      </c>
      <c r="H13" s="8" t="s">
        <v>87</v>
      </c>
      <c r="I13" s="9" t="s">
        <v>88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37"/>
      <c r="AE13" s="37">
        <f>0</f>
        <v>0</v>
      </c>
      <c r="AF13" s="37">
        <f>0</f>
        <v>0</v>
      </c>
      <c r="AG13" s="37">
        <f>0</f>
        <v>0</v>
      </c>
      <c r="AH13" s="37">
        <f>0</f>
        <v>0</v>
      </c>
      <c r="AI13" s="37">
        <f>0</f>
        <v>0</v>
      </c>
      <c r="AJ13" s="37">
        <f>0</f>
        <v>0</v>
      </c>
      <c r="AK13" s="37">
        <f>0</f>
        <v>0</v>
      </c>
      <c r="AL13" s="37">
        <f>0</f>
        <v>0</v>
      </c>
      <c r="AM13" s="37">
        <f>0</f>
        <v>0</v>
      </c>
      <c r="AN13" s="37">
        <f>0</f>
        <v>0</v>
      </c>
      <c r="AO13" s="37">
        <f>0</f>
        <v>0</v>
      </c>
      <c r="AP13" s="37">
        <f>0</f>
        <v>0</v>
      </c>
      <c r="AQ13" s="37">
        <f>0</f>
        <v>0</v>
      </c>
      <c r="AR13" s="37">
        <f>0</f>
        <v>0</v>
      </c>
      <c r="AS13" s="37">
        <f>0</f>
        <v>0</v>
      </c>
      <c r="AT13" s="37">
        <f>0</f>
        <v>0</v>
      </c>
      <c r="AU13" s="37">
        <f>0</f>
        <v>0</v>
      </c>
      <c r="AV13" s="37">
        <f>0</f>
        <v>0</v>
      </c>
      <c r="AW13" s="37">
        <f>0</f>
        <v>0</v>
      </c>
      <c r="AX13" s="37">
        <f>0</f>
        <v>0</v>
      </c>
      <c r="AY13" s="37"/>
    </row>
    <row r="14" spans="1:51" ht="120" customHeight="1" x14ac:dyDescent="0.3">
      <c r="A14" s="7" t="s">
        <v>80</v>
      </c>
      <c r="B14" s="8" t="s">
        <v>112</v>
      </c>
      <c r="C14" s="8" t="s">
        <v>113</v>
      </c>
      <c r="D14" s="8"/>
      <c r="E14" s="8"/>
      <c r="F14" s="8"/>
      <c r="G14" s="8"/>
      <c r="H14" s="8" t="s">
        <v>114</v>
      </c>
      <c r="I14" s="9" t="s">
        <v>101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37"/>
      <c r="AE14" s="37">
        <f>0</f>
        <v>0</v>
      </c>
      <c r="AF14" s="37">
        <f>0</f>
        <v>0</v>
      </c>
      <c r="AG14" s="37">
        <f>0</f>
        <v>0</v>
      </c>
      <c r="AH14" s="37">
        <f>0</f>
        <v>0</v>
      </c>
      <c r="AI14" s="37">
        <f>0</f>
        <v>0</v>
      </c>
      <c r="AJ14" s="37">
        <f>0</f>
        <v>0</v>
      </c>
      <c r="AK14" s="37">
        <f>0</f>
        <v>0</v>
      </c>
      <c r="AL14" s="37">
        <f>0</f>
        <v>0</v>
      </c>
      <c r="AM14" s="37">
        <f>0</f>
        <v>0</v>
      </c>
      <c r="AN14" s="37">
        <f>0</f>
        <v>0</v>
      </c>
      <c r="AO14" s="37">
        <f>0</f>
        <v>0</v>
      </c>
      <c r="AP14" s="37">
        <f>0</f>
        <v>0</v>
      </c>
      <c r="AQ14" s="37">
        <f>0</f>
        <v>0</v>
      </c>
      <c r="AR14" s="37">
        <f>0</f>
        <v>0</v>
      </c>
      <c r="AS14" s="37">
        <f>0</f>
        <v>0</v>
      </c>
      <c r="AT14" s="37">
        <f>0</f>
        <v>0</v>
      </c>
      <c r="AU14" s="37">
        <f>0</f>
        <v>0</v>
      </c>
      <c r="AV14" s="37">
        <f>0</f>
        <v>0</v>
      </c>
      <c r="AW14" s="37">
        <f>0</f>
        <v>0</v>
      </c>
      <c r="AX14" s="37">
        <f>0</f>
        <v>0</v>
      </c>
      <c r="AY14" s="37"/>
    </row>
    <row r="15" spans="1:51" ht="120" customHeight="1" x14ac:dyDescent="0.3">
      <c r="A15" s="7" t="s">
        <v>80</v>
      </c>
      <c r="B15" s="8" t="s">
        <v>115</v>
      </c>
      <c r="C15" s="8" t="s">
        <v>116</v>
      </c>
      <c r="D15" s="8"/>
      <c r="E15" s="8"/>
      <c r="F15" s="8"/>
      <c r="G15" s="8"/>
      <c r="H15" s="8" t="s">
        <v>114</v>
      </c>
      <c r="I15" s="9" t="s">
        <v>101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37"/>
      <c r="AE15" s="37">
        <f>0</f>
        <v>0</v>
      </c>
      <c r="AF15" s="37">
        <f>0</f>
        <v>0</v>
      </c>
      <c r="AG15" s="37">
        <f>0</f>
        <v>0</v>
      </c>
      <c r="AH15" s="37">
        <f>0</f>
        <v>0</v>
      </c>
      <c r="AI15" s="37">
        <f>0</f>
        <v>0</v>
      </c>
      <c r="AJ15" s="37">
        <f>0</f>
        <v>0</v>
      </c>
      <c r="AK15" s="37">
        <f>0</f>
        <v>0</v>
      </c>
      <c r="AL15" s="37">
        <f>0</f>
        <v>0</v>
      </c>
      <c r="AM15" s="37">
        <f>0</f>
        <v>0</v>
      </c>
      <c r="AN15" s="37">
        <f>0</f>
        <v>0</v>
      </c>
      <c r="AO15" s="37">
        <f>0</f>
        <v>0</v>
      </c>
      <c r="AP15" s="37">
        <f>0</f>
        <v>0</v>
      </c>
      <c r="AQ15" s="37">
        <f>0</f>
        <v>0</v>
      </c>
      <c r="AR15" s="37">
        <f>0</f>
        <v>0</v>
      </c>
      <c r="AS15" s="37">
        <f>0</f>
        <v>0</v>
      </c>
      <c r="AT15" s="37">
        <f>0</f>
        <v>0</v>
      </c>
      <c r="AU15" s="37">
        <f>0</f>
        <v>0</v>
      </c>
      <c r="AV15" s="37">
        <f>0</f>
        <v>0</v>
      </c>
      <c r="AW15" s="37">
        <f>0</f>
        <v>0</v>
      </c>
      <c r="AX15" s="37">
        <f>0</f>
        <v>0</v>
      </c>
      <c r="AY15" s="37"/>
    </row>
    <row r="16" spans="1:51" ht="120" customHeight="1" x14ac:dyDescent="0.3">
      <c r="A16" s="7" t="s">
        <v>80</v>
      </c>
      <c r="B16" s="8" t="s">
        <v>117</v>
      </c>
      <c r="C16" s="8" t="s">
        <v>118</v>
      </c>
      <c r="D16" s="8"/>
      <c r="E16" s="8"/>
      <c r="F16" s="8"/>
      <c r="G16" s="8"/>
      <c r="H16" s="8" t="s">
        <v>114</v>
      </c>
      <c r="I16" s="9" t="s">
        <v>101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37"/>
      <c r="AE16" s="37">
        <f>0</f>
        <v>0</v>
      </c>
      <c r="AF16" s="37">
        <f>0</f>
        <v>0</v>
      </c>
      <c r="AG16" s="37">
        <f>0</f>
        <v>0</v>
      </c>
      <c r="AH16" s="37">
        <f>0</f>
        <v>0</v>
      </c>
      <c r="AI16" s="37">
        <f>0</f>
        <v>0</v>
      </c>
      <c r="AJ16" s="37">
        <f>0</f>
        <v>0</v>
      </c>
      <c r="AK16" s="37">
        <f>0</f>
        <v>0</v>
      </c>
      <c r="AL16" s="37">
        <f>0</f>
        <v>0</v>
      </c>
      <c r="AM16" s="37">
        <f>0</f>
        <v>0</v>
      </c>
      <c r="AN16" s="37">
        <f>0</f>
        <v>0</v>
      </c>
      <c r="AO16" s="37">
        <f>0</f>
        <v>0</v>
      </c>
      <c r="AP16" s="37">
        <f>0</f>
        <v>0</v>
      </c>
      <c r="AQ16" s="37">
        <f>0</f>
        <v>0</v>
      </c>
      <c r="AR16" s="37">
        <f>0</f>
        <v>0</v>
      </c>
      <c r="AS16" s="37">
        <f>0</f>
        <v>0</v>
      </c>
      <c r="AT16" s="37">
        <f>0</f>
        <v>0</v>
      </c>
      <c r="AU16" s="37">
        <f>0</f>
        <v>0</v>
      </c>
      <c r="AV16" s="37">
        <f>0</f>
        <v>0</v>
      </c>
      <c r="AW16" s="37">
        <f>0</f>
        <v>0</v>
      </c>
      <c r="AX16" s="37">
        <f>0</f>
        <v>0</v>
      </c>
      <c r="AY16" s="37"/>
    </row>
    <row r="17" spans="1:51" ht="120" customHeight="1" x14ac:dyDescent="0.3">
      <c r="A17" s="7" t="s">
        <v>119</v>
      </c>
      <c r="B17" s="8" t="s">
        <v>120</v>
      </c>
      <c r="C17" s="8" t="s">
        <v>113</v>
      </c>
      <c r="D17" s="8"/>
      <c r="E17" s="8"/>
      <c r="F17" s="8"/>
      <c r="G17" s="8"/>
      <c r="H17" s="8" t="s">
        <v>114</v>
      </c>
      <c r="I17" s="9" t="s">
        <v>101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37"/>
      <c r="AE17" s="37">
        <f>0</f>
        <v>0</v>
      </c>
      <c r="AF17" s="37">
        <f>0</f>
        <v>0</v>
      </c>
      <c r="AG17" s="37">
        <f>0</f>
        <v>0</v>
      </c>
      <c r="AH17" s="37">
        <f>0</f>
        <v>0</v>
      </c>
      <c r="AI17" s="37">
        <f>0</f>
        <v>0</v>
      </c>
      <c r="AJ17" s="37">
        <f>0</f>
        <v>0</v>
      </c>
      <c r="AK17" s="37">
        <f>0</f>
        <v>0</v>
      </c>
      <c r="AL17" s="37">
        <f>0</f>
        <v>0</v>
      </c>
      <c r="AM17" s="37">
        <f>0</f>
        <v>0</v>
      </c>
      <c r="AN17" s="37">
        <f>0</f>
        <v>0</v>
      </c>
      <c r="AO17" s="37">
        <f>0</f>
        <v>0</v>
      </c>
      <c r="AP17" s="37">
        <f>0</f>
        <v>0</v>
      </c>
      <c r="AQ17" s="37">
        <f>0</f>
        <v>0</v>
      </c>
      <c r="AR17" s="37">
        <f>0</f>
        <v>0</v>
      </c>
      <c r="AS17" s="37">
        <f>0</f>
        <v>0</v>
      </c>
      <c r="AT17" s="37">
        <f>0</f>
        <v>0</v>
      </c>
      <c r="AU17" s="37">
        <f>0</f>
        <v>0</v>
      </c>
      <c r="AV17" s="37">
        <f>0</f>
        <v>0</v>
      </c>
      <c r="AW17" s="37">
        <f>0</f>
        <v>0</v>
      </c>
      <c r="AX17" s="37">
        <f>0</f>
        <v>0</v>
      </c>
      <c r="AY17" s="37"/>
    </row>
    <row r="18" spans="1:51" ht="120" customHeight="1" x14ac:dyDescent="0.3">
      <c r="A18" s="7" t="s">
        <v>119</v>
      </c>
      <c r="B18" s="8" t="s">
        <v>121</v>
      </c>
      <c r="C18" s="8" t="s">
        <v>116</v>
      </c>
      <c r="D18" s="8"/>
      <c r="E18" s="8"/>
      <c r="F18" s="8"/>
      <c r="G18" s="8"/>
      <c r="H18" s="8" t="s">
        <v>114</v>
      </c>
      <c r="I18" s="9" t="s">
        <v>101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37"/>
      <c r="AE18" s="37">
        <f>0</f>
        <v>0</v>
      </c>
      <c r="AF18" s="37">
        <f>0</f>
        <v>0</v>
      </c>
      <c r="AG18" s="37">
        <f>0</f>
        <v>0</v>
      </c>
      <c r="AH18" s="37">
        <f>0</f>
        <v>0</v>
      </c>
      <c r="AI18" s="37">
        <f>0</f>
        <v>0</v>
      </c>
      <c r="AJ18" s="37">
        <f>0</f>
        <v>0</v>
      </c>
      <c r="AK18" s="37">
        <f>0</f>
        <v>0</v>
      </c>
      <c r="AL18" s="37">
        <f>0</f>
        <v>0</v>
      </c>
      <c r="AM18" s="37">
        <f>0</f>
        <v>0</v>
      </c>
      <c r="AN18" s="37">
        <f>0</f>
        <v>0</v>
      </c>
      <c r="AO18" s="37">
        <f>0</f>
        <v>0</v>
      </c>
      <c r="AP18" s="37">
        <f>0</f>
        <v>0</v>
      </c>
      <c r="AQ18" s="37">
        <f>0</f>
        <v>0</v>
      </c>
      <c r="AR18" s="37">
        <f>0</f>
        <v>0</v>
      </c>
      <c r="AS18" s="37">
        <f>0</f>
        <v>0</v>
      </c>
      <c r="AT18" s="37">
        <f>0</f>
        <v>0</v>
      </c>
      <c r="AU18" s="37">
        <f>0</f>
        <v>0</v>
      </c>
      <c r="AV18" s="37">
        <f>0</f>
        <v>0</v>
      </c>
      <c r="AW18" s="37">
        <f>0</f>
        <v>0</v>
      </c>
      <c r="AX18" s="37">
        <f>0</f>
        <v>0</v>
      </c>
      <c r="AY18" s="37"/>
    </row>
    <row r="19" spans="1:51" ht="120" customHeight="1" x14ac:dyDescent="0.3">
      <c r="A19" s="7" t="s">
        <v>119</v>
      </c>
      <c r="B19" s="8" t="s">
        <v>122</v>
      </c>
      <c r="C19" s="8" t="s">
        <v>118</v>
      </c>
      <c r="D19" s="8"/>
      <c r="E19" s="8"/>
      <c r="F19" s="8"/>
      <c r="G19" s="8"/>
      <c r="H19" s="8" t="s">
        <v>114</v>
      </c>
      <c r="I19" s="9" t="s">
        <v>101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37"/>
      <c r="AE19" s="37">
        <f>0</f>
        <v>0</v>
      </c>
      <c r="AF19" s="37">
        <f>0</f>
        <v>0</v>
      </c>
      <c r="AG19" s="37">
        <f>0</f>
        <v>0</v>
      </c>
      <c r="AH19" s="37">
        <f>0</f>
        <v>0</v>
      </c>
      <c r="AI19" s="37">
        <f>0</f>
        <v>0</v>
      </c>
      <c r="AJ19" s="37">
        <f>0</f>
        <v>0</v>
      </c>
      <c r="AK19" s="37">
        <f>0</f>
        <v>0</v>
      </c>
      <c r="AL19" s="37">
        <f>0</f>
        <v>0</v>
      </c>
      <c r="AM19" s="37">
        <f>0</f>
        <v>0</v>
      </c>
      <c r="AN19" s="37">
        <f>0</f>
        <v>0</v>
      </c>
      <c r="AO19" s="37">
        <f>0</f>
        <v>0</v>
      </c>
      <c r="AP19" s="37">
        <f>0</f>
        <v>0</v>
      </c>
      <c r="AQ19" s="37">
        <f>0</f>
        <v>0</v>
      </c>
      <c r="AR19" s="37">
        <f>0</f>
        <v>0</v>
      </c>
      <c r="AS19" s="37">
        <f>0</f>
        <v>0</v>
      </c>
      <c r="AT19" s="37">
        <f>0</f>
        <v>0</v>
      </c>
      <c r="AU19" s="37">
        <f>0</f>
        <v>0</v>
      </c>
      <c r="AV19" s="37">
        <f>0</f>
        <v>0</v>
      </c>
      <c r="AW19" s="37">
        <f>0</f>
        <v>0</v>
      </c>
      <c r="AX19" s="37">
        <f>0</f>
        <v>0</v>
      </c>
      <c r="AY19" s="37"/>
    </row>
    <row r="20" spans="1:51" ht="120" customHeight="1" x14ac:dyDescent="0.3">
      <c r="A20" s="7" t="s">
        <v>102</v>
      </c>
      <c r="B20" s="8" t="s">
        <v>123</v>
      </c>
      <c r="C20" s="8" t="s">
        <v>113</v>
      </c>
      <c r="D20" s="8"/>
      <c r="E20" s="8"/>
      <c r="F20" s="8"/>
      <c r="G20" s="8"/>
      <c r="H20" s="8" t="s">
        <v>114</v>
      </c>
      <c r="I20" s="9" t="s">
        <v>101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37"/>
      <c r="AE20" s="37">
        <f>0</f>
        <v>0</v>
      </c>
      <c r="AF20" s="37">
        <f>0</f>
        <v>0</v>
      </c>
      <c r="AG20" s="37">
        <f>0</f>
        <v>0</v>
      </c>
      <c r="AH20" s="37">
        <f>0</f>
        <v>0</v>
      </c>
      <c r="AI20" s="37">
        <f>0</f>
        <v>0</v>
      </c>
      <c r="AJ20" s="37">
        <f>0</f>
        <v>0</v>
      </c>
      <c r="AK20" s="37">
        <f>0</f>
        <v>0</v>
      </c>
      <c r="AL20" s="37">
        <f>0</f>
        <v>0</v>
      </c>
      <c r="AM20" s="37">
        <f>0</f>
        <v>0</v>
      </c>
      <c r="AN20" s="37">
        <f>0</f>
        <v>0</v>
      </c>
      <c r="AO20" s="37">
        <f>0</f>
        <v>0</v>
      </c>
      <c r="AP20" s="37">
        <f>0</f>
        <v>0</v>
      </c>
      <c r="AQ20" s="37">
        <f>0</f>
        <v>0</v>
      </c>
      <c r="AR20" s="37">
        <f>0</f>
        <v>0</v>
      </c>
      <c r="AS20" s="37">
        <f>0</f>
        <v>0</v>
      </c>
      <c r="AT20" s="37">
        <f>0</f>
        <v>0</v>
      </c>
      <c r="AU20" s="37">
        <f>0</f>
        <v>0</v>
      </c>
      <c r="AV20" s="37">
        <f>0</f>
        <v>0</v>
      </c>
      <c r="AW20" s="37">
        <f>0</f>
        <v>0</v>
      </c>
      <c r="AX20" s="37">
        <f>0</f>
        <v>0</v>
      </c>
      <c r="AY20" s="37"/>
    </row>
    <row r="21" spans="1:51" ht="120" customHeight="1" x14ac:dyDescent="0.3">
      <c r="A21" s="7" t="s">
        <v>102</v>
      </c>
      <c r="B21" s="8" t="s">
        <v>124</v>
      </c>
      <c r="C21" s="8" t="s">
        <v>116</v>
      </c>
      <c r="D21" s="8"/>
      <c r="E21" s="8"/>
      <c r="F21" s="8"/>
      <c r="G21" s="8"/>
      <c r="H21" s="8" t="s">
        <v>114</v>
      </c>
      <c r="I21" s="9" t="s">
        <v>101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37"/>
      <c r="AE21" s="37">
        <f>0</f>
        <v>0</v>
      </c>
      <c r="AF21" s="37">
        <f>0</f>
        <v>0</v>
      </c>
      <c r="AG21" s="37">
        <f>0</f>
        <v>0</v>
      </c>
      <c r="AH21" s="37">
        <f>0</f>
        <v>0</v>
      </c>
      <c r="AI21" s="37">
        <f>0</f>
        <v>0</v>
      </c>
      <c r="AJ21" s="37">
        <f>0</f>
        <v>0</v>
      </c>
      <c r="AK21" s="37">
        <f>0</f>
        <v>0</v>
      </c>
      <c r="AL21" s="37">
        <f>0</f>
        <v>0</v>
      </c>
      <c r="AM21" s="37">
        <f>0</f>
        <v>0</v>
      </c>
      <c r="AN21" s="37">
        <f>0</f>
        <v>0</v>
      </c>
      <c r="AO21" s="37">
        <f>0</f>
        <v>0</v>
      </c>
      <c r="AP21" s="37">
        <f>0</f>
        <v>0</v>
      </c>
      <c r="AQ21" s="37">
        <f>0</f>
        <v>0</v>
      </c>
      <c r="AR21" s="37">
        <f>0</f>
        <v>0</v>
      </c>
      <c r="AS21" s="37">
        <f>0</f>
        <v>0</v>
      </c>
      <c r="AT21" s="37">
        <f>0</f>
        <v>0</v>
      </c>
      <c r="AU21" s="37">
        <f>0</f>
        <v>0</v>
      </c>
      <c r="AV21" s="37">
        <f>0</f>
        <v>0</v>
      </c>
      <c r="AW21" s="37">
        <f>0</f>
        <v>0</v>
      </c>
      <c r="AX21" s="37">
        <f>0</f>
        <v>0</v>
      </c>
      <c r="AY21" s="37"/>
    </row>
    <row r="22" spans="1:51" ht="120" customHeight="1" x14ac:dyDescent="0.3">
      <c r="A22" s="7" t="s">
        <v>102</v>
      </c>
      <c r="B22" s="8" t="s">
        <v>125</v>
      </c>
      <c r="C22" s="8" t="s">
        <v>118</v>
      </c>
      <c r="D22" s="8"/>
      <c r="E22" s="8"/>
      <c r="F22" s="8"/>
      <c r="G22" s="8"/>
      <c r="H22" s="8" t="s">
        <v>114</v>
      </c>
      <c r="I22" s="9" t="s">
        <v>101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37"/>
      <c r="AE22" s="37">
        <f>0</f>
        <v>0</v>
      </c>
      <c r="AF22" s="37">
        <f>0</f>
        <v>0</v>
      </c>
      <c r="AG22" s="37">
        <f>0</f>
        <v>0</v>
      </c>
      <c r="AH22" s="37">
        <f>0</f>
        <v>0</v>
      </c>
      <c r="AI22" s="37">
        <f>0</f>
        <v>0</v>
      </c>
      <c r="AJ22" s="37">
        <f>0</f>
        <v>0</v>
      </c>
      <c r="AK22" s="37">
        <f>0</f>
        <v>0</v>
      </c>
      <c r="AL22" s="37">
        <f>0</f>
        <v>0</v>
      </c>
      <c r="AM22" s="37">
        <f>0</f>
        <v>0</v>
      </c>
      <c r="AN22" s="37">
        <f>0</f>
        <v>0</v>
      </c>
      <c r="AO22" s="37">
        <f>0</f>
        <v>0</v>
      </c>
      <c r="AP22" s="37">
        <f>0</f>
        <v>0</v>
      </c>
      <c r="AQ22" s="37">
        <f>0</f>
        <v>0</v>
      </c>
      <c r="AR22" s="37">
        <f>0</f>
        <v>0</v>
      </c>
      <c r="AS22" s="37">
        <f>0</f>
        <v>0</v>
      </c>
      <c r="AT22" s="37">
        <f>0</f>
        <v>0</v>
      </c>
      <c r="AU22" s="37">
        <f>0</f>
        <v>0</v>
      </c>
      <c r="AV22" s="37">
        <f>0</f>
        <v>0</v>
      </c>
      <c r="AW22" s="37">
        <f>0</f>
        <v>0</v>
      </c>
      <c r="AX22" s="37">
        <f>0</f>
        <v>0</v>
      </c>
      <c r="AY22" s="37"/>
    </row>
    <row r="23" spans="1:51" ht="120" customHeight="1" x14ac:dyDescent="0.3">
      <c r="A23" s="7" t="s">
        <v>106</v>
      </c>
      <c r="B23" s="8" t="s">
        <v>126</v>
      </c>
      <c r="C23" s="8" t="s">
        <v>113</v>
      </c>
      <c r="D23" s="8"/>
      <c r="E23" s="8"/>
      <c r="F23" s="8"/>
      <c r="G23" s="8"/>
      <c r="H23" s="8" t="s">
        <v>114</v>
      </c>
      <c r="I23" s="9" t="s">
        <v>101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37"/>
      <c r="AE23" s="37">
        <f>0</f>
        <v>0</v>
      </c>
      <c r="AF23" s="37">
        <f>0</f>
        <v>0</v>
      </c>
      <c r="AG23" s="37">
        <f>0</f>
        <v>0</v>
      </c>
      <c r="AH23" s="37">
        <f>0</f>
        <v>0</v>
      </c>
      <c r="AI23" s="37">
        <f>0</f>
        <v>0</v>
      </c>
      <c r="AJ23" s="37">
        <f>0</f>
        <v>0</v>
      </c>
      <c r="AK23" s="37">
        <f>0</f>
        <v>0</v>
      </c>
      <c r="AL23" s="37">
        <f>0</f>
        <v>0</v>
      </c>
      <c r="AM23" s="37">
        <f>0</f>
        <v>0</v>
      </c>
      <c r="AN23" s="37">
        <f>0</f>
        <v>0</v>
      </c>
      <c r="AO23" s="37">
        <f>0</f>
        <v>0</v>
      </c>
      <c r="AP23" s="37">
        <f>0</f>
        <v>0</v>
      </c>
      <c r="AQ23" s="37">
        <f>0</f>
        <v>0</v>
      </c>
      <c r="AR23" s="37">
        <f>0</f>
        <v>0</v>
      </c>
      <c r="AS23" s="37">
        <f>0</f>
        <v>0</v>
      </c>
      <c r="AT23" s="37">
        <f>0</f>
        <v>0</v>
      </c>
      <c r="AU23" s="37">
        <f>0</f>
        <v>0</v>
      </c>
      <c r="AV23" s="37">
        <f>0</f>
        <v>0</v>
      </c>
      <c r="AW23" s="37">
        <f>0</f>
        <v>0</v>
      </c>
      <c r="AX23" s="37">
        <f>0</f>
        <v>0</v>
      </c>
      <c r="AY23" s="37"/>
    </row>
    <row r="24" spans="1:51" ht="120" customHeight="1" x14ac:dyDescent="0.3">
      <c r="A24" s="7" t="s">
        <v>106</v>
      </c>
      <c r="B24" s="8" t="s">
        <v>127</v>
      </c>
      <c r="C24" s="8" t="s">
        <v>116</v>
      </c>
      <c r="D24" s="8"/>
      <c r="E24" s="8"/>
      <c r="F24" s="8"/>
      <c r="G24" s="8"/>
      <c r="H24" s="8" t="s">
        <v>114</v>
      </c>
      <c r="I24" s="9" t="s">
        <v>101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37"/>
      <c r="AE24" s="37">
        <f>0</f>
        <v>0</v>
      </c>
      <c r="AF24" s="37">
        <f>0</f>
        <v>0</v>
      </c>
      <c r="AG24" s="37">
        <f>0</f>
        <v>0</v>
      </c>
      <c r="AH24" s="37">
        <f>0</f>
        <v>0</v>
      </c>
      <c r="AI24" s="37">
        <f>0</f>
        <v>0</v>
      </c>
      <c r="AJ24" s="37">
        <f>0</f>
        <v>0</v>
      </c>
      <c r="AK24" s="37">
        <f>0</f>
        <v>0</v>
      </c>
      <c r="AL24" s="37">
        <f>0</f>
        <v>0</v>
      </c>
      <c r="AM24" s="37">
        <f>0</f>
        <v>0</v>
      </c>
      <c r="AN24" s="37">
        <f>0</f>
        <v>0</v>
      </c>
      <c r="AO24" s="37">
        <f>0</f>
        <v>0</v>
      </c>
      <c r="AP24" s="37">
        <f>0</f>
        <v>0</v>
      </c>
      <c r="AQ24" s="37">
        <f>0</f>
        <v>0</v>
      </c>
      <c r="AR24" s="37">
        <f>0</f>
        <v>0</v>
      </c>
      <c r="AS24" s="37">
        <f>0</f>
        <v>0</v>
      </c>
      <c r="AT24" s="37">
        <f>0</f>
        <v>0</v>
      </c>
      <c r="AU24" s="37">
        <f>0</f>
        <v>0</v>
      </c>
      <c r="AV24" s="37">
        <f>0</f>
        <v>0</v>
      </c>
      <c r="AW24" s="37">
        <f>0</f>
        <v>0</v>
      </c>
      <c r="AX24" s="37">
        <f>0</f>
        <v>0</v>
      </c>
      <c r="AY24" s="37"/>
    </row>
    <row r="25" spans="1:51" ht="120" customHeight="1" x14ac:dyDescent="0.3">
      <c r="A25" s="7" t="s">
        <v>106</v>
      </c>
      <c r="B25" s="8" t="s">
        <v>128</v>
      </c>
      <c r="C25" s="8" t="s">
        <v>118</v>
      </c>
      <c r="D25" s="8"/>
      <c r="E25" s="8"/>
      <c r="F25" s="8"/>
      <c r="G25" s="8"/>
      <c r="H25" s="8" t="s">
        <v>114</v>
      </c>
      <c r="I25" s="9" t="s">
        <v>101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37"/>
      <c r="AE25" s="37">
        <f>0</f>
        <v>0</v>
      </c>
      <c r="AF25" s="37">
        <f>0</f>
        <v>0</v>
      </c>
      <c r="AG25" s="37">
        <f>0</f>
        <v>0</v>
      </c>
      <c r="AH25" s="37">
        <f>0</f>
        <v>0</v>
      </c>
      <c r="AI25" s="37">
        <f>0</f>
        <v>0</v>
      </c>
      <c r="AJ25" s="37">
        <f>0</f>
        <v>0</v>
      </c>
      <c r="AK25" s="37">
        <f>0</f>
        <v>0</v>
      </c>
      <c r="AL25" s="37">
        <f>0</f>
        <v>0</v>
      </c>
      <c r="AM25" s="37">
        <f>0</f>
        <v>0</v>
      </c>
      <c r="AN25" s="37">
        <f>0</f>
        <v>0</v>
      </c>
      <c r="AO25" s="37">
        <f>0</f>
        <v>0</v>
      </c>
      <c r="AP25" s="37">
        <f>0</f>
        <v>0</v>
      </c>
      <c r="AQ25" s="37">
        <f>0</f>
        <v>0</v>
      </c>
      <c r="AR25" s="37">
        <f>0</f>
        <v>0</v>
      </c>
      <c r="AS25" s="37">
        <f>0</f>
        <v>0</v>
      </c>
      <c r="AT25" s="37">
        <f>0</f>
        <v>0</v>
      </c>
      <c r="AU25" s="37">
        <f>0</f>
        <v>0</v>
      </c>
      <c r="AV25" s="37">
        <f>0</f>
        <v>0</v>
      </c>
      <c r="AW25" s="37">
        <f>0</f>
        <v>0</v>
      </c>
      <c r="AX25" s="37">
        <f>0</f>
        <v>0</v>
      </c>
      <c r="AY25" s="37"/>
    </row>
    <row r="26" spans="1:51" ht="120" customHeight="1" x14ac:dyDescent="0.3">
      <c r="A26" s="7" t="s">
        <v>129</v>
      </c>
      <c r="B26" s="8" t="s">
        <v>130</v>
      </c>
      <c r="C26" s="8" t="s">
        <v>113</v>
      </c>
      <c r="D26" s="8"/>
      <c r="E26" s="8"/>
      <c r="F26" s="8"/>
      <c r="G26" s="8"/>
      <c r="H26" s="8" t="s">
        <v>114</v>
      </c>
      <c r="I26" s="9" t="s">
        <v>101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37"/>
      <c r="AE26" s="37">
        <f>0</f>
        <v>0</v>
      </c>
      <c r="AF26" s="37">
        <f>0</f>
        <v>0</v>
      </c>
      <c r="AG26" s="37">
        <f>0</f>
        <v>0</v>
      </c>
      <c r="AH26" s="37">
        <f>0</f>
        <v>0</v>
      </c>
      <c r="AI26" s="37">
        <f>0</f>
        <v>0</v>
      </c>
      <c r="AJ26" s="37">
        <f>0</f>
        <v>0</v>
      </c>
      <c r="AK26" s="37">
        <f>0</f>
        <v>0</v>
      </c>
      <c r="AL26" s="37">
        <f>0</f>
        <v>0</v>
      </c>
      <c r="AM26" s="37">
        <f>0</f>
        <v>0</v>
      </c>
      <c r="AN26" s="37">
        <f>0</f>
        <v>0</v>
      </c>
      <c r="AO26" s="37">
        <f>0</f>
        <v>0</v>
      </c>
      <c r="AP26" s="37">
        <f>0</f>
        <v>0</v>
      </c>
      <c r="AQ26" s="37">
        <f>0</f>
        <v>0</v>
      </c>
      <c r="AR26" s="37">
        <f>0</f>
        <v>0</v>
      </c>
      <c r="AS26" s="37">
        <f>0</f>
        <v>0</v>
      </c>
      <c r="AT26" s="37">
        <f>0</f>
        <v>0</v>
      </c>
      <c r="AU26" s="37">
        <f>0</f>
        <v>0</v>
      </c>
      <c r="AV26" s="37">
        <f>0</f>
        <v>0</v>
      </c>
      <c r="AW26" s="37">
        <f>0</f>
        <v>0</v>
      </c>
      <c r="AX26" s="37">
        <f>0</f>
        <v>0</v>
      </c>
      <c r="AY26" s="37"/>
    </row>
    <row r="27" spans="1:51" ht="120" customHeight="1" x14ac:dyDescent="0.3">
      <c r="A27" s="7" t="s">
        <v>129</v>
      </c>
      <c r="B27" s="8" t="s">
        <v>131</v>
      </c>
      <c r="C27" s="8" t="s">
        <v>116</v>
      </c>
      <c r="D27" s="8"/>
      <c r="E27" s="8"/>
      <c r="F27" s="8"/>
      <c r="G27" s="8"/>
      <c r="H27" s="8" t="s">
        <v>114</v>
      </c>
      <c r="I27" s="9" t="s">
        <v>101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37"/>
      <c r="AE27" s="37">
        <f>0</f>
        <v>0</v>
      </c>
      <c r="AF27" s="37">
        <f>0</f>
        <v>0</v>
      </c>
      <c r="AG27" s="37">
        <f>0</f>
        <v>0</v>
      </c>
      <c r="AH27" s="37">
        <f>0</f>
        <v>0</v>
      </c>
      <c r="AI27" s="37">
        <f>0</f>
        <v>0</v>
      </c>
      <c r="AJ27" s="37">
        <f>0</f>
        <v>0</v>
      </c>
      <c r="AK27" s="37">
        <f>0</f>
        <v>0</v>
      </c>
      <c r="AL27" s="37">
        <f>0</f>
        <v>0</v>
      </c>
      <c r="AM27" s="37">
        <f>0</f>
        <v>0</v>
      </c>
      <c r="AN27" s="37">
        <f>0</f>
        <v>0</v>
      </c>
      <c r="AO27" s="37">
        <f>0</f>
        <v>0</v>
      </c>
      <c r="AP27" s="37">
        <f>0</f>
        <v>0</v>
      </c>
      <c r="AQ27" s="37">
        <f>0</f>
        <v>0</v>
      </c>
      <c r="AR27" s="37">
        <f>0</f>
        <v>0</v>
      </c>
      <c r="AS27" s="37">
        <f>0</f>
        <v>0</v>
      </c>
      <c r="AT27" s="37">
        <f>0</f>
        <v>0</v>
      </c>
      <c r="AU27" s="37">
        <f>0</f>
        <v>0</v>
      </c>
      <c r="AV27" s="37">
        <f>0</f>
        <v>0</v>
      </c>
      <c r="AW27" s="37">
        <f>0</f>
        <v>0</v>
      </c>
      <c r="AX27" s="37">
        <f>0</f>
        <v>0</v>
      </c>
      <c r="AY27" s="37"/>
    </row>
    <row r="28" spans="1:51" ht="120" customHeight="1" x14ac:dyDescent="0.3">
      <c r="A28" s="7" t="s">
        <v>129</v>
      </c>
      <c r="B28" s="8" t="s">
        <v>132</v>
      </c>
      <c r="C28" s="8" t="s">
        <v>118</v>
      </c>
      <c r="D28" s="8"/>
      <c r="E28" s="8"/>
      <c r="F28" s="8"/>
      <c r="G28" s="8"/>
      <c r="H28" s="8" t="s">
        <v>114</v>
      </c>
      <c r="I28" s="9" t="s">
        <v>101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37"/>
      <c r="AE28" s="37">
        <f>0</f>
        <v>0</v>
      </c>
      <c r="AF28" s="37">
        <f>0</f>
        <v>0</v>
      </c>
      <c r="AG28" s="37">
        <f>0</f>
        <v>0</v>
      </c>
      <c r="AH28" s="37">
        <f>0</f>
        <v>0</v>
      </c>
      <c r="AI28" s="37">
        <f>0</f>
        <v>0</v>
      </c>
      <c r="AJ28" s="37">
        <f>0</f>
        <v>0</v>
      </c>
      <c r="AK28" s="37">
        <f>0</f>
        <v>0</v>
      </c>
      <c r="AL28" s="37">
        <f>0</f>
        <v>0</v>
      </c>
      <c r="AM28" s="37">
        <f>0</f>
        <v>0</v>
      </c>
      <c r="AN28" s="37">
        <f>0</f>
        <v>0</v>
      </c>
      <c r="AO28" s="37">
        <f>0</f>
        <v>0</v>
      </c>
      <c r="AP28" s="37">
        <f>0</f>
        <v>0</v>
      </c>
      <c r="AQ28" s="37">
        <f>0</f>
        <v>0</v>
      </c>
      <c r="AR28" s="37">
        <f>0</f>
        <v>0</v>
      </c>
      <c r="AS28" s="37">
        <f>0</f>
        <v>0</v>
      </c>
      <c r="AT28" s="37">
        <f>0</f>
        <v>0</v>
      </c>
      <c r="AU28" s="37">
        <f>0</f>
        <v>0</v>
      </c>
      <c r="AV28" s="37">
        <f>0</f>
        <v>0</v>
      </c>
      <c r="AW28" s="37">
        <f>0</f>
        <v>0</v>
      </c>
      <c r="AX28" s="37">
        <f>0</f>
        <v>0</v>
      </c>
      <c r="AY28" s="37"/>
    </row>
    <row r="29" spans="1:51" ht="120" customHeight="1" x14ac:dyDescent="0.3">
      <c r="A29" s="7" t="s">
        <v>133</v>
      </c>
      <c r="B29" s="8" t="s">
        <v>134</v>
      </c>
      <c r="C29" s="8" t="s">
        <v>113</v>
      </c>
      <c r="D29" s="8"/>
      <c r="E29" s="8"/>
      <c r="F29" s="8"/>
      <c r="G29" s="8"/>
      <c r="H29" s="8" t="s">
        <v>114</v>
      </c>
      <c r="I29" s="9" t="s">
        <v>101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37"/>
      <c r="AE29" s="37">
        <f>0</f>
        <v>0</v>
      </c>
      <c r="AF29" s="37">
        <f>0</f>
        <v>0</v>
      </c>
      <c r="AG29" s="37">
        <f>0</f>
        <v>0</v>
      </c>
      <c r="AH29" s="37">
        <f>0</f>
        <v>0</v>
      </c>
      <c r="AI29" s="37">
        <f>0</f>
        <v>0</v>
      </c>
      <c r="AJ29" s="37">
        <f>0</f>
        <v>0</v>
      </c>
      <c r="AK29" s="37">
        <f>0</f>
        <v>0</v>
      </c>
      <c r="AL29" s="37">
        <f>0</f>
        <v>0</v>
      </c>
      <c r="AM29" s="37">
        <f>0</f>
        <v>0</v>
      </c>
      <c r="AN29" s="37">
        <f>0</f>
        <v>0</v>
      </c>
      <c r="AO29" s="37">
        <f>0</f>
        <v>0</v>
      </c>
      <c r="AP29" s="37">
        <f>0</f>
        <v>0</v>
      </c>
      <c r="AQ29" s="37">
        <f>0</f>
        <v>0</v>
      </c>
      <c r="AR29" s="37">
        <f>0</f>
        <v>0</v>
      </c>
      <c r="AS29" s="37">
        <f>0</f>
        <v>0</v>
      </c>
      <c r="AT29" s="37">
        <f>0</f>
        <v>0</v>
      </c>
      <c r="AU29" s="37">
        <f>0</f>
        <v>0</v>
      </c>
      <c r="AV29" s="37">
        <f>0</f>
        <v>0</v>
      </c>
      <c r="AW29" s="37">
        <f>0</f>
        <v>0</v>
      </c>
      <c r="AX29" s="37">
        <f>0</f>
        <v>0</v>
      </c>
      <c r="AY29" s="37"/>
    </row>
    <row r="30" spans="1:51" ht="120" customHeight="1" x14ac:dyDescent="0.3">
      <c r="A30" s="7" t="s">
        <v>133</v>
      </c>
      <c r="B30" s="8" t="s">
        <v>135</v>
      </c>
      <c r="C30" s="8" t="s">
        <v>116</v>
      </c>
      <c r="D30" s="8"/>
      <c r="E30" s="8"/>
      <c r="F30" s="8"/>
      <c r="G30" s="8"/>
      <c r="H30" s="8" t="s">
        <v>114</v>
      </c>
      <c r="I30" s="9" t="s">
        <v>101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37"/>
      <c r="AE30" s="37">
        <f>0</f>
        <v>0</v>
      </c>
      <c r="AF30" s="37">
        <f>0</f>
        <v>0</v>
      </c>
      <c r="AG30" s="37">
        <f>0</f>
        <v>0</v>
      </c>
      <c r="AH30" s="37">
        <f>0</f>
        <v>0</v>
      </c>
      <c r="AI30" s="37">
        <f>0</f>
        <v>0</v>
      </c>
      <c r="AJ30" s="37">
        <f>0</f>
        <v>0</v>
      </c>
      <c r="AK30" s="37">
        <f>0</f>
        <v>0</v>
      </c>
      <c r="AL30" s="37">
        <f>0</f>
        <v>0</v>
      </c>
      <c r="AM30" s="37">
        <f>0</f>
        <v>0</v>
      </c>
      <c r="AN30" s="37">
        <f>0</f>
        <v>0</v>
      </c>
      <c r="AO30" s="37">
        <f>0</f>
        <v>0</v>
      </c>
      <c r="AP30" s="37">
        <f>0</f>
        <v>0</v>
      </c>
      <c r="AQ30" s="37">
        <f>0</f>
        <v>0</v>
      </c>
      <c r="AR30" s="37">
        <f>0</f>
        <v>0</v>
      </c>
      <c r="AS30" s="37">
        <f>0</f>
        <v>0</v>
      </c>
      <c r="AT30" s="37">
        <f>0</f>
        <v>0</v>
      </c>
      <c r="AU30" s="37">
        <f>0</f>
        <v>0</v>
      </c>
      <c r="AV30" s="37">
        <f>0</f>
        <v>0</v>
      </c>
      <c r="AW30" s="37">
        <f>0</f>
        <v>0</v>
      </c>
      <c r="AX30" s="37">
        <f>0</f>
        <v>0</v>
      </c>
      <c r="AY30" s="37"/>
    </row>
    <row r="31" spans="1:51" ht="120" customHeight="1" x14ac:dyDescent="0.3">
      <c r="A31" s="7" t="s">
        <v>133</v>
      </c>
      <c r="B31" s="8" t="s">
        <v>136</v>
      </c>
      <c r="C31" s="8" t="s">
        <v>118</v>
      </c>
      <c r="D31" s="8"/>
      <c r="E31" s="8"/>
      <c r="F31" s="8"/>
      <c r="G31" s="8"/>
      <c r="H31" s="8" t="s">
        <v>114</v>
      </c>
      <c r="I31" s="9" t="s">
        <v>101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37"/>
      <c r="AE31" s="37">
        <f>0</f>
        <v>0</v>
      </c>
      <c r="AF31" s="37">
        <f>0</f>
        <v>0</v>
      </c>
      <c r="AG31" s="37">
        <f>0</f>
        <v>0</v>
      </c>
      <c r="AH31" s="37">
        <f>0</f>
        <v>0</v>
      </c>
      <c r="AI31" s="37">
        <f>0</f>
        <v>0</v>
      </c>
      <c r="AJ31" s="37">
        <f>0</f>
        <v>0</v>
      </c>
      <c r="AK31" s="37">
        <f>0</f>
        <v>0</v>
      </c>
      <c r="AL31" s="37">
        <f>0</f>
        <v>0</v>
      </c>
      <c r="AM31" s="37">
        <f>0</f>
        <v>0</v>
      </c>
      <c r="AN31" s="37">
        <f>0</f>
        <v>0</v>
      </c>
      <c r="AO31" s="37">
        <f>0</f>
        <v>0</v>
      </c>
      <c r="AP31" s="37">
        <f>0</f>
        <v>0</v>
      </c>
      <c r="AQ31" s="37">
        <f>0</f>
        <v>0</v>
      </c>
      <c r="AR31" s="37">
        <f>0</f>
        <v>0</v>
      </c>
      <c r="AS31" s="37">
        <f>0</f>
        <v>0</v>
      </c>
      <c r="AT31" s="37">
        <f>0</f>
        <v>0</v>
      </c>
      <c r="AU31" s="37">
        <f>0</f>
        <v>0</v>
      </c>
      <c r="AV31" s="37">
        <f>0</f>
        <v>0</v>
      </c>
      <c r="AW31" s="37">
        <f>0</f>
        <v>0</v>
      </c>
      <c r="AX31" s="37">
        <f>0</f>
        <v>0</v>
      </c>
      <c r="AY31" s="37"/>
    </row>
    <row r="32" spans="1:51" ht="120" customHeight="1" x14ac:dyDescent="0.3">
      <c r="A32" s="7" t="s">
        <v>108</v>
      </c>
      <c r="B32" s="8" t="s">
        <v>137</v>
      </c>
      <c r="C32" s="8" t="s">
        <v>113</v>
      </c>
      <c r="D32" s="8"/>
      <c r="E32" s="8"/>
      <c r="F32" s="8"/>
      <c r="G32" s="8"/>
      <c r="H32" s="8" t="s">
        <v>114</v>
      </c>
      <c r="I32" s="9" t="s">
        <v>101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37"/>
      <c r="AE32" s="37">
        <f>0</f>
        <v>0</v>
      </c>
      <c r="AF32" s="37">
        <f>0</f>
        <v>0</v>
      </c>
      <c r="AG32" s="37">
        <f>0</f>
        <v>0</v>
      </c>
      <c r="AH32" s="37">
        <f>0</f>
        <v>0</v>
      </c>
      <c r="AI32" s="37">
        <f>0</f>
        <v>0</v>
      </c>
      <c r="AJ32" s="37">
        <f>0</f>
        <v>0</v>
      </c>
      <c r="AK32" s="37">
        <f>0</f>
        <v>0</v>
      </c>
      <c r="AL32" s="37">
        <f>0</f>
        <v>0</v>
      </c>
      <c r="AM32" s="37">
        <f>0</f>
        <v>0</v>
      </c>
      <c r="AN32" s="37">
        <f>0</f>
        <v>0</v>
      </c>
      <c r="AO32" s="37">
        <f>0</f>
        <v>0</v>
      </c>
      <c r="AP32" s="37">
        <f>0</f>
        <v>0</v>
      </c>
      <c r="AQ32" s="37">
        <f>0</f>
        <v>0</v>
      </c>
      <c r="AR32" s="37">
        <f>0</f>
        <v>0</v>
      </c>
      <c r="AS32" s="37">
        <f>0</f>
        <v>0</v>
      </c>
      <c r="AT32" s="37">
        <f>0</f>
        <v>0</v>
      </c>
      <c r="AU32" s="37">
        <f>0</f>
        <v>0</v>
      </c>
      <c r="AV32" s="37">
        <f>0</f>
        <v>0</v>
      </c>
      <c r="AW32" s="37">
        <f>0</f>
        <v>0</v>
      </c>
      <c r="AX32" s="37">
        <f>0</f>
        <v>0</v>
      </c>
      <c r="AY32" s="37"/>
    </row>
    <row r="33" spans="1:51" ht="120" customHeight="1" x14ac:dyDescent="0.3">
      <c r="A33" s="7" t="s">
        <v>108</v>
      </c>
      <c r="B33" s="8" t="s">
        <v>138</v>
      </c>
      <c r="C33" s="8" t="s">
        <v>116</v>
      </c>
      <c r="D33" s="8"/>
      <c r="E33" s="8"/>
      <c r="F33" s="8"/>
      <c r="G33" s="8"/>
      <c r="H33" s="8" t="s">
        <v>114</v>
      </c>
      <c r="I33" s="9" t="s">
        <v>101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37"/>
      <c r="AE33" s="37">
        <f>0</f>
        <v>0</v>
      </c>
      <c r="AF33" s="37">
        <f>0</f>
        <v>0</v>
      </c>
      <c r="AG33" s="37">
        <f>0</f>
        <v>0</v>
      </c>
      <c r="AH33" s="37">
        <f>0</f>
        <v>0</v>
      </c>
      <c r="AI33" s="37">
        <f>0</f>
        <v>0</v>
      </c>
      <c r="AJ33" s="37">
        <f>0</f>
        <v>0</v>
      </c>
      <c r="AK33" s="37">
        <f>0</f>
        <v>0</v>
      </c>
      <c r="AL33" s="37">
        <f>0</f>
        <v>0</v>
      </c>
      <c r="AM33" s="37">
        <f>0</f>
        <v>0</v>
      </c>
      <c r="AN33" s="37">
        <f>0</f>
        <v>0</v>
      </c>
      <c r="AO33" s="37">
        <f>0</f>
        <v>0</v>
      </c>
      <c r="AP33" s="37">
        <f>0</f>
        <v>0</v>
      </c>
      <c r="AQ33" s="37">
        <f>0</f>
        <v>0</v>
      </c>
      <c r="AR33" s="37">
        <f>0</f>
        <v>0</v>
      </c>
      <c r="AS33" s="37">
        <f>0</f>
        <v>0</v>
      </c>
      <c r="AT33" s="37">
        <f>0</f>
        <v>0</v>
      </c>
      <c r="AU33" s="37">
        <f>0</f>
        <v>0</v>
      </c>
      <c r="AV33" s="37">
        <f>0</f>
        <v>0</v>
      </c>
      <c r="AW33" s="37">
        <f>0</f>
        <v>0</v>
      </c>
      <c r="AX33" s="37">
        <f>0</f>
        <v>0</v>
      </c>
      <c r="AY33" s="37"/>
    </row>
    <row r="34" spans="1:51" ht="120" customHeight="1" x14ac:dyDescent="0.3">
      <c r="A34" s="7" t="s">
        <v>108</v>
      </c>
      <c r="B34" s="8" t="s">
        <v>139</v>
      </c>
      <c r="C34" s="8" t="s">
        <v>118</v>
      </c>
      <c r="D34" s="8"/>
      <c r="E34" s="8"/>
      <c r="F34" s="8"/>
      <c r="G34" s="8"/>
      <c r="H34" s="8" t="s">
        <v>114</v>
      </c>
      <c r="I34" s="9" t="s">
        <v>101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37"/>
      <c r="AE34" s="37">
        <f>0</f>
        <v>0</v>
      </c>
      <c r="AF34" s="37">
        <f>0</f>
        <v>0</v>
      </c>
      <c r="AG34" s="37">
        <f>0</f>
        <v>0</v>
      </c>
      <c r="AH34" s="37">
        <f>0</f>
        <v>0</v>
      </c>
      <c r="AI34" s="37">
        <f>0</f>
        <v>0</v>
      </c>
      <c r="AJ34" s="37">
        <f>0</f>
        <v>0</v>
      </c>
      <c r="AK34" s="37">
        <f>0</f>
        <v>0</v>
      </c>
      <c r="AL34" s="37">
        <f>0</f>
        <v>0</v>
      </c>
      <c r="AM34" s="37">
        <f>0</f>
        <v>0</v>
      </c>
      <c r="AN34" s="37">
        <f>0</f>
        <v>0</v>
      </c>
      <c r="AO34" s="37">
        <f>0</f>
        <v>0</v>
      </c>
      <c r="AP34" s="37">
        <f>0</f>
        <v>0</v>
      </c>
      <c r="AQ34" s="37">
        <f>0</f>
        <v>0</v>
      </c>
      <c r="AR34" s="37">
        <f>0</f>
        <v>0</v>
      </c>
      <c r="AS34" s="37">
        <f>0</f>
        <v>0</v>
      </c>
      <c r="AT34" s="37">
        <f>0</f>
        <v>0</v>
      </c>
      <c r="AU34" s="37">
        <f>0</f>
        <v>0</v>
      </c>
      <c r="AV34" s="37">
        <f>0</f>
        <v>0</v>
      </c>
      <c r="AW34" s="37">
        <f>0</f>
        <v>0</v>
      </c>
      <c r="AX34" s="37">
        <f>0</f>
        <v>0</v>
      </c>
      <c r="AY34" s="37"/>
    </row>
    <row r="35" spans="1:51" ht="120" customHeight="1" x14ac:dyDescent="0.3">
      <c r="A35" s="7" t="s">
        <v>110</v>
      </c>
      <c r="B35" s="8" t="s">
        <v>140</v>
      </c>
      <c r="C35" s="8" t="s">
        <v>113</v>
      </c>
      <c r="D35" s="8"/>
      <c r="E35" s="8"/>
      <c r="F35" s="8"/>
      <c r="G35" s="8"/>
      <c r="H35" s="8" t="s">
        <v>114</v>
      </c>
      <c r="I35" s="9" t="s">
        <v>101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37"/>
      <c r="AE35" s="37">
        <f>0</f>
        <v>0</v>
      </c>
      <c r="AF35" s="37">
        <f>0</f>
        <v>0</v>
      </c>
      <c r="AG35" s="37">
        <f>0</f>
        <v>0</v>
      </c>
      <c r="AH35" s="37">
        <f>0</f>
        <v>0</v>
      </c>
      <c r="AI35" s="37">
        <f>0</f>
        <v>0</v>
      </c>
      <c r="AJ35" s="37">
        <f>0</f>
        <v>0</v>
      </c>
      <c r="AK35" s="37">
        <f>0</f>
        <v>0</v>
      </c>
      <c r="AL35" s="37">
        <f>0</f>
        <v>0</v>
      </c>
      <c r="AM35" s="37">
        <f>0</f>
        <v>0</v>
      </c>
      <c r="AN35" s="37">
        <f>0</f>
        <v>0</v>
      </c>
      <c r="AO35" s="37">
        <f>0</f>
        <v>0</v>
      </c>
      <c r="AP35" s="37">
        <f>0</f>
        <v>0</v>
      </c>
      <c r="AQ35" s="37">
        <f>0</f>
        <v>0</v>
      </c>
      <c r="AR35" s="37">
        <f>0</f>
        <v>0</v>
      </c>
      <c r="AS35" s="37">
        <f>0</f>
        <v>0</v>
      </c>
      <c r="AT35" s="37">
        <f>0</f>
        <v>0</v>
      </c>
      <c r="AU35" s="37">
        <f>0</f>
        <v>0</v>
      </c>
      <c r="AV35" s="37">
        <f>0</f>
        <v>0</v>
      </c>
      <c r="AW35" s="37">
        <f>0</f>
        <v>0</v>
      </c>
      <c r="AX35" s="37">
        <f>0</f>
        <v>0</v>
      </c>
      <c r="AY35" s="37"/>
    </row>
    <row r="36" spans="1:51" ht="120" customHeight="1" x14ac:dyDescent="0.3">
      <c r="A36" s="7" t="s">
        <v>110</v>
      </c>
      <c r="B36" s="8" t="s">
        <v>141</v>
      </c>
      <c r="C36" s="8" t="s">
        <v>116</v>
      </c>
      <c r="D36" s="8"/>
      <c r="E36" s="8"/>
      <c r="F36" s="8"/>
      <c r="G36" s="8"/>
      <c r="H36" s="8" t="s">
        <v>114</v>
      </c>
      <c r="I36" s="9" t="s">
        <v>101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37"/>
      <c r="AE36" s="37">
        <f>0</f>
        <v>0</v>
      </c>
      <c r="AF36" s="37">
        <f>0</f>
        <v>0</v>
      </c>
      <c r="AG36" s="37">
        <f>0</f>
        <v>0</v>
      </c>
      <c r="AH36" s="37">
        <f>0</f>
        <v>0</v>
      </c>
      <c r="AI36" s="37">
        <f>0</f>
        <v>0</v>
      </c>
      <c r="AJ36" s="37">
        <f>0</f>
        <v>0</v>
      </c>
      <c r="AK36" s="37">
        <f>0</f>
        <v>0</v>
      </c>
      <c r="AL36" s="37">
        <f>0</f>
        <v>0</v>
      </c>
      <c r="AM36" s="37">
        <f>0</f>
        <v>0</v>
      </c>
      <c r="AN36" s="37">
        <f>0</f>
        <v>0</v>
      </c>
      <c r="AO36" s="37">
        <f>0</f>
        <v>0</v>
      </c>
      <c r="AP36" s="37">
        <f>0</f>
        <v>0</v>
      </c>
      <c r="AQ36" s="37">
        <f>0</f>
        <v>0</v>
      </c>
      <c r="AR36" s="37">
        <f>0</f>
        <v>0</v>
      </c>
      <c r="AS36" s="37">
        <f>0</f>
        <v>0</v>
      </c>
      <c r="AT36" s="37">
        <f>0</f>
        <v>0</v>
      </c>
      <c r="AU36" s="37">
        <f>0</f>
        <v>0</v>
      </c>
      <c r="AV36" s="37">
        <f>0</f>
        <v>0</v>
      </c>
      <c r="AW36" s="37">
        <f>0</f>
        <v>0</v>
      </c>
      <c r="AX36" s="37">
        <f>0</f>
        <v>0</v>
      </c>
      <c r="AY36" s="37"/>
    </row>
    <row r="37" spans="1:51" ht="120" customHeight="1" x14ac:dyDescent="0.3">
      <c r="A37" s="7" t="s">
        <v>110</v>
      </c>
      <c r="B37" s="8" t="s">
        <v>142</v>
      </c>
      <c r="C37" s="8" t="s">
        <v>118</v>
      </c>
      <c r="D37" s="8"/>
      <c r="E37" s="8"/>
      <c r="F37" s="8"/>
      <c r="G37" s="8"/>
      <c r="H37" s="8" t="s">
        <v>114</v>
      </c>
      <c r="I37" s="9" t="s">
        <v>101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37"/>
      <c r="AE37" s="37">
        <f>0</f>
        <v>0</v>
      </c>
      <c r="AF37" s="37">
        <f>0</f>
        <v>0</v>
      </c>
      <c r="AG37" s="37">
        <f>0</f>
        <v>0</v>
      </c>
      <c r="AH37" s="37">
        <f>0</f>
        <v>0</v>
      </c>
      <c r="AI37" s="37">
        <f>0</f>
        <v>0</v>
      </c>
      <c r="AJ37" s="37">
        <f>0</f>
        <v>0</v>
      </c>
      <c r="AK37" s="37">
        <f>0</f>
        <v>0</v>
      </c>
      <c r="AL37" s="37">
        <f>0</f>
        <v>0</v>
      </c>
      <c r="AM37" s="37">
        <f>0</f>
        <v>0</v>
      </c>
      <c r="AN37" s="37">
        <f>0</f>
        <v>0</v>
      </c>
      <c r="AO37" s="37">
        <f>0</f>
        <v>0</v>
      </c>
      <c r="AP37" s="37">
        <f>0</f>
        <v>0</v>
      </c>
      <c r="AQ37" s="37">
        <f>0</f>
        <v>0</v>
      </c>
      <c r="AR37" s="37">
        <f>0</f>
        <v>0</v>
      </c>
      <c r="AS37" s="37">
        <f>0</f>
        <v>0</v>
      </c>
      <c r="AT37" s="37">
        <f>0</f>
        <v>0</v>
      </c>
      <c r="AU37" s="37">
        <f>0</f>
        <v>0</v>
      </c>
      <c r="AV37" s="37">
        <f>0</f>
        <v>0</v>
      </c>
      <c r="AW37" s="37">
        <f>0</f>
        <v>0</v>
      </c>
      <c r="AX37" s="37">
        <f>0</f>
        <v>0</v>
      </c>
      <c r="AY37" s="37"/>
    </row>
    <row r="38" spans="1:51" ht="120" customHeight="1" x14ac:dyDescent="0.3">
      <c r="A38" s="38" t="s">
        <v>119</v>
      </c>
      <c r="B38" s="38" t="s">
        <v>143</v>
      </c>
      <c r="C38" s="38" t="s">
        <v>82</v>
      </c>
      <c r="D38" s="38" t="s">
        <v>83</v>
      </c>
      <c r="E38" s="38" t="s">
        <v>84</v>
      </c>
      <c r="F38" s="38" t="s">
        <v>85</v>
      </c>
      <c r="G38" s="38" t="s">
        <v>86</v>
      </c>
      <c r="H38" s="38" t="s">
        <v>87</v>
      </c>
      <c r="I38" s="38" t="s">
        <v>88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37"/>
      <c r="AE38" s="37">
        <f>0</f>
        <v>0</v>
      </c>
      <c r="AF38" s="37">
        <f>0</f>
        <v>0</v>
      </c>
      <c r="AG38" s="37">
        <f>0</f>
        <v>0</v>
      </c>
      <c r="AH38" s="37">
        <f>0</f>
        <v>0</v>
      </c>
      <c r="AI38" s="37">
        <f>0</f>
        <v>0</v>
      </c>
      <c r="AJ38" s="37">
        <f>0</f>
        <v>0</v>
      </c>
      <c r="AK38" s="37">
        <f>0</f>
        <v>0</v>
      </c>
      <c r="AL38" s="37">
        <f>0</f>
        <v>0</v>
      </c>
      <c r="AM38" s="37">
        <f>0</f>
        <v>0</v>
      </c>
      <c r="AN38" s="37">
        <f>0</f>
        <v>0</v>
      </c>
      <c r="AO38" s="37">
        <f>0</f>
        <v>0</v>
      </c>
      <c r="AP38" s="37">
        <f>0</f>
        <v>0</v>
      </c>
      <c r="AQ38" s="37">
        <f>0</f>
        <v>0</v>
      </c>
      <c r="AR38" s="37">
        <f>0</f>
        <v>0</v>
      </c>
      <c r="AS38" s="37">
        <f>0</f>
        <v>0</v>
      </c>
      <c r="AT38" s="37">
        <f>0</f>
        <v>0</v>
      </c>
      <c r="AU38" s="37">
        <f>0</f>
        <v>0</v>
      </c>
      <c r="AV38" s="37">
        <f>0</f>
        <v>0</v>
      </c>
      <c r="AW38" s="37">
        <f>0</f>
        <v>0</v>
      </c>
      <c r="AX38" s="37">
        <f>0</f>
        <v>0</v>
      </c>
      <c r="AY38" s="37"/>
    </row>
    <row r="39" spans="1:51" ht="120" customHeight="1" x14ac:dyDescent="0.3">
      <c r="A39" s="41" t="s">
        <v>133</v>
      </c>
      <c r="B39" s="38" t="s">
        <v>144</v>
      </c>
      <c r="C39" s="38" t="s">
        <v>82</v>
      </c>
      <c r="D39" s="38" t="s">
        <v>83</v>
      </c>
      <c r="E39" s="38" t="s">
        <v>84</v>
      </c>
      <c r="F39" s="38" t="s">
        <v>85</v>
      </c>
      <c r="G39" s="38" t="s">
        <v>86</v>
      </c>
      <c r="H39" s="38" t="s">
        <v>87</v>
      </c>
      <c r="I39" s="38" t="s">
        <v>88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37"/>
      <c r="AE39" s="37">
        <f>0</f>
        <v>0</v>
      </c>
      <c r="AF39" s="37">
        <f>0</f>
        <v>0</v>
      </c>
      <c r="AG39" s="37">
        <f>0</f>
        <v>0</v>
      </c>
      <c r="AH39" s="37">
        <f>0</f>
        <v>0</v>
      </c>
      <c r="AI39" s="37">
        <f>0</f>
        <v>0</v>
      </c>
      <c r="AJ39" s="37">
        <f>0</f>
        <v>0</v>
      </c>
      <c r="AK39" s="37">
        <f>0</f>
        <v>0</v>
      </c>
      <c r="AL39" s="37">
        <f>0</f>
        <v>0</v>
      </c>
      <c r="AM39" s="37">
        <f>0</f>
        <v>0</v>
      </c>
      <c r="AN39" s="37">
        <f>0</f>
        <v>0</v>
      </c>
      <c r="AO39" s="37">
        <f>0</f>
        <v>0</v>
      </c>
      <c r="AP39" s="37">
        <f>0</f>
        <v>0</v>
      </c>
      <c r="AQ39" s="37">
        <f>0</f>
        <v>0</v>
      </c>
      <c r="AR39" s="37">
        <f>0</f>
        <v>0</v>
      </c>
      <c r="AS39" s="37">
        <f>0</f>
        <v>0</v>
      </c>
      <c r="AT39" s="37">
        <f>0</f>
        <v>0</v>
      </c>
      <c r="AU39" s="37">
        <f>0</f>
        <v>0</v>
      </c>
      <c r="AV39" s="37">
        <f>0</f>
        <v>0</v>
      </c>
      <c r="AW39" s="37">
        <f>0</f>
        <v>0</v>
      </c>
      <c r="AX39" s="37">
        <f>0</f>
        <v>0</v>
      </c>
      <c r="AY39" s="37"/>
    </row>
    <row r="40" spans="1:51" ht="120" customHeight="1" x14ac:dyDescent="0.3">
      <c r="A40" s="38" t="s">
        <v>119</v>
      </c>
      <c r="B40" s="38" t="s">
        <v>145</v>
      </c>
      <c r="C40" s="38" t="s">
        <v>146</v>
      </c>
      <c r="D40" s="38" t="s">
        <v>147</v>
      </c>
      <c r="E40" s="38" t="s">
        <v>148</v>
      </c>
      <c r="F40" s="38" t="s">
        <v>149</v>
      </c>
      <c r="G40" s="38" t="s">
        <v>150</v>
      </c>
      <c r="H40" s="38" t="s">
        <v>151</v>
      </c>
      <c r="I40" s="38" t="s">
        <v>152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37"/>
      <c r="AE40" s="37">
        <f>0</f>
        <v>0</v>
      </c>
      <c r="AF40" s="37">
        <f>0</f>
        <v>0</v>
      </c>
      <c r="AG40" s="37">
        <f>0</f>
        <v>0</v>
      </c>
      <c r="AH40" s="37">
        <f>0</f>
        <v>0</v>
      </c>
      <c r="AI40" s="37">
        <f>0</f>
        <v>0</v>
      </c>
      <c r="AJ40" s="37">
        <f>0</f>
        <v>0</v>
      </c>
      <c r="AK40" s="37">
        <f>0</f>
        <v>0</v>
      </c>
      <c r="AL40" s="37">
        <f>0</f>
        <v>0</v>
      </c>
      <c r="AM40" s="37">
        <f>0</f>
        <v>0</v>
      </c>
      <c r="AN40" s="37">
        <f>0</f>
        <v>0</v>
      </c>
      <c r="AO40" s="37">
        <f>0</f>
        <v>0</v>
      </c>
      <c r="AP40" s="37">
        <f>0</f>
        <v>0</v>
      </c>
      <c r="AQ40" s="37">
        <f>0</f>
        <v>0</v>
      </c>
      <c r="AR40" s="37">
        <f>0</f>
        <v>0</v>
      </c>
      <c r="AS40" s="37">
        <f>0</f>
        <v>0</v>
      </c>
      <c r="AT40" s="37">
        <f>0</f>
        <v>0</v>
      </c>
      <c r="AU40" s="37">
        <f>0</f>
        <v>0</v>
      </c>
      <c r="AV40" s="37">
        <f>0</f>
        <v>0</v>
      </c>
      <c r="AW40" s="37">
        <f>0</f>
        <v>0</v>
      </c>
      <c r="AX40" s="37">
        <f>0</f>
        <v>0</v>
      </c>
      <c r="AY40" s="37"/>
    </row>
    <row r="41" spans="1:51" ht="120" customHeight="1" x14ac:dyDescent="0.3">
      <c r="A41" s="38" t="s">
        <v>106</v>
      </c>
      <c r="B41" s="38" t="s">
        <v>153</v>
      </c>
      <c r="C41" s="38" t="s">
        <v>146</v>
      </c>
      <c r="D41" s="38" t="s">
        <v>147</v>
      </c>
      <c r="E41" s="38" t="s">
        <v>148</v>
      </c>
      <c r="F41" s="38" t="s">
        <v>149</v>
      </c>
      <c r="G41" s="38" t="s">
        <v>150</v>
      </c>
      <c r="H41" s="38" t="s">
        <v>151</v>
      </c>
      <c r="I41" s="38" t="s">
        <v>152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37"/>
      <c r="AE41" s="37">
        <f>0</f>
        <v>0</v>
      </c>
      <c r="AF41" s="37">
        <f>0</f>
        <v>0</v>
      </c>
      <c r="AG41" s="37">
        <f>0</f>
        <v>0</v>
      </c>
      <c r="AH41" s="37">
        <f>0</f>
        <v>0</v>
      </c>
      <c r="AI41" s="37">
        <f>0</f>
        <v>0</v>
      </c>
      <c r="AJ41" s="37">
        <f>0</f>
        <v>0</v>
      </c>
      <c r="AK41" s="37">
        <f>0</f>
        <v>0</v>
      </c>
      <c r="AL41" s="37">
        <f>0</f>
        <v>0</v>
      </c>
      <c r="AM41" s="37">
        <f>0</f>
        <v>0</v>
      </c>
      <c r="AN41" s="37">
        <f>0</f>
        <v>0</v>
      </c>
      <c r="AO41" s="37">
        <f>0</f>
        <v>0</v>
      </c>
      <c r="AP41" s="37">
        <f>0</f>
        <v>0</v>
      </c>
      <c r="AQ41" s="37">
        <f>0</f>
        <v>0</v>
      </c>
      <c r="AR41" s="37">
        <f>0</f>
        <v>0</v>
      </c>
      <c r="AS41" s="37">
        <f>0</f>
        <v>0</v>
      </c>
      <c r="AT41" s="37">
        <f>0</f>
        <v>0</v>
      </c>
      <c r="AU41" s="37">
        <f>0</f>
        <v>0</v>
      </c>
      <c r="AV41" s="37">
        <f>0</f>
        <v>0</v>
      </c>
      <c r="AW41" s="37">
        <f>0</f>
        <v>0</v>
      </c>
      <c r="AX41" s="37">
        <f>0</f>
        <v>0</v>
      </c>
      <c r="AY41" s="37"/>
    </row>
    <row r="42" spans="1:51" ht="120" customHeight="1" x14ac:dyDescent="0.3">
      <c r="A42" s="38" t="s">
        <v>129</v>
      </c>
      <c r="B42" s="38" t="s">
        <v>154</v>
      </c>
      <c r="C42" s="38" t="s">
        <v>146</v>
      </c>
      <c r="D42" s="38" t="s">
        <v>147</v>
      </c>
      <c r="E42" s="38" t="s">
        <v>148</v>
      </c>
      <c r="F42" s="38" t="s">
        <v>149</v>
      </c>
      <c r="G42" s="38" t="s">
        <v>150</v>
      </c>
      <c r="H42" s="38" t="s">
        <v>151</v>
      </c>
      <c r="I42" s="38" t="s">
        <v>152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37"/>
      <c r="AE42" s="37">
        <f>0</f>
        <v>0</v>
      </c>
      <c r="AF42" s="37">
        <f>0</f>
        <v>0</v>
      </c>
      <c r="AG42" s="37">
        <f>0</f>
        <v>0</v>
      </c>
      <c r="AH42" s="37">
        <f>0</f>
        <v>0</v>
      </c>
      <c r="AI42" s="37">
        <f>0</f>
        <v>0</v>
      </c>
      <c r="AJ42" s="37">
        <f>0</f>
        <v>0</v>
      </c>
      <c r="AK42" s="37">
        <f>0</f>
        <v>0</v>
      </c>
      <c r="AL42" s="37">
        <f>0</f>
        <v>0</v>
      </c>
      <c r="AM42" s="37">
        <f>0</f>
        <v>0</v>
      </c>
      <c r="AN42" s="37">
        <f>0</f>
        <v>0</v>
      </c>
      <c r="AO42" s="37">
        <f>0</f>
        <v>0</v>
      </c>
      <c r="AP42" s="37">
        <f>0</f>
        <v>0</v>
      </c>
      <c r="AQ42" s="37">
        <f>0</f>
        <v>0</v>
      </c>
      <c r="AR42" s="37">
        <f>0</f>
        <v>0</v>
      </c>
      <c r="AS42" s="37">
        <f>0</f>
        <v>0</v>
      </c>
      <c r="AT42" s="37">
        <f>0</f>
        <v>0</v>
      </c>
      <c r="AU42" s="37">
        <f>0</f>
        <v>0</v>
      </c>
      <c r="AV42" s="37">
        <f>0</f>
        <v>0</v>
      </c>
      <c r="AW42" s="37">
        <f>0</f>
        <v>0</v>
      </c>
      <c r="AX42" s="37">
        <f>0</f>
        <v>0</v>
      </c>
      <c r="AY42" s="37"/>
    </row>
    <row r="43" spans="1:51" ht="120" customHeight="1" x14ac:dyDescent="0.3">
      <c r="A43" s="38" t="s">
        <v>129</v>
      </c>
      <c r="B43" s="38" t="s">
        <v>155</v>
      </c>
      <c r="C43" s="38" t="s">
        <v>82</v>
      </c>
      <c r="D43" s="38" t="s">
        <v>83</v>
      </c>
      <c r="E43" s="38" t="s">
        <v>84</v>
      </c>
      <c r="F43" s="38" t="s">
        <v>85</v>
      </c>
      <c r="G43" s="38" t="s">
        <v>86</v>
      </c>
      <c r="H43" s="38" t="s">
        <v>87</v>
      </c>
      <c r="I43" s="38" t="s">
        <v>88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37"/>
      <c r="AE43" s="37">
        <f>0</f>
        <v>0</v>
      </c>
      <c r="AF43" s="37">
        <f>0</f>
        <v>0</v>
      </c>
      <c r="AG43" s="37">
        <f>0</f>
        <v>0</v>
      </c>
      <c r="AH43" s="37">
        <f>0</f>
        <v>0</v>
      </c>
      <c r="AI43" s="37">
        <f>0</f>
        <v>0</v>
      </c>
      <c r="AJ43" s="37">
        <f>0</f>
        <v>0</v>
      </c>
      <c r="AK43" s="37">
        <f>0</f>
        <v>0</v>
      </c>
      <c r="AL43" s="37">
        <f>0</f>
        <v>0</v>
      </c>
      <c r="AM43" s="37">
        <f>0</f>
        <v>0</v>
      </c>
      <c r="AN43" s="37">
        <f>0</f>
        <v>0</v>
      </c>
      <c r="AO43" s="37">
        <f>0</f>
        <v>0</v>
      </c>
      <c r="AP43" s="37">
        <f>0</f>
        <v>0</v>
      </c>
      <c r="AQ43" s="37">
        <f>0</f>
        <v>0</v>
      </c>
      <c r="AR43" s="37">
        <f>0</f>
        <v>0</v>
      </c>
      <c r="AS43" s="37">
        <f>0</f>
        <v>0</v>
      </c>
      <c r="AT43" s="37">
        <f>0</f>
        <v>0</v>
      </c>
      <c r="AU43" s="37">
        <f>0</f>
        <v>0</v>
      </c>
      <c r="AV43" s="37">
        <f>0</f>
        <v>0</v>
      </c>
      <c r="AW43" s="37">
        <f>0</f>
        <v>0</v>
      </c>
      <c r="AX43" s="37">
        <f>0</f>
        <v>0</v>
      </c>
      <c r="AY43" s="37"/>
    </row>
    <row r="44" spans="1:51" ht="120" customHeight="1" x14ac:dyDescent="0.3">
      <c r="A44" s="38" t="s">
        <v>80</v>
      </c>
      <c r="B44" s="38" t="s">
        <v>156</v>
      </c>
      <c r="C44" s="38" t="s">
        <v>82</v>
      </c>
      <c r="D44" s="38" t="s">
        <v>83</v>
      </c>
      <c r="E44" s="38" t="s">
        <v>84</v>
      </c>
      <c r="F44" s="38" t="s">
        <v>85</v>
      </c>
      <c r="G44" s="38" t="s">
        <v>86</v>
      </c>
      <c r="H44" s="38" t="s">
        <v>87</v>
      </c>
      <c r="I44" s="38" t="s">
        <v>88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37"/>
      <c r="AE44" s="37">
        <f>0</f>
        <v>0</v>
      </c>
      <c r="AF44" s="37">
        <f>0</f>
        <v>0</v>
      </c>
      <c r="AG44" s="37">
        <f>0</f>
        <v>0</v>
      </c>
      <c r="AH44" s="37">
        <f>0</f>
        <v>0</v>
      </c>
      <c r="AI44" s="37">
        <f>0</f>
        <v>0</v>
      </c>
      <c r="AJ44" s="37">
        <f>0</f>
        <v>0</v>
      </c>
      <c r="AK44" s="37">
        <f>0</f>
        <v>0</v>
      </c>
      <c r="AL44" s="37">
        <f>0</f>
        <v>0</v>
      </c>
      <c r="AM44" s="37">
        <f>0</f>
        <v>0</v>
      </c>
      <c r="AN44" s="37">
        <f>0</f>
        <v>0</v>
      </c>
      <c r="AO44" s="37">
        <f>0</f>
        <v>0</v>
      </c>
      <c r="AP44" s="37">
        <f>0</f>
        <v>0</v>
      </c>
      <c r="AQ44" s="37">
        <f>0</f>
        <v>0</v>
      </c>
      <c r="AR44" s="37">
        <f>0</f>
        <v>0</v>
      </c>
      <c r="AS44" s="37">
        <f>0</f>
        <v>0</v>
      </c>
      <c r="AT44" s="37">
        <f>0</f>
        <v>0</v>
      </c>
      <c r="AU44" s="37">
        <f>0</f>
        <v>0</v>
      </c>
      <c r="AV44" s="37">
        <f>0</f>
        <v>0</v>
      </c>
      <c r="AW44" s="37">
        <f>0</f>
        <v>0</v>
      </c>
      <c r="AX44" s="37">
        <f>0</f>
        <v>0</v>
      </c>
      <c r="AY44" s="37"/>
    </row>
    <row r="45" spans="1:51" ht="120" customHeight="1" x14ac:dyDescent="0.3">
      <c r="A45" s="38" t="s">
        <v>106</v>
      </c>
      <c r="B45" s="38" t="s">
        <v>157</v>
      </c>
      <c r="C45" s="38" t="s">
        <v>82</v>
      </c>
      <c r="D45" s="38" t="s">
        <v>83</v>
      </c>
      <c r="E45" s="38" t="s">
        <v>84</v>
      </c>
      <c r="F45" s="38" t="s">
        <v>85</v>
      </c>
      <c r="G45" s="38" t="s">
        <v>86</v>
      </c>
      <c r="H45" s="38" t="s">
        <v>87</v>
      </c>
      <c r="I45" s="38" t="s">
        <v>88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37"/>
      <c r="AE45" s="37">
        <f>0</f>
        <v>0</v>
      </c>
      <c r="AF45" s="37">
        <f>0</f>
        <v>0</v>
      </c>
      <c r="AG45" s="37">
        <f>0</f>
        <v>0</v>
      </c>
      <c r="AH45" s="37">
        <f>0</f>
        <v>0</v>
      </c>
      <c r="AI45" s="37">
        <f>0</f>
        <v>0</v>
      </c>
      <c r="AJ45" s="37">
        <f>0</f>
        <v>0</v>
      </c>
      <c r="AK45" s="37">
        <f>0</f>
        <v>0</v>
      </c>
      <c r="AL45" s="37">
        <f>0</f>
        <v>0</v>
      </c>
      <c r="AM45" s="37">
        <f>0</f>
        <v>0</v>
      </c>
      <c r="AN45" s="37">
        <f>0</f>
        <v>0</v>
      </c>
      <c r="AO45" s="37">
        <f>0</f>
        <v>0</v>
      </c>
      <c r="AP45" s="37">
        <f>0</f>
        <v>0</v>
      </c>
      <c r="AQ45" s="37">
        <f>0</f>
        <v>0</v>
      </c>
      <c r="AR45" s="37">
        <f>0</f>
        <v>0</v>
      </c>
      <c r="AS45" s="37">
        <f>0</f>
        <v>0</v>
      </c>
      <c r="AT45" s="37">
        <f>0</f>
        <v>0</v>
      </c>
      <c r="AU45" s="37">
        <f>0</f>
        <v>0</v>
      </c>
      <c r="AV45" s="37">
        <f>0</f>
        <v>0</v>
      </c>
      <c r="AW45" s="37">
        <f>0</f>
        <v>0</v>
      </c>
      <c r="AX45" s="37">
        <f>0</f>
        <v>0</v>
      </c>
      <c r="AY45" s="37"/>
    </row>
  </sheetData>
  <phoneticPr fontId="9" type="noConversion"/>
  <dataValidations count="41">
    <dataValidation type="whole" allowBlank="1" showErrorMessage="1" errorTitle="항목 눈금 확인" error="이 행에 지정된 범위의 값을 입력해 주세요." sqref="J5:AC5">
      <formula1>-2</formula1>
      <formula2>2</formula2>
    </dataValidation>
    <dataValidation type="whole" allowBlank="1" showErrorMessage="1" errorTitle="항목 눈금 확인" error="이 행에 지정된 범위의 값을 입력해 주세요." sqref="J7:AC7">
      <formula1>-2</formula1>
      <formula2>2</formula2>
    </dataValidation>
    <dataValidation type="whole" allowBlank="1" showErrorMessage="1" errorTitle="항목 눈금 확인" error="이 행에 지정된 범위의 값을 입력해 주세요." sqref="J9:AC9">
      <formula1>-2</formula1>
      <formula2>2</formula2>
    </dataValidation>
    <dataValidation type="whole" allowBlank="1" showErrorMessage="1" errorTitle="항목 눈금 확인" error="이 행에 지정된 범위의 값을 입력해 주세요." sqref="J11:AC11">
      <formula1>-2</formula1>
      <formula2>2</formula2>
    </dataValidation>
    <dataValidation type="whole" allowBlank="1" showErrorMessage="1" errorTitle="항목 눈금 확인" error="이 행에 지정된 범위의 값을 입력해 주세요." sqref="J12:AC12">
      <formula1>-2</formula1>
      <formula2>2</formula2>
    </dataValidation>
    <dataValidation type="whole" allowBlank="1" showErrorMessage="1" errorTitle="항목 눈금 확인" error="이 행에 지정된 범위의 값을 입력해 주세요." sqref="J13:AC13">
      <formula1>-2</formula1>
      <formula2>2</formula2>
    </dataValidation>
    <dataValidation type="whole" allowBlank="1" showErrorMessage="1" errorTitle="항목 눈금 확인" error="이 행에 지정된 범위의 값을 입력해 주세요." sqref="J38:AC38">
      <formula1>-2</formula1>
      <formula2>2</formula2>
    </dataValidation>
    <dataValidation type="whole" allowBlank="1" showErrorMessage="1" errorTitle="항목 눈금 확인" error="이 행에 지정된 범위의 값을 입력해 주세요." sqref="J39:AC39">
      <formula1>-2</formula1>
      <formula2>2</formula2>
    </dataValidation>
    <dataValidation type="whole" allowBlank="1" showErrorMessage="1" errorTitle="항목 눈금 확인" error="이 행에 지정된 범위의 값을 입력해 주세요." sqref="J43:AC43">
      <formula1>-2</formula1>
      <formula2>2</formula2>
    </dataValidation>
    <dataValidation type="whole" allowBlank="1" showErrorMessage="1" errorTitle="항목 눈금 확인" error="이 행에 지정된 범위의 값을 입력해 주세요." sqref="J44:AC44">
      <formula1>-2</formula1>
      <formula2>2</formula2>
    </dataValidation>
    <dataValidation type="whole" allowBlank="1" showErrorMessage="1" errorTitle="항목 눈금 확인" error="이 행에 지정된 범위의 값을 입력해 주세요." sqref="J45:AC45">
      <formula1>-2</formula1>
      <formula2>2</formula2>
    </dataValidation>
    <dataValidation type="whole" allowBlank="1" showErrorMessage="1" errorTitle="항목 눈금 확인" error="이 행에 지정된 범위의 값을 입력해 주세요." sqref="J40:AC40">
      <formula1>-2</formula1>
      <formula2>2</formula2>
    </dataValidation>
    <dataValidation type="whole" allowBlank="1" showErrorMessage="1" errorTitle="항목 눈금 확인" error="이 행에 지정된 범위의 값을 입력해 주세요." sqref="J41:AC41">
      <formula1>-2</formula1>
      <formula2>2</formula2>
    </dataValidation>
    <dataValidation type="whole" allowBlank="1" showErrorMessage="1" errorTitle="항목 눈금 확인" error="이 행에 지정된 범위의 값을 입력해 주세요." sqref="J42:AC42">
      <formula1>-2</formula1>
      <formula2>2</formula2>
    </dataValidation>
    <dataValidation type="whole" allowBlank="1" showErrorMessage="1" errorTitle="항목 눈금 확인" error="이 행에 지정된 범위의 값을 입력해 주세요." sqref="J6:AC6">
      <formula1>0</formula1>
      <formula2>3</formula2>
    </dataValidation>
    <dataValidation type="whole" allowBlank="1" showErrorMessage="1" errorTitle="항목 눈금 확인" error="이 행에 지정된 범위의 값을 입력해 주세요." sqref="J14:AC14">
      <formula1>0</formula1>
      <formula2>9999</formula2>
    </dataValidation>
    <dataValidation type="whole" allowBlank="1" showErrorMessage="1" errorTitle="항목 눈금 확인" error="이 행에 지정된 범위의 값을 입력해 주세요." sqref="J15:AC15">
      <formula1>0</formula1>
      <formula2>9999</formula2>
    </dataValidation>
    <dataValidation type="whole" allowBlank="1" showErrorMessage="1" errorTitle="항목 눈금 확인" error="이 행에 지정된 범위의 값을 입력해 주세요." sqref="J16:AC16">
      <formula1>0</formula1>
      <formula2>9999</formula2>
    </dataValidation>
    <dataValidation type="whole" allowBlank="1" showErrorMessage="1" errorTitle="항목 눈금 확인" error="이 행에 지정된 범위의 값을 입력해 주세요." sqref="J17:AC17">
      <formula1>0</formula1>
      <formula2>9999</formula2>
    </dataValidation>
    <dataValidation type="whole" allowBlank="1" showErrorMessage="1" errorTitle="항목 눈금 확인" error="이 행에 지정된 범위의 값을 입력해 주세요." sqref="J18:AC18">
      <formula1>0</formula1>
      <formula2>9999</formula2>
    </dataValidation>
    <dataValidation type="whole" allowBlank="1" showErrorMessage="1" errorTitle="항목 눈금 확인" error="이 행에 지정된 범위의 값을 입력해 주세요." sqref="J19:AC19">
      <formula1>0</formula1>
      <formula2>9999</formula2>
    </dataValidation>
    <dataValidation type="whole" allowBlank="1" showErrorMessage="1" errorTitle="항목 눈금 확인" error="이 행에 지정된 범위의 값을 입력해 주세요." sqref="J20:AC20">
      <formula1>0</formula1>
      <formula2>9999</formula2>
    </dataValidation>
    <dataValidation type="whole" allowBlank="1" showErrorMessage="1" errorTitle="항목 눈금 확인" error="이 행에 지정된 범위의 값을 입력해 주세요." sqref="J21:AC21">
      <formula1>0</formula1>
      <formula2>9999</formula2>
    </dataValidation>
    <dataValidation type="whole" allowBlank="1" showErrorMessage="1" errorTitle="항목 눈금 확인" error="이 행에 지정된 범위의 값을 입력해 주세요." sqref="J22:AC22">
      <formula1>0</formula1>
      <formula2>9999</formula2>
    </dataValidation>
    <dataValidation type="whole" allowBlank="1" showErrorMessage="1" errorTitle="항목 눈금 확인" error="이 행에 지정된 범위의 값을 입력해 주세요." sqref="J23:AC23">
      <formula1>0</formula1>
      <formula2>9999</formula2>
    </dataValidation>
    <dataValidation type="whole" allowBlank="1" showErrorMessage="1" errorTitle="항목 눈금 확인" error="이 행에 지정된 범위의 값을 입력해 주세요." sqref="J24:AC24">
      <formula1>0</formula1>
      <formula2>9999</formula2>
    </dataValidation>
    <dataValidation type="whole" allowBlank="1" showErrorMessage="1" errorTitle="항목 눈금 확인" error="이 행에 지정된 범위의 값을 입력해 주세요." sqref="J25:AC25">
      <formula1>0</formula1>
      <formula2>9999</formula2>
    </dataValidation>
    <dataValidation type="whole" allowBlank="1" showErrorMessage="1" errorTitle="항목 눈금 확인" error="이 행에 지정된 범위의 값을 입력해 주세요." sqref="J26:AC26">
      <formula1>0</formula1>
      <formula2>9999</formula2>
    </dataValidation>
    <dataValidation type="whole" allowBlank="1" showErrorMessage="1" errorTitle="항목 눈금 확인" error="이 행에 지정된 범위의 값을 입력해 주세요." sqref="J27:AC27">
      <formula1>0</formula1>
      <formula2>9999</formula2>
    </dataValidation>
    <dataValidation type="whole" allowBlank="1" showErrorMessage="1" errorTitle="항목 눈금 확인" error="이 행에 지정된 범위의 값을 입력해 주세요." sqref="J28:AC28">
      <formula1>0</formula1>
      <formula2>9999</formula2>
    </dataValidation>
    <dataValidation type="whole" allowBlank="1" showErrorMessage="1" errorTitle="항목 눈금 확인" error="이 행에 지정된 범위의 값을 입력해 주세요." sqref="J29:AC29">
      <formula1>0</formula1>
      <formula2>9999</formula2>
    </dataValidation>
    <dataValidation type="whole" allowBlank="1" showErrorMessage="1" errorTitle="항목 눈금 확인" error="이 행에 지정된 범위의 값을 입력해 주세요." sqref="J30:AC30">
      <formula1>0</formula1>
      <formula2>9999</formula2>
    </dataValidation>
    <dataValidation type="whole" allowBlank="1" showErrorMessage="1" errorTitle="항목 눈금 확인" error="이 행에 지정된 범위의 값을 입력해 주세요." sqref="J31:AC31">
      <formula1>0</formula1>
      <formula2>9999</formula2>
    </dataValidation>
    <dataValidation type="whole" allowBlank="1" showErrorMessage="1" errorTitle="항목 눈금 확인" error="이 행에 지정된 범위의 값을 입력해 주세요." sqref="J32:AC32">
      <formula1>0</formula1>
      <formula2>9999</formula2>
    </dataValidation>
    <dataValidation type="whole" allowBlank="1" showErrorMessage="1" errorTitle="항목 눈금 확인" error="이 행에 지정된 범위의 값을 입력해 주세요." sqref="J33:AC33">
      <formula1>0</formula1>
      <formula2>9999</formula2>
    </dataValidation>
    <dataValidation type="whole" allowBlank="1" showErrorMessage="1" errorTitle="항목 눈금 확인" error="이 행에 지정된 범위의 값을 입력해 주세요." sqref="J34:AC34">
      <formula1>0</formula1>
      <formula2>9999</formula2>
    </dataValidation>
    <dataValidation type="whole" allowBlank="1" showErrorMessage="1" errorTitle="항목 눈금 확인" error="이 행에 지정된 범위의 값을 입력해 주세요." sqref="J35:AC35">
      <formula1>0</formula1>
      <formula2>9999</formula2>
    </dataValidation>
    <dataValidation type="whole" allowBlank="1" showErrorMessage="1" errorTitle="항목 눈금 확인" error="이 행에 지정된 범위의 값을 입력해 주세요." sqref="J36:AC36">
      <formula1>0</formula1>
      <formula2>9999</formula2>
    </dataValidation>
    <dataValidation type="whole" allowBlank="1" showErrorMessage="1" errorTitle="항목 눈금 확인" error="이 행에 지정된 범위의 값을 입력해 주세요." sqref="J37:AC37">
      <formula1>0</formula1>
      <formula2>9999</formula2>
    </dataValidation>
    <dataValidation type="whole" operator="greaterThanOrEqual" allowBlank="1" showErrorMessage="1" sqref="J8:AC8">
      <formula1>0</formula1>
    </dataValidation>
    <dataValidation type="whole" operator="greaterThanOrEqual" allowBlank="1" showErrorMessage="1" sqref="J10:AC10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91"/>
  <sheetViews>
    <sheetView showGridLines="0" workbookViewId="0">
      <pane xSplit="9" ySplit="4" topLeftCell="J5" activePane="bottomRight" state="frozen"/>
      <selection pane="topRight"/>
      <selection pane="bottomLeft"/>
      <selection pane="bottomRight" activeCell="J5" sqref="J5"/>
    </sheetView>
  </sheetViews>
  <sheetFormatPr defaultRowHeight="16.5" x14ac:dyDescent="0.3"/>
  <cols>
    <col min="1" max="1" width="8" style="2" customWidth="1"/>
    <col min="2" max="2" width="44" style="2" customWidth="1"/>
    <col min="3" max="3" width="33.25" style="2" customWidth="1"/>
    <col min="4" max="7" width="26" style="2" customWidth="1"/>
    <col min="8" max="8" width="22" style="2" customWidth="1"/>
    <col min="9" max="9" width="10" style="2" customWidth="1"/>
    <col min="10" max="29" width="5" style="2" customWidth="1"/>
    <col min="30" max="36" width="9" style="2" customWidth="1"/>
    <col min="37" max="16384" width="9" style="2"/>
  </cols>
  <sheetData>
    <row r="1" spans="1:51" ht="36" customHeight="1" x14ac:dyDescent="0.3">
      <c r="A1" s="39"/>
      <c r="B1" s="39"/>
      <c r="C1" s="39"/>
      <c r="D1" s="39"/>
      <c r="E1" s="39"/>
      <c r="F1" s="39"/>
      <c r="G1" s="39"/>
      <c r="H1" s="39"/>
      <c r="I1" s="39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</row>
    <row r="2" spans="1:51" ht="36" customHeight="1" x14ac:dyDescent="0.3">
      <c r="A2" s="41" t="s">
        <v>158</v>
      </c>
      <c r="B2" s="38"/>
      <c r="C2" s="38"/>
      <c r="D2" s="38"/>
      <c r="E2" s="38"/>
      <c r="F2" s="38"/>
      <c r="G2" s="38"/>
      <c r="H2" s="38"/>
      <c r="I2" s="38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</row>
    <row r="3" spans="1:51" ht="36" customHeight="1" x14ac:dyDescent="0.3">
      <c r="A3" s="41" t="s">
        <v>48</v>
      </c>
      <c r="B3" s="38"/>
      <c r="C3" s="38"/>
      <c r="D3" s="38"/>
      <c r="E3" s="38"/>
      <c r="F3" s="38"/>
      <c r="G3" s="38"/>
      <c r="H3" s="38"/>
      <c r="I3" s="38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</row>
    <row r="4" spans="1:51" x14ac:dyDescent="0.3">
      <c r="A4" s="19" t="s">
        <v>49</v>
      </c>
      <c r="B4" s="19" t="s">
        <v>50</v>
      </c>
      <c r="C4" s="19" t="s">
        <v>51</v>
      </c>
      <c r="D4" s="19" t="s">
        <v>52</v>
      </c>
      <c r="E4" s="19" t="s">
        <v>53</v>
      </c>
      <c r="F4" s="19" t="s">
        <v>54</v>
      </c>
      <c r="G4" s="19" t="s">
        <v>55</v>
      </c>
      <c r="H4" s="19" t="s">
        <v>56</v>
      </c>
      <c r="I4" s="19" t="s">
        <v>57</v>
      </c>
      <c r="J4" s="20" t="s">
        <v>58</v>
      </c>
      <c r="K4" s="20" t="s">
        <v>59</v>
      </c>
      <c r="L4" s="20" t="s">
        <v>60</v>
      </c>
      <c r="M4" s="20" t="s">
        <v>61</v>
      </c>
      <c r="N4" s="20" t="s">
        <v>62</v>
      </c>
      <c r="O4" s="20" t="s">
        <v>63</v>
      </c>
      <c r="P4" s="20" t="s">
        <v>64</v>
      </c>
      <c r="Q4" s="20" t="s">
        <v>65</v>
      </c>
      <c r="R4" s="20" t="s">
        <v>66</v>
      </c>
      <c r="S4" s="20" t="s">
        <v>67</v>
      </c>
      <c r="T4" s="20" t="s">
        <v>68</v>
      </c>
      <c r="U4" s="20" t="s">
        <v>69</v>
      </c>
      <c r="V4" s="20" t="s">
        <v>70</v>
      </c>
      <c r="W4" s="20" t="s">
        <v>71</v>
      </c>
      <c r="X4" s="20" t="s">
        <v>72</v>
      </c>
      <c r="Y4" s="20" t="s">
        <v>73</v>
      </c>
      <c r="Z4" s="20" t="s">
        <v>74</v>
      </c>
      <c r="AA4" s="20" t="s">
        <v>75</v>
      </c>
      <c r="AB4" s="20" t="s">
        <v>76</v>
      </c>
      <c r="AC4" s="20" t="s">
        <v>77</v>
      </c>
      <c r="AD4" s="6" t="s">
        <v>78</v>
      </c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6" t="s">
        <v>79</v>
      </c>
    </row>
    <row r="5" spans="1:51" ht="120" customHeight="1" x14ac:dyDescent="0.3">
      <c r="A5" s="7" t="s">
        <v>80</v>
      </c>
      <c r="B5" s="8" t="s">
        <v>159</v>
      </c>
      <c r="C5" s="8" t="s">
        <v>160</v>
      </c>
      <c r="D5" s="8" t="s">
        <v>161</v>
      </c>
      <c r="E5" s="8" t="s">
        <v>162</v>
      </c>
      <c r="F5" s="8" t="s">
        <v>163</v>
      </c>
      <c r="G5" s="8" t="s">
        <v>164</v>
      </c>
      <c r="H5" s="8" t="s">
        <v>165</v>
      </c>
      <c r="I5" s="9" t="s">
        <v>166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37" t="s">
        <v>167</v>
      </c>
      <c r="AE5" s="37">
        <f t="shared" ref="AE5:AN6" si="0">IF(COUNT(J5)=0,0,J5+3)</f>
        <v>0</v>
      </c>
      <c r="AF5" s="37">
        <f t="shared" si="0"/>
        <v>0</v>
      </c>
      <c r="AG5" s="37">
        <f t="shared" si="0"/>
        <v>0</v>
      </c>
      <c r="AH5" s="37">
        <f t="shared" si="0"/>
        <v>0</v>
      </c>
      <c r="AI5" s="37">
        <f t="shared" si="0"/>
        <v>0</v>
      </c>
      <c r="AJ5" s="37">
        <f t="shared" si="0"/>
        <v>0</v>
      </c>
      <c r="AK5" s="37">
        <f t="shared" si="0"/>
        <v>0</v>
      </c>
      <c r="AL5" s="37">
        <f t="shared" si="0"/>
        <v>0</v>
      </c>
      <c r="AM5" s="37">
        <f t="shared" si="0"/>
        <v>0</v>
      </c>
      <c r="AN5" s="37">
        <f t="shared" si="0"/>
        <v>0</v>
      </c>
      <c r="AO5" s="37">
        <f t="shared" ref="AO5:AX6" si="1">IF(COUNT(T5)=0,0,T5+3)</f>
        <v>0</v>
      </c>
      <c r="AP5" s="37">
        <f t="shared" si="1"/>
        <v>0</v>
      </c>
      <c r="AQ5" s="37">
        <f t="shared" si="1"/>
        <v>0</v>
      </c>
      <c r="AR5" s="37">
        <f t="shared" si="1"/>
        <v>0</v>
      </c>
      <c r="AS5" s="37">
        <f t="shared" si="1"/>
        <v>0</v>
      </c>
      <c r="AT5" s="37">
        <f t="shared" si="1"/>
        <v>0</v>
      </c>
      <c r="AU5" s="37">
        <f t="shared" si="1"/>
        <v>0</v>
      </c>
      <c r="AV5" s="37">
        <f t="shared" si="1"/>
        <v>0</v>
      </c>
      <c r="AW5" s="37">
        <f t="shared" si="1"/>
        <v>0</v>
      </c>
      <c r="AX5" s="37">
        <f t="shared" si="1"/>
        <v>0</v>
      </c>
      <c r="AY5" s="37" t="s">
        <v>168</v>
      </c>
    </row>
    <row r="6" spans="1:51" ht="120" customHeight="1" x14ac:dyDescent="0.3">
      <c r="A6" s="7" t="s">
        <v>80</v>
      </c>
      <c r="B6" s="8" t="s">
        <v>169</v>
      </c>
      <c r="C6" s="8" t="s">
        <v>170</v>
      </c>
      <c r="D6" s="8" t="s">
        <v>171</v>
      </c>
      <c r="E6" s="8" t="s">
        <v>172</v>
      </c>
      <c r="F6" s="8" t="s">
        <v>173</v>
      </c>
      <c r="G6" s="8" t="s">
        <v>174</v>
      </c>
      <c r="H6" s="8" t="s">
        <v>165</v>
      </c>
      <c r="I6" s="9" t="s">
        <v>175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37" t="s">
        <v>167</v>
      </c>
      <c r="AE6" s="37">
        <f t="shared" si="0"/>
        <v>0</v>
      </c>
      <c r="AF6" s="37">
        <f t="shared" si="0"/>
        <v>0</v>
      </c>
      <c r="AG6" s="37">
        <f t="shared" si="0"/>
        <v>0</v>
      </c>
      <c r="AH6" s="37">
        <f t="shared" si="0"/>
        <v>0</v>
      </c>
      <c r="AI6" s="37">
        <f t="shared" si="0"/>
        <v>0</v>
      </c>
      <c r="AJ6" s="37">
        <f t="shared" si="0"/>
        <v>0</v>
      </c>
      <c r="AK6" s="37">
        <f t="shared" si="0"/>
        <v>0</v>
      </c>
      <c r="AL6" s="37">
        <f t="shared" si="0"/>
        <v>0</v>
      </c>
      <c r="AM6" s="37">
        <f t="shared" si="0"/>
        <v>0</v>
      </c>
      <c r="AN6" s="37">
        <f t="shared" si="0"/>
        <v>0</v>
      </c>
      <c r="AO6" s="37">
        <f t="shared" si="1"/>
        <v>0</v>
      </c>
      <c r="AP6" s="37">
        <f t="shared" si="1"/>
        <v>0</v>
      </c>
      <c r="AQ6" s="37">
        <f t="shared" si="1"/>
        <v>0</v>
      </c>
      <c r="AR6" s="37">
        <f t="shared" si="1"/>
        <v>0</v>
      </c>
      <c r="AS6" s="37">
        <f t="shared" si="1"/>
        <v>0</v>
      </c>
      <c r="AT6" s="37">
        <f t="shared" si="1"/>
        <v>0</v>
      </c>
      <c r="AU6" s="37">
        <f t="shared" si="1"/>
        <v>0</v>
      </c>
      <c r="AV6" s="37">
        <f t="shared" si="1"/>
        <v>0</v>
      </c>
      <c r="AW6" s="37">
        <f t="shared" si="1"/>
        <v>0</v>
      </c>
      <c r="AX6" s="37">
        <f t="shared" si="1"/>
        <v>0</v>
      </c>
      <c r="AY6" s="37" t="s">
        <v>168</v>
      </c>
    </row>
    <row r="7" spans="1:51" ht="120" customHeight="1" x14ac:dyDescent="0.3">
      <c r="A7" s="7" t="s">
        <v>80</v>
      </c>
      <c r="B7" s="8" t="s">
        <v>176</v>
      </c>
      <c r="C7" s="8" t="s">
        <v>177</v>
      </c>
      <c r="D7" s="8" t="s">
        <v>178</v>
      </c>
      <c r="E7" s="8"/>
      <c r="F7" s="8"/>
      <c r="G7" s="8"/>
      <c r="H7" s="8" t="s">
        <v>179</v>
      </c>
      <c r="I7" s="9" t="s">
        <v>180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37"/>
      <c r="AE7" s="37">
        <f>0</f>
        <v>0</v>
      </c>
      <c r="AF7" s="37">
        <f>0</f>
        <v>0</v>
      </c>
      <c r="AG7" s="37">
        <f>0</f>
        <v>0</v>
      </c>
      <c r="AH7" s="37">
        <f>0</f>
        <v>0</v>
      </c>
      <c r="AI7" s="37">
        <f>0</f>
        <v>0</v>
      </c>
      <c r="AJ7" s="37">
        <f>0</f>
        <v>0</v>
      </c>
      <c r="AK7" s="37">
        <f>0</f>
        <v>0</v>
      </c>
      <c r="AL7" s="37">
        <f>0</f>
        <v>0</v>
      </c>
      <c r="AM7" s="37">
        <f>0</f>
        <v>0</v>
      </c>
      <c r="AN7" s="37">
        <f>0</f>
        <v>0</v>
      </c>
      <c r="AO7" s="37">
        <f>0</f>
        <v>0</v>
      </c>
      <c r="AP7" s="37">
        <f>0</f>
        <v>0</v>
      </c>
      <c r="AQ7" s="37">
        <f>0</f>
        <v>0</v>
      </c>
      <c r="AR7" s="37">
        <f>0</f>
        <v>0</v>
      </c>
      <c r="AS7" s="37">
        <f>0</f>
        <v>0</v>
      </c>
      <c r="AT7" s="37">
        <f>0</f>
        <v>0</v>
      </c>
      <c r="AU7" s="37">
        <f>0</f>
        <v>0</v>
      </c>
      <c r="AV7" s="37">
        <f>0</f>
        <v>0</v>
      </c>
      <c r="AW7" s="37">
        <f>0</f>
        <v>0</v>
      </c>
      <c r="AX7" s="37">
        <f>0</f>
        <v>0</v>
      </c>
      <c r="AY7" s="37"/>
    </row>
    <row r="8" spans="1:51" ht="120" customHeight="1" x14ac:dyDescent="0.3">
      <c r="A8" s="7" t="s">
        <v>119</v>
      </c>
      <c r="B8" s="8" t="s">
        <v>181</v>
      </c>
      <c r="C8" s="8" t="s">
        <v>182</v>
      </c>
      <c r="D8" s="8" t="s">
        <v>183</v>
      </c>
      <c r="E8" s="8" t="s">
        <v>184</v>
      </c>
      <c r="F8" s="8" t="s">
        <v>185</v>
      </c>
      <c r="G8" s="8" t="s">
        <v>186</v>
      </c>
      <c r="H8" s="8" t="s">
        <v>187</v>
      </c>
      <c r="I8" s="9" t="s">
        <v>188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37"/>
      <c r="AE8" s="37">
        <f>0</f>
        <v>0</v>
      </c>
      <c r="AF8" s="37">
        <f>0</f>
        <v>0</v>
      </c>
      <c r="AG8" s="37">
        <f>0</f>
        <v>0</v>
      </c>
      <c r="AH8" s="37">
        <f>0</f>
        <v>0</v>
      </c>
      <c r="AI8" s="37">
        <f>0</f>
        <v>0</v>
      </c>
      <c r="AJ8" s="37">
        <f>0</f>
        <v>0</v>
      </c>
      <c r="AK8" s="37">
        <f>0</f>
        <v>0</v>
      </c>
      <c r="AL8" s="37">
        <f>0</f>
        <v>0</v>
      </c>
      <c r="AM8" s="37">
        <f>0</f>
        <v>0</v>
      </c>
      <c r="AN8" s="37">
        <f>0</f>
        <v>0</v>
      </c>
      <c r="AO8" s="37">
        <f>0</f>
        <v>0</v>
      </c>
      <c r="AP8" s="37">
        <f>0</f>
        <v>0</v>
      </c>
      <c r="AQ8" s="37">
        <f>0</f>
        <v>0</v>
      </c>
      <c r="AR8" s="37">
        <f>0</f>
        <v>0</v>
      </c>
      <c r="AS8" s="37">
        <f>0</f>
        <v>0</v>
      </c>
      <c r="AT8" s="37">
        <f>0</f>
        <v>0</v>
      </c>
      <c r="AU8" s="37">
        <f>0</f>
        <v>0</v>
      </c>
      <c r="AV8" s="37">
        <f>0</f>
        <v>0</v>
      </c>
      <c r="AW8" s="37">
        <f>0</f>
        <v>0</v>
      </c>
      <c r="AX8" s="37">
        <f>0</f>
        <v>0</v>
      </c>
      <c r="AY8" s="37"/>
    </row>
    <row r="9" spans="1:51" ht="120" customHeight="1" x14ac:dyDescent="0.3">
      <c r="A9" s="7" t="s">
        <v>102</v>
      </c>
      <c r="B9" s="8" t="s">
        <v>189</v>
      </c>
      <c r="C9" s="8" t="s">
        <v>190</v>
      </c>
      <c r="D9" s="8" t="s">
        <v>191</v>
      </c>
      <c r="E9" s="8" t="s">
        <v>192</v>
      </c>
      <c r="F9" s="8" t="s">
        <v>193</v>
      </c>
      <c r="G9" s="8" t="s">
        <v>194</v>
      </c>
      <c r="H9" s="8" t="s">
        <v>195</v>
      </c>
      <c r="I9" s="9" t="s">
        <v>196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37" t="s">
        <v>197</v>
      </c>
      <c r="AE9" s="37">
        <f t="shared" ref="AE9:AX9" si="2">IF(COUNT(J9)=0,0,J9+3)</f>
        <v>0</v>
      </c>
      <c r="AF9" s="37">
        <f t="shared" si="2"/>
        <v>0</v>
      </c>
      <c r="AG9" s="37">
        <f t="shared" si="2"/>
        <v>0</v>
      </c>
      <c r="AH9" s="37">
        <f t="shared" si="2"/>
        <v>0</v>
      </c>
      <c r="AI9" s="37">
        <f t="shared" si="2"/>
        <v>0</v>
      </c>
      <c r="AJ9" s="37">
        <f t="shared" si="2"/>
        <v>0</v>
      </c>
      <c r="AK9" s="37">
        <f t="shared" si="2"/>
        <v>0</v>
      </c>
      <c r="AL9" s="37">
        <f t="shared" si="2"/>
        <v>0</v>
      </c>
      <c r="AM9" s="37">
        <f t="shared" si="2"/>
        <v>0</v>
      </c>
      <c r="AN9" s="37">
        <f t="shared" si="2"/>
        <v>0</v>
      </c>
      <c r="AO9" s="37">
        <f t="shared" si="2"/>
        <v>0</v>
      </c>
      <c r="AP9" s="37">
        <f t="shared" si="2"/>
        <v>0</v>
      </c>
      <c r="AQ9" s="37">
        <f t="shared" si="2"/>
        <v>0</v>
      </c>
      <c r="AR9" s="37">
        <f t="shared" si="2"/>
        <v>0</v>
      </c>
      <c r="AS9" s="37">
        <f t="shared" si="2"/>
        <v>0</v>
      </c>
      <c r="AT9" s="37">
        <f t="shared" si="2"/>
        <v>0</v>
      </c>
      <c r="AU9" s="37">
        <f t="shared" si="2"/>
        <v>0</v>
      </c>
      <c r="AV9" s="37">
        <f t="shared" si="2"/>
        <v>0</v>
      </c>
      <c r="AW9" s="37">
        <f t="shared" si="2"/>
        <v>0</v>
      </c>
      <c r="AX9" s="37">
        <f t="shared" si="2"/>
        <v>0</v>
      </c>
      <c r="AY9" s="37" t="s">
        <v>168</v>
      </c>
    </row>
    <row r="10" spans="1:51" ht="120" customHeight="1" x14ac:dyDescent="0.3">
      <c r="A10" s="7" t="s">
        <v>102</v>
      </c>
      <c r="B10" s="8" t="s">
        <v>198</v>
      </c>
      <c r="C10" s="8" t="s">
        <v>199</v>
      </c>
      <c r="D10" s="8" t="s">
        <v>200</v>
      </c>
      <c r="E10" s="8" t="s">
        <v>201</v>
      </c>
      <c r="F10" s="8" t="s">
        <v>202</v>
      </c>
      <c r="G10" s="8" t="s">
        <v>203</v>
      </c>
      <c r="H10" s="8" t="s">
        <v>204</v>
      </c>
      <c r="I10" s="9" t="s">
        <v>205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37"/>
      <c r="AE10" s="37">
        <f>0</f>
        <v>0</v>
      </c>
      <c r="AF10" s="37">
        <f>0</f>
        <v>0</v>
      </c>
      <c r="AG10" s="37">
        <f>0</f>
        <v>0</v>
      </c>
      <c r="AH10" s="37">
        <f>0</f>
        <v>0</v>
      </c>
      <c r="AI10" s="37">
        <f>0</f>
        <v>0</v>
      </c>
      <c r="AJ10" s="37">
        <f>0</f>
        <v>0</v>
      </c>
      <c r="AK10" s="37">
        <f>0</f>
        <v>0</v>
      </c>
      <c r="AL10" s="37">
        <f>0</f>
        <v>0</v>
      </c>
      <c r="AM10" s="37">
        <f>0</f>
        <v>0</v>
      </c>
      <c r="AN10" s="37">
        <f>0</f>
        <v>0</v>
      </c>
      <c r="AO10" s="37">
        <f>0</f>
        <v>0</v>
      </c>
      <c r="AP10" s="37">
        <f>0</f>
        <v>0</v>
      </c>
      <c r="AQ10" s="37">
        <f>0</f>
        <v>0</v>
      </c>
      <c r="AR10" s="37">
        <f>0</f>
        <v>0</v>
      </c>
      <c r="AS10" s="37">
        <f>0</f>
        <v>0</v>
      </c>
      <c r="AT10" s="37">
        <f>0</f>
        <v>0</v>
      </c>
      <c r="AU10" s="37">
        <f>0</f>
        <v>0</v>
      </c>
      <c r="AV10" s="37">
        <f>0</f>
        <v>0</v>
      </c>
      <c r="AW10" s="37">
        <f>0</f>
        <v>0</v>
      </c>
      <c r="AX10" s="37">
        <f>0</f>
        <v>0</v>
      </c>
      <c r="AY10" s="37"/>
    </row>
    <row r="11" spans="1:51" ht="120" customHeight="1" x14ac:dyDescent="0.3">
      <c r="A11" s="7" t="s">
        <v>102</v>
      </c>
      <c r="B11" s="8" t="s">
        <v>206</v>
      </c>
      <c r="C11" s="8" t="s">
        <v>90</v>
      </c>
      <c r="D11" s="8" t="s">
        <v>91</v>
      </c>
      <c r="E11" s="8" t="s">
        <v>92</v>
      </c>
      <c r="F11" s="8" t="s">
        <v>93</v>
      </c>
      <c r="G11" s="8"/>
      <c r="H11" s="8" t="s">
        <v>94</v>
      </c>
      <c r="I11" s="9" t="s">
        <v>95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37"/>
      <c r="AE11" s="37">
        <f>0</f>
        <v>0</v>
      </c>
      <c r="AF11" s="37">
        <f>0</f>
        <v>0</v>
      </c>
      <c r="AG11" s="37">
        <f>0</f>
        <v>0</v>
      </c>
      <c r="AH11" s="37">
        <f>0</f>
        <v>0</v>
      </c>
      <c r="AI11" s="37">
        <f>0</f>
        <v>0</v>
      </c>
      <c r="AJ11" s="37">
        <f>0</f>
        <v>0</v>
      </c>
      <c r="AK11" s="37">
        <f>0</f>
        <v>0</v>
      </c>
      <c r="AL11" s="37">
        <f>0</f>
        <v>0</v>
      </c>
      <c r="AM11" s="37">
        <f>0</f>
        <v>0</v>
      </c>
      <c r="AN11" s="37">
        <f>0</f>
        <v>0</v>
      </c>
      <c r="AO11" s="37">
        <f>0</f>
        <v>0</v>
      </c>
      <c r="AP11" s="37">
        <f>0</f>
        <v>0</v>
      </c>
      <c r="AQ11" s="37">
        <f>0</f>
        <v>0</v>
      </c>
      <c r="AR11" s="37">
        <f>0</f>
        <v>0</v>
      </c>
      <c r="AS11" s="37">
        <f>0</f>
        <v>0</v>
      </c>
      <c r="AT11" s="37">
        <f>0</f>
        <v>0</v>
      </c>
      <c r="AU11" s="37">
        <f>0</f>
        <v>0</v>
      </c>
      <c r="AV11" s="37">
        <f>0</f>
        <v>0</v>
      </c>
      <c r="AW11" s="37">
        <f>0</f>
        <v>0</v>
      </c>
      <c r="AX11" s="37">
        <f>0</f>
        <v>0</v>
      </c>
      <c r="AY11" s="37" t="s">
        <v>96</v>
      </c>
    </row>
    <row r="12" spans="1:51" ht="120" customHeight="1" x14ac:dyDescent="0.3">
      <c r="A12" s="7" t="s">
        <v>102</v>
      </c>
      <c r="B12" s="8" t="s">
        <v>207</v>
      </c>
      <c r="C12" s="8" t="s">
        <v>208</v>
      </c>
      <c r="D12" s="8" t="s">
        <v>209</v>
      </c>
      <c r="E12" s="8" t="s">
        <v>210</v>
      </c>
      <c r="F12" s="8" t="s">
        <v>211</v>
      </c>
      <c r="G12" s="8" t="s">
        <v>212</v>
      </c>
      <c r="H12" s="8" t="s">
        <v>213</v>
      </c>
      <c r="I12" s="9" t="s">
        <v>101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37"/>
      <c r="AE12" s="37">
        <f>0</f>
        <v>0</v>
      </c>
      <c r="AF12" s="37">
        <f>0</f>
        <v>0</v>
      </c>
      <c r="AG12" s="37">
        <f>0</f>
        <v>0</v>
      </c>
      <c r="AH12" s="37">
        <f>0</f>
        <v>0</v>
      </c>
      <c r="AI12" s="37">
        <f>0</f>
        <v>0</v>
      </c>
      <c r="AJ12" s="37">
        <f>0</f>
        <v>0</v>
      </c>
      <c r="AK12" s="37">
        <f>0</f>
        <v>0</v>
      </c>
      <c r="AL12" s="37">
        <f>0</f>
        <v>0</v>
      </c>
      <c r="AM12" s="37">
        <f>0</f>
        <v>0</v>
      </c>
      <c r="AN12" s="37">
        <f>0</f>
        <v>0</v>
      </c>
      <c r="AO12" s="37">
        <f>0</f>
        <v>0</v>
      </c>
      <c r="AP12" s="37">
        <f>0</f>
        <v>0</v>
      </c>
      <c r="AQ12" s="37">
        <f>0</f>
        <v>0</v>
      </c>
      <c r="AR12" s="37">
        <f>0</f>
        <v>0</v>
      </c>
      <c r="AS12" s="37">
        <f>0</f>
        <v>0</v>
      </c>
      <c r="AT12" s="37">
        <f>0</f>
        <v>0</v>
      </c>
      <c r="AU12" s="37">
        <f>0</f>
        <v>0</v>
      </c>
      <c r="AV12" s="37">
        <f>0</f>
        <v>0</v>
      </c>
      <c r="AW12" s="37">
        <f>0</f>
        <v>0</v>
      </c>
      <c r="AX12" s="37">
        <f>0</f>
        <v>0</v>
      </c>
      <c r="AY12" s="37"/>
    </row>
    <row r="13" spans="1:51" ht="120" customHeight="1" x14ac:dyDescent="0.3">
      <c r="A13" s="7" t="s">
        <v>106</v>
      </c>
      <c r="B13" s="8" t="s">
        <v>214</v>
      </c>
      <c r="C13" s="8" t="s">
        <v>215</v>
      </c>
      <c r="D13" s="8" t="s">
        <v>216</v>
      </c>
      <c r="E13" s="8" t="s">
        <v>217</v>
      </c>
      <c r="F13" s="8" t="s">
        <v>218</v>
      </c>
      <c r="G13" s="8" t="s">
        <v>219</v>
      </c>
      <c r="H13" s="8" t="s">
        <v>220</v>
      </c>
      <c r="I13" s="9" t="s">
        <v>221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37" t="s">
        <v>222</v>
      </c>
      <c r="AE13" s="37">
        <f t="shared" ref="AE13:AN15" si="3">IF(COUNT(J13)=0,0,J13+3)</f>
        <v>0</v>
      </c>
      <c r="AF13" s="37">
        <f t="shared" si="3"/>
        <v>0</v>
      </c>
      <c r="AG13" s="37">
        <f t="shared" si="3"/>
        <v>0</v>
      </c>
      <c r="AH13" s="37">
        <f t="shared" si="3"/>
        <v>0</v>
      </c>
      <c r="AI13" s="37">
        <f t="shared" si="3"/>
        <v>0</v>
      </c>
      <c r="AJ13" s="37">
        <f t="shared" si="3"/>
        <v>0</v>
      </c>
      <c r="AK13" s="37">
        <f t="shared" si="3"/>
        <v>0</v>
      </c>
      <c r="AL13" s="37">
        <f t="shared" si="3"/>
        <v>0</v>
      </c>
      <c r="AM13" s="37">
        <f t="shared" si="3"/>
        <v>0</v>
      </c>
      <c r="AN13" s="37">
        <f t="shared" si="3"/>
        <v>0</v>
      </c>
      <c r="AO13" s="37">
        <f t="shared" ref="AO13:AX15" si="4">IF(COUNT(T13)=0,0,T13+3)</f>
        <v>0</v>
      </c>
      <c r="AP13" s="37">
        <f t="shared" si="4"/>
        <v>0</v>
      </c>
      <c r="AQ13" s="37">
        <f t="shared" si="4"/>
        <v>0</v>
      </c>
      <c r="AR13" s="37">
        <f t="shared" si="4"/>
        <v>0</v>
      </c>
      <c r="AS13" s="37">
        <f t="shared" si="4"/>
        <v>0</v>
      </c>
      <c r="AT13" s="37">
        <f t="shared" si="4"/>
        <v>0</v>
      </c>
      <c r="AU13" s="37">
        <f t="shared" si="4"/>
        <v>0</v>
      </c>
      <c r="AV13" s="37">
        <f t="shared" si="4"/>
        <v>0</v>
      </c>
      <c r="AW13" s="37">
        <f t="shared" si="4"/>
        <v>0</v>
      </c>
      <c r="AX13" s="37">
        <f t="shared" si="4"/>
        <v>0</v>
      </c>
      <c r="AY13" s="37" t="s">
        <v>168</v>
      </c>
    </row>
    <row r="14" spans="1:51" ht="120" customHeight="1" x14ac:dyDescent="0.3">
      <c r="A14" s="7" t="s">
        <v>106</v>
      </c>
      <c r="B14" s="8" t="s">
        <v>223</v>
      </c>
      <c r="C14" s="8" t="s">
        <v>182</v>
      </c>
      <c r="D14" s="8" t="s">
        <v>183</v>
      </c>
      <c r="E14" s="8" t="s">
        <v>184</v>
      </c>
      <c r="F14" s="8" t="s">
        <v>185</v>
      </c>
      <c r="G14" s="8" t="s">
        <v>186</v>
      </c>
      <c r="H14" s="8" t="s">
        <v>220</v>
      </c>
      <c r="I14" s="9" t="s">
        <v>188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37" t="s">
        <v>222</v>
      </c>
      <c r="AE14" s="37">
        <f t="shared" si="3"/>
        <v>0</v>
      </c>
      <c r="AF14" s="37">
        <f t="shared" si="3"/>
        <v>0</v>
      </c>
      <c r="AG14" s="37">
        <f t="shared" si="3"/>
        <v>0</v>
      </c>
      <c r="AH14" s="37">
        <f t="shared" si="3"/>
        <v>0</v>
      </c>
      <c r="AI14" s="37">
        <f t="shared" si="3"/>
        <v>0</v>
      </c>
      <c r="AJ14" s="37">
        <f t="shared" si="3"/>
        <v>0</v>
      </c>
      <c r="AK14" s="37">
        <f t="shared" si="3"/>
        <v>0</v>
      </c>
      <c r="AL14" s="37">
        <f t="shared" si="3"/>
        <v>0</v>
      </c>
      <c r="AM14" s="37">
        <f t="shared" si="3"/>
        <v>0</v>
      </c>
      <c r="AN14" s="37">
        <f t="shared" si="3"/>
        <v>0</v>
      </c>
      <c r="AO14" s="37">
        <f t="shared" si="4"/>
        <v>0</v>
      </c>
      <c r="AP14" s="37">
        <f t="shared" si="4"/>
        <v>0</v>
      </c>
      <c r="AQ14" s="37">
        <f t="shared" si="4"/>
        <v>0</v>
      </c>
      <c r="AR14" s="37">
        <f t="shared" si="4"/>
        <v>0</v>
      </c>
      <c r="AS14" s="37">
        <f t="shared" si="4"/>
        <v>0</v>
      </c>
      <c r="AT14" s="37">
        <f t="shared" si="4"/>
        <v>0</v>
      </c>
      <c r="AU14" s="37">
        <f t="shared" si="4"/>
        <v>0</v>
      </c>
      <c r="AV14" s="37">
        <f t="shared" si="4"/>
        <v>0</v>
      </c>
      <c r="AW14" s="37">
        <f t="shared" si="4"/>
        <v>0</v>
      </c>
      <c r="AX14" s="37">
        <f t="shared" si="4"/>
        <v>0</v>
      </c>
      <c r="AY14" s="37" t="s">
        <v>168</v>
      </c>
    </row>
    <row r="15" spans="1:51" ht="120" customHeight="1" x14ac:dyDescent="0.3">
      <c r="A15" s="7" t="s">
        <v>106</v>
      </c>
      <c r="B15" s="8" t="s">
        <v>224</v>
      </c>
      <c r="C15" s="8" t="s">
        <v>225</v>
      </c>
      <c r="D15" s="8" t="s">
        <v>226</v>
      </c>
      <c r="E15" s="8" t="s">
        <v>227</v>
      </c>
      <c r="F15" s="8" t="s">
        <v>228</v>
      </c>
      <c r="G15" s="8" t="s">
        <v>229</v>
      </c>
      <c r="H15" s="8" t="s">
        <v>220</v>
      </c>
      <c r="I15" s="9" t="s">
        <v>221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37" t="s">
        <v>222</v>
      </c>
      <c r="AE15" s="37">
        <f t="shared" si="3"/>
        <v>0</v>
      </c>
      <c r="AF15" s="37">
        <f t="shared" si="3"/>
        <v>0</v>
      </c>
      <c r="AG15" s="37">
        <f t="shared" si="3"/>
        <v>0</v>
      </c>
      <c r="AH15" s="37">
        <f t="shared" si="3"/>
        <v>0</v>
      </c>
      <c r="AI15" s="37">
        <f t="shared" si="3"/>
        <v>0</v>
      </c>
      <c r="AJ15" s="37">
        <f t="shared" si="3"/>
        <v>0</v>
      </c>
      <c r="AK15" s="37">
        <f t="shared" si="3"/>
        <v>0</v>
      </c>
      <c r="AL15" s="37">
        <f t="shared" si="3"/>
        <v>0</v>
      </c>
      <c r="AM15" s="37">
        <f t="shared" si="3"/>
        <v>0</v>
      </c>
      <c r="AN15" s="37">
        <f t="shared" si="3"/>
        <v>0</v>
      </c>
      <c r="AO15" s="37">
        <f t="shared" si="4"/>
        <v>0</v>
      </c>
      <c r="AP15" s="37">
        <f t="shared" si="4"/>
        <v>0</v>
      </c>
      <c r="AQ15" s="37">
        <f t="shared" si="4"/>
        <v>0</v>
      </c>
      <c r="AR15" s="37">
        <f t="shared" si="4"/>
        <v>0</v>
      </c>
      <c r="AS15" s="37">
        <f t="shared" si="4"/>
        <v>0</v>
      </c>
      <c r="AT15" s="37">
        <f t="shared" si="4"/>
        <v>0</v>
      </c>
      <c r="AU15" s="37">
        <f t="shared" si="4"/>
        <v>0</v>
      </c>
      <c r="AV15" s="37">
        <f t="shared" si="4"/>
        <v>0</v>
      </c>
      <c r="AW15" s="37">
        <f t="shared" si="4"/>
        <v>0</v>
      </c>
      <c r="AX15" s="37">
        <f t="shared" si="4"/>
        <v>0</v>
      </c>
      <c r="AY15" s="37" t="s">
        <v>168</v>
      </c>
    </row>
    <row r="16" spans="1:51" ht="120" customHeight="1" x14ac:dyDescent="0.3">
      <c r="A16" s="7" t="s">
        <v>106</v>
      </c>
      <c r="B16" s="8" t="s">
        <v>230</v>
      </c>
      <c r="C16" s="8" t="s">
        <v>231</v>
      </c>
      <c r="D16" s="8" t="s">
        <v>232</v>
      </c>
      <c r="E16" s="8" t="s">
        <v>233</v>
      </c>
      <c r="F16" s="8" t="s">
        <v>234</v>
      </c>
      <c r="G16" s="8" t="s">
        <v>235</v>
      </c>
      <c r="H16" s="8" t="s">
        <v>220</v>
      </c>
      <c r="I16" s="9" t="s">
        <v>236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37"/>
      <c r="AE16" s="37">
        <f>0</f>
        <v>0</v>
      </c>
      <c r="AF16" s="37">
        <f>0</f>
        <v>0</v>
      </c>
      <c r="AG16" s="37">
        <f>0</f>
        <v>0</v>
      </c>
      <c r="AH16" s="37">
        <f>0</f>
        <v>0</v>
      </c>
      <c r="AI16" s="37">
        <f>0</f>
        <v>0</v>
      </c>
      <c r="AJ16" s="37">
        <f>0</f>
        <v>0</v>
      </c>
      <c r="AK16" s="37">
        <f>0</f>
        <v>0</v>
      </c>
      <c r="AL16" s="37">
        <f>0</f>
        <v>0</v>
      </c>
      <c r="AM16" s="37">
        <f>0</f>
        <v>0</v>
      </c>
      <c r="AN16" s="37">
        <f>0</f>
        <v>0</v>
      </c>
      <c r="AO16" s="37">
        <f>0</f>
        <v>0</v>
      </c>
      <c r="AP16" s="37">
        <f>0</f>
        <v>0</v>
      </c>
      <c r="AQ16" s="37">
        <f>0</f>
        <v>0</v>
      </c>
      <c r="AR16" s="37">
        <f>0</f>
        <v>0</v>
      </c>
      <c r="AS16" s="37">
        <f>0</f>
        <v>0</v>
      </c>
      <c r="AT16" s="37">
        <f>0</f>
        <v>0</v>
      </c>
      <c r="AU16" s="37">
        <f>0</f>
        <v>0</v>
      </c>
      <c r="AV16" s="37">
        <f>0</f>
        <v>0</v>
      </c>
      <c r="AW16" s="37">
        <f>0</f>
        <v>0</v>
      </c>
      <c r="AX16" s="37">
        <f>0</f>
        <v>0</v>
      </c>
      <c r="AY16" s="37"/>
    </row>
    <row r="17" spans="1:51" ht="120" customHeight="1" x14ac:dyDescent="0.3">
      <c r="A17" s="7" t="s">
        <v>129</v>
      </c>
      <c r="B17" s="8" t="s">
        <v>237</v>
      </c>
      <c r="C17" s="8" t="s">
        <v>238</v>
      </c>
      <c r="D17" s="8" t="s">
        <v>239</v>
      </c>
      <c r="E17" s="8" t="s">
        <v>240</v>
      </c>
      <c r="F17" s="8" t="s">
        <v>241</v>
      </c>
      <c r="G17" s="8" t="s">
        <v>242</v>
      </c>
      <c r="H17" s="8" t="s">
        <v>243</v>
      </c>
      <c r="I17" s="9" t="s">
        <v>196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37" t="s">
        <v>197</v>
      </c>
      <c r="AE17" s="37">
        <f t="shared" ref="AE17:AN19" si="5">IF(COUNT(J17)=0,0,J17+3)</f>
        <v>0</v>
      </c>
      <c r="AF17" s="37">
        <f t="shared" si="5"/>
        <v>0</v>
      </c>
      <c r="AG17" s="37">
        <f t="shared" si="5"/>
        <v>0</v>
      </c>
      <c r="AH17" s="37">
        <f t="shared" si="5"/>
        <v>0</v>
      </c>
      <c r="AI17" s="37">
        <f t="shared" si="5"/>
        <v>0</v>
      </c>
      <c r="AJ17" s="37">
        <f t="shared" si="5"/>
        <v>0</v>
      </c>
      <c r="AK17" s="37">
        <f t="shared" si="5"/>
        <v>0</v>
      </c>
      <c r="AL17" s="37">
        <f t="shared" si="5"/>
        <v>0</v>
      </c>
      <c r="AM17" s="37">
        <f t="shared" si="5"/>
        <v>0</v>
      </c>
      <c r="AN17" s="37">
        <f t="shared" si="5"/>
        <v>0</v>
      </c>
      <c r="AO17" s="37">
        <f t="shared" ref="AO17:AX19" si="6">IF(COUNT(T17)=0,0,T17+3)</f>
        <v>0</v>
      </c>
      <c r="AP17" s="37">
        <f t="shared" si="6"/>
        <v>0</v>
      </c>
      <c r="AQ17" s="37">
        <f t="shared" si="6"/>
        <v>0</v>
      </c>
      <c r="AR17" s="37">
        <f t="shared" si="6"/>
        <v>0</v>
      </c>
      <c r="AS17" s="37">
        <f t="shared" si="6"/>
        <v>0</v>
      </c>
      <c r="AT17" s="37">
        <f t="shared" si="6"/>
        <v>0</v>
      </c>
      <c r="AU17" s="37">
        <f t="shared" si="6"/>
        <v>0</v>
      </c>
      <c r="AV17" s="37">
        <f t="shared" si="6"/>
        <v>0</v>
      </c>
      <c r="AW17" s="37">
        <f t="shared" si="6"/>
        <v>0</v>
      </c>
      <c r="AX17" s="37">
        <f t="shared" si="6"/>
        <v>0</v>
      </c>
      <c r="AY17" s="37" t="s">
        <v>168</v>
      </c>
    </row>
    <row r="18" spans="1:51" ht="120" customHeight="1" x14ac:dyDescent="0.3">
      <c r="A18" s="7" t="s">
        <v>129</v>
      </c>
      <c r="B18" s="8" t="s">
        <v>244</v>
      </c>
      <c r="C18" s="8" t="s">
        <v>182</v>
      </c>
      <c r="D18" s="8" t="s">
        <v>183</v>
      </c>
      <c r="E18" s="8" t="s">
        <v>184</v>
      </c>
      <c r="F18" s="8" t="s">
        <v>185</v>
      </c>
      <c r="G18" s="8" t="s">
        <v>186</v>
      </c>
      <c r="H18" s="8" t="s">
        <v>243</v>
      </c>
      <c r="I18" s="9" t="s">
        <v>188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37" t="s">
        <v>197</v>
      </c>
      <c r="AE18" s="37">
        <f t="shared" si="5"/>
        <v>0</v>
      </c>
      <c r="AF18" s="37">
        <f t="shared" si="5"/>
        <v>0</v>
      </c>
      <c r="AG18" s="37">
        <f t="shared" si="5"/>
        <v>0</v>
      </c>
      <c r="AH18" s="37">
        <f t="shared" si="5"/>
        <v>0</v>
      </c>
      <c r="AI18" s="37">
        <f t="shared" si="5"/>
        <v>0</v>
      </c>
      <c r="AJ18" s="37">
        <f t="shared" si="5"/>
        <v>0</v>
      </c>
      <c r="AK18" s="37">
        <f t="shared" si="5"/>
        <v>0</v>
      </c>
      <c r="AL18" s="37">
        <f t="shared" si="5"/>
        <v>0</v>
      </c>
      <c r="AM18" s="37">
        <f t="shared" si="5"/>
        <v>0</v>
      </c>
      <c r="AN18" s="37">
        <f t="shared" si="5"/>
        <v>0</v>
      </c>
      <c r="AO18" s="37">
        <f t="shared" si="6"/>
        <v>0</v>
      </c>
      <c r="AP18" s="37">
        <f t="shared" si="6"/>
        <v>0</v>
      </c>
      <c r="AQ18" s="37">
        <f t="shared" si="6"/>
        <v>0</v>
      </c>
      <c r="AR18" s="37">
        <f t="shared" si="6"/>
        <v>0</v>
      </c>
      <c r="AS18" s="37">
        <f t="shared" si="6"/>
        <v>0</v>
      </c>
      <c r="AT18" s="37">
        <f t="shared" si="6"/>
        <v>0</v>
      </c>
      <c r="AU18" s="37">
        <f t="shared" si="6"/>
        <v>0</v>
      </c>
      <c r="AV18" s="37">
        <f t="shared" si="6"/>
        <v>0</v>
      </c>
      <c r="AW18" s="37">
        <f t="shared" si="6"/>
        <v>0</v>
      </c>
      <c r="AX18" s="37">
        <f t="shared" si="6"/>
        <v>0</v>
      </c>
      <c r="AY18" s="37" t="s">
        <v>168</v>
      </c>
    </row>
    <row r="19" spans="1:51" ht="120" customHeight="1" x14ac:dyDescent="0.3">
      <c r="A19" s="7" t="s">
        <v>129</v>
      </c>
      <c r="B19" s="8" t="s">
        <v>245</v>
      </c>
      <c r="C19" s="8" t="s">
        <v>246</v>
      </c>
      <c r="D19" s="8" t="s">
        <v>247</v>
      </c>
      <c r="E19" s="8" t="s">
        <v>248</v>
      </c>
      <c r="F19" s="8" t="s">
        <v>249</v>
      </c>
      <c r="G19" s="8" t="s">
        <v>250</v>
      </c>
      <c r="H19" s="8" t="s">
        <v>243</v>
      </c>
      <c r="I19" s="9" t="s">
        <v>196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37" t="s">
        <v>197</v>
      </c>
      <c r="AE19" s="37">
        <f t="shared" si="5"/>
        <v>0</v>
      </c>
      <c r="AF19" s="37">
        <f t="shared" si="5"/>
        <v>0</v>
      </c>
      <c r="AG19" s="37">
        <f t="shared" si="5"/>
        <v>0</v>
      </c>
      <c r="AH19" s="37">
        <f t="shared" si="5"/>
        <v>0</v>
      </c>
      <c r="AI19" s="37">
        <f t="shared" si="5"/>
        <v>0</v>
      </c>
      <c r="AJ19" s="37">
        <f t="shared" si="5"/>
        <v>0</v>
      </c>
      <c r="AK19" s="37">
        <f t="shared" si="5"/>
        <v>0</v>
      </c>
      <c r="AL19" s="37">
        <f t="shared" si="5"/>
        <v>0</v>
      </c>
      <c r="AM19" s="37">
        <f t="shared" si="5"/>
        <v>0</v>
      </c>
      <c r="AN19" s="37">
        <f t="shared" si="5"/>
        <v>0</v>
      </c>
      <c r="AO19" s="37">
        <f t="shared" si="6"/>
        <v>0</v>
      </c>
      <c r="AP19" s="37">
        <f t="shared" si="6"/>
        <v>0</v>
      </c>
      <c r="AQ19" s="37">
        <f t="shared" si="6"/>
        <v>0</v>
      </c>
      <c r="AR19" s="37">
        <f t="shared" si="6"/>
        <v>0</v>
      </c>
      <c r="AS19" s="37">
        <f t="shared" si="6"/>
        <v>0</v>
      </c>
      <c r="AT19" s="37">
        <f t="shared" si="6"/>
        <v>0</v>
      </c>
      <c r="AU19" s="37">
        <f t="shared" si="6"/>
        <v>0</v>
      </c>
      <c r="AV19" s="37">
        <f t="shared" si="6"/>
        <v>0</v>
      </c>
      <c r="AW19" s="37">
        <f t="shared" si="6"/>
        <v>0</v>
      </c>
      <c r="AX19" s="37">
        <f t="shared" si="6"/>
        <v>0</v>
      </c>
      <c r="AY19" s="37" t="s">
        <v>168</v>
      </c>
    </row>
    <row r="20" spans="1:51" ht="120" customHeight="1" x14ac:dyDescent="0.3">
      <c r="A20" s="7" t="s">
        <v>129</v>
      </c>
      <c r="B20" s="8" t="s">
        <v>251</v>
      </c>
      <c r="C20" s="8"/>
      <c r="D20" s="8"/>
      <c r="E20" s="8"/>
      <c r="F20" s="8"/>
      <c r="G20" s="8"/>
      <c r="H20" s="8" t="s">
        <v>252</v>
      </c>
      <c r="I20" s="9" t="s">
        <v>253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37"/>
      <c r="AE20" s="37">
        <f>0</f>
        <v>0</v>
      </c>
      <c r="AF20" s="37">
        <f>0</f>
        <v>0</v>
      </c>
      <c r="AG20" s="37">
        <f>0</f>
        <v>0</v>
      </c>
      <c r="AH20" s="37">
        <f>0</f>
        <v>0</v>
      </c>
      <c r="AI20" s="37">
        <f>0</f>
        <v>0</v>
      </c>
      <c r="AJ20" s="37">
        <f>0</f>
        <v>0</v>
      </c>
      <c r="AK20" s="37">
        <f>0</f>
        <v>0</v>
      </c>
      <c r="AL20" s="37">
        <f>0</f>
        <v>0</v>
      </c>
      <c r="AM20" s="37">
        <f>0</f>
        <v>0</v>
      </c>
      <c r="AN20" s="37">
        <f>0</f>
        <v>0</v>
      </c>
      <c r="AO20" s="37">
        <f>0</f>
        <v>0</v>
      </c>
      <c r="AP20" s="37">
        <f>0</f>
        <v>0</v>
      </c>
      <c r="AQ20" s="37">
        <f>0</f>
        <v>0</v>
      </c>
      <c r="AR20" s="37">
        <f>0</f>
        <v>0</v>
      </c>
      <c r="AS20" s="37">
        <f>0</f>
        <v>0</v>
      </c>
      <c r="AT20" s="37">
        <f>0</f>
        <v>0</v>
      </c>
      <c r="AU20" s="37">
        <f>0</f>
        <v>0</v>
      </c>
      <c r="AV20" s="37">
        <f>0</f>
        <v>0</v>
      </c>
      <c r="AW20" s="37">
        <f>0</f>
        <v>0</v>
      </c>
      <c r="AX20" s="37">
        <f>0</f>
        <v>0</v>
      </c>
      <c r="AY20" s="37" t="s">
        <v>168</v>
      </c>
    </row>
    <row r="21" spans="1:51" ht="120" customHeight="1" x14ac:dyDescent="0.3">
      <c r="A21" s="7" t="s">
        <v>129</v>
      </c>
      <c r="B21" s="8" t="s">
        <v>254</v>
      </c>
      <c r="C21" s="8" t="s">
        <v>255</v>
      </c>
      <c r="D21" s="8"/>
      <c r="E21" s="8"/>
      <c r="F21" s="8"/>
      <c r="G21" s="8"/>
      <c r="H21" s="8" t="s">
        <v>256</v>
      </c>
      <c r="I21" s="9" t="s">
        <v>101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37"/>
      <c r="AE21" s="37">
        <f>0</f>
        <v>0</v>
      </c>
      <c r="AF21" s="37">
        <f>0</f>
        <v>0</v>
      </c>
      <c r="AG21" s="37">
        <f>0</f>
        <v>0</v>
      </c>
      <c r="AH21" s="37">
        <f>0</f>
        <v>0</v>
      </c>
      <c r="AI21" s="37">
        <f>0</f>
        <v>0</v>
      </c>
      <c r="AJ21" s="37">
        <f>0</f>
        <v>0</v>
      </c>
      <c r="AK21" s="37">
        <f>0</f>
        <v>0</v>
      </c>
      <c r="AL21" s="37">
        <f>0</f>
        <v>0</v>
      </c>
      <c r="AM21" s="37">
        <f>0</f>
        <v>0</v>
      </c>
      <c r="AN21" s="37">
        <f>0</f>
        <v>0</v>
      </c>
      <c r="AO21" s="37">
        <f>0</f>
        <v>0</v>
      </c>
      <c r="AP21" s="37">
        <f>0</f>
        <v>0</v>
      </c>
      <c r="AQ21" s="37">
        <f>0</f>
        <v>0</v>
      </c>
      <c r="AR21" s="37">
        <f>0</f>
        <v>0</v>
      </c>
      <c r="AS21" s="37">
        <f>0</f>
        <v>0</v>
      </c>
      <c r="AT21" s="37">
        <f>0</f>
        <v>0</v>
      </c>
      <c r="AU21" s="37">
        <f>0</f>
        <v>0</v>
      </c>
      <c r="AV21" s="37">
        <f>0</f>
        <v>0</v>
      </c>
      <c r="AW21" s="37">
        <f>0</f>
        <v>0</v>
      </c>
      <c r="AX21" s="37">
        <f>0</f>
        <v>0</v>
      </c>
      <c r="AY21" s="37"/>
    </row>
    <row r="22" spans="1:51" ht="120" customHeight="1" x14ac:dyDescent="0.3">
      <c r="A22" s="7" t="s">
        <v>133</v>
      </c>
      <c r="B22" s="8" t="s">
        <v>257</v>
      </c>
      <c r="C22" s="8" t="s">
        <v>258</v>
      </c>
      <c r="D22" s="8" t="s">
        <v>259</v>
      </c>
      <c r="E22" s="8" t="s">
        <v>260</v>
      </c>
      <c r="F22" s="8" t="s">
        <v>261</v>
      </c>
      <c r="G22" s="8" t="s">
        <v>262</v>
      </c>
      <c r="H22" s="8" t="s">
        <v>243</v>
      </c>
      <c r="I22" s="9" t="s">
        <v>196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37" t="s">
        <v>197</v>
      </c>
      <c r="AE22" s="37">
        <f t="shared" ref="AE22:AN24" si="7">IF(COUNT(J22)=0,0,J22+3)</f>
        <v>0</v>
      </c>
      <c r="AF22" s="37">
        <f t="shared" si="7"/>
        <v>0</v>
      </c>
      <c r="AG22" s="37">
        <f t="shared" si="7"/>
        <v>0</v>
      </c>
      <c r="AH22" s="37">
        <f t="shared" si="7"/>
        <v>0</v>
      </c>
      <c r="AI22" s="37">
        <f t="shared" si="7"/>
        <v>0</v>
      </c>
      <c r="AJ22" s="37">
        <f t="shared" si="7"/>
        <v>0</v>
      </c>
      <c r="AK22" s="37">
        <f t="shared" si="7"/>
        <v>0</v>
      </c>
      <c r="AL22" s="37">
        <f t="shared" si="7"/>
        <v>0</v>
      </c>
      <c r="AM22" s="37">
        <f t="shared" si="7"/>
        <v>0</v>
      </c>
      <c r="AN22" s="37">
        <f t="shared" si="7"/>
        <v>0</v>
      </c>
      <c r="AO22" s="37">
        <f t="shared" ref="AO22:AX24" si="8">IF(COUNT(T22)=0,0,T22+3)</f>
        <v>0</v>
      </c>
      <c r="AP22" s="37">
        <f t="shared" si="8"/>
        <v>0</v>
      </c>
      <c r="AQ22" s="37">
        <f t="shared" si="8"/>
        <v>0</v>
      </c>
      <c r="AR22" s="37">
        <f t="shared" si="8"/>
        <v>0</v>
      </c>
      <c r="AS22" s="37">
        <f t="shared" si="8"/>
        <v>0</v>
      </c>
      <c r="AT22" s="37">
        <f t="shared" si="8"/>
        <v>0</v>
      </c>
      <c r="AU22" s="37">
        <f t="shared" si="8"/>
        <v>0</v>
      </c>
      <c r="AV22" s="37">
        <f t="shared" si="8"/>
        <v>0</v>
      </c>
      <c r="AW22" s="37">
        <f t="shared" si="8"/>
        <v>0</v>
      </c>
      <c r="AX22" s="37">
        <f t="shared" si="8"/>
        <v>0</v>
      </c>
      <c r="AY22" s="37" t="s">
        <v>168</v>
      </c>
    </row>
    <row r="23" spans="1:51" ht="120" customHeight="1" x14ac:dyDescent="0.3">
      <c r="A23" s="7" t="s">
        <v>133</v>
      </c>
      <c r="B23" s="8" t="s">
        <v>263</v>
      </c>
      <c r="C23" s="8" t="s">
        <v>182</v>
      </c>
      <c r="D23" s="8" t="s">
        <v>183</v>
      </c>
      <c r="E23" s="8" t="s">
        <v>184</v>
      </c>
      <c r="F23" s="8" t="s">
        <v>185</v>
      </c>
      <c r="G23" s="8" t="s">
        <v>186</v>
      </c>
      <c r="H23" s="8" t="s">
        <v>243</v>
      </c>
      <c r="I23" s="9" t="s">
        <v>188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37" t="s">
        <v>197</v>
      </c>
      <c r="AE23" s="37">
        <f t="shared" si="7"/>
        <v>0</v>
      </c>
      <c r="AF23" s="37">
        <f t="shared" si="7"/>
        <v>0</v>
      </c>
      <c r="AG23" s="37">
        <f t="shared" si="7"/>
        <v>0</v>
      </c>
      <c r="AH23" s="37">
        <f t="shared" si="7"/>
        <v>0</v>
      </c>
      <c r="AI23" s="37">
        <f t="shared" si="7"/>
        <v>0</v>
      </c>
      <c r="AJ23" s="37">
        <f t="shared" si="7"/>
        <v>0</v>
      </c>
      <c r="AK23" s="37">
        <f t="shared" si="7"/>
        <v>0</v>
      </c>
      <c r="AL23" s="37">
        <f t="shared" si="7"/>
        <v>0</v>
      </c>
      <c r="AM23" s="37">
        <f t="shared" si="7"/>
        <v>0</v>
      </c>
      <c r="AN23" s="37">
        <f t="shared" si="7"/>
        <v>0</v>
      </c>
      <c r="AO23" s="37">
        <f t="shared" si="8"/>
        <v>0</v>
      </c>
      <c r="AP23" s="37">
        <f t="shared" si="8"/>
        <v>0</v>
      </c>
      <c r="AQ23" s="37">
        <f t="shared" si="8"/>
        <v>0</v>
      </c>
      <c r="AR23" s="37">
        <f t="shared" si="8"/>
        <v>0</v>
      </c>
      <c r="AS23" s="37">
        <f t="shared" si="8"/>
        <v>0</v>
      </c>
      <c r="AT23" s="37">
        <f t="shared" si="8"/>
        <v>0</v>
      </c>
      <c r="AU23" s="37">
        <f t="shared" si="8"/>
        <v>0</v>
      </c>
      <c r="AV23" s="37">
        <f t="shared" si="8"/>
        <v>0</v>
      </c>
      <c r="AW23" s="37">
        <f t="shared" si="8"/>
        <v>0</v>
      </c>
      <c r="AX23" s="37">
        <f t="shared" si="8"/>
        <v>0</v>
      </c>
      <c r="AY23" s="37" t="s">
        <v>168</v>
      </c>
    </row>
    <row r="24" spans="1:51" ht="120" customHeight="1" x14ac:dyDescent="0.3">
      <c r="A24" s="7" t="s">
        <v>108</v>
      </c>
      <c r="B24" s="8" t="s">
        <v>264</v>
      </c>
      <c r="C24" s="8" t="s">
        <v>265</v>
      </c>
      <c r="D24" s="8" t="s">
        <v>266</v>
      </c>
      <c r="E24" s="8" t="s">
        <v>267</v>
      </c>
      <c r="F24" s="8" t="s">
        <v>268</v>
      </c>
      <c r="G24" s="8" t="s">
        <v>269</v>
      </c>
      <c r="H24" s="8" t="s">
        <v>270</v>
      </c>
      <c r="I24" s="9" t="s">
        <v>196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37" t="s">
        <v>271</v>
      </c>
      <c r="AE24" s="37">
        <f t="shared" si="7"/>
        <v>0</v>
      </c>
      <c r="AF24" s="37">
        <f t="shared" si="7"/>
        <v>0</v>
      </c>
      <c r="AG24" s="37">
        <f t="shared" si="7"/>
        <v>0</v>
      </c>
      <c r="AH24" s="37">
        <f t="shared" si="7"/>
        <v>0</v>
      </c>
      <c r="AI24" s="37">
        <f t="shared" si="7"/>
        <v>0</v>
      </c>
      <c r="AJ24" s="37">
        <f t="shared" si="7"/>
        <v>0</v>
      </c>
      <c r="AK24" s="37">
        <f t="shared" si="7"/>
        <v>0</v>
      </c>
      <c r="AL24" s="37">
        <f t="shared" si="7"/>
        <v>0</v>
      </c>
      <c r="AM24" s="37">
        <f t="shared" si="7"/>
        <v>0</v>
      </c>
      <c r="AN24" s="37">
        <f t="shared" si="7"/>
        <v>0</v>
      </c>
      <c r="AO24" s="37">
        <f t="shared" si="8"/>
        <v>0</v>
      </c>
      <c r="AP24" s="37">
        <f t="shared" si="8"/>
        <v>0</v>
      </c>
      <c r="AQ24" s="37">
        <f t="shared" si="8"/>
        <v>0</v>
      </c>
      <c r="AR24" s="37">
        <f t="shared" si="8"/>
        <v>0</v>
      </c>
      <c r="AS24" s="37">
        <f t="shared" si="8"/>
        <v>0</v>
      </c>
      <c r="AT24" s="37">
        <f t="shared" si="8"/>
        <v>0</v>
      </c>
      <c r="AU24" s="37">
        <f t="shared" si="8"/>
        <v>0</v>
      </c>
      <c r="AV24" s="37">
        <f t="shared" si="8"/>
        <v>0</v>
      </c>
      <c r="AW24" s="37">
        <f t="shared" si="8"/>
        <v>0</v>
      </c>
      <c r="AX24" s="37">
        <f t="shared" si="8"/>
        <v>0</v>
      </c>
      <c r="AY24" s="37" t="s">
        <v>168</v>
      </c>
    </row>
    <row r="25" spans="1:51" ht="120" customHeight="1" x14ac:dyDescent="0.3">
      <c r="A25" s="7" t="s">
        <v>108</v>
      </c>
      <c r="B25" s="8" t="s">
        <v>272</v>
      </c>
      <c r="C25" s="8" t="s">
        <v>273</v>
      </c>
      <c r="D25" s="8" t="s">
        <v>274</v>
      </c>
      <c r="E25" s="8" t="s">
        <v>275</v>
      </c>
      <c r="F25" s="8" t="s">
        <v>276</v>
      </c>
      <c r="G25" s="8" t="s">
        <v>277</v>
      </c>
      <c r="H25" s="8" t="s">
        <v>278</v>
      </c>
      <c r="I25" s="9" t="s">
        <v>175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37"/>
      <c r="AE25" s="37">
        <f>0</f>
        <v>0</v>
      </c>
      <c r="AF25" s="37">
        <f>0</f>
        <v>0</v>
      </c>
      <c r="AG25" s="37">
        <f>0</f>
        <v>0</v>
      </c>
      <c r="AH25" s="37">
        <f>0</f>
        <v>0</v>
      </c>
      <c r="AI25" s="37">
        <f>0</f>
        <v>0</v>
      </c>
      <c r="AJ25" s="37">
        <f>0</f>
        <v>0</v>
      </c>
      <c r="AK25" s="37">
        <f>0</f>
        <v>0</v>
      </c>
      <c r="AL25" s="37">
        <f>0</f>
        <v>0</v>
      </c>
      <c r="AM25" s="37">
        <f>0</f>
        <v>0</v>
      </c>
      <c r="AN25" s="37">
        <f>0</f>
        <v>0</v>
      </c>
      <c r="AO25" s="37">
        <f>0</f>
        <v>0</v>
      </c>
      <c r="AP25" s="37">
        <f>0</f>
        <v>0</v>
      </c>
      <c r="AQ25" s="37">
        <f>0</f>
        <v>0</v>
      </c>
      <c r="AR25" s="37">
        <f>0</f>
        <v>0</v>
      </c>
      <c r="AS25" s="37">
        <f>0</f>
        <v>0</v>
      </c>
      <c r="AT25" s="37">
        <f>0</f>
        <v>0</v>
      </c>
      <c r="AU25" s="37">
        <f>0</f>
        <v>0</v>
      </c>
      <c r="AV25" s="37">
        <f>0</f>
        <v>0</v>
      </c>
      <c r="AW25" s="37">
        <f>0</f>
        <v>0</v>
      </c>
      <c r="AX25" s="37">
        <f>0</f>
        <v>0</v>
      </c>
      <c r="AY25" s="37" t="s">
        <v>168</v>
      </c>
    </row>
    <row r="26" spans="1:51" ht="120" customHeight="1" x14ac:dyDescent="0.3">
      <c r="A26" s="7" t="s">
        <v>108</v>
      </c>
      <c r="B26" s="8" t="s">
        <v>279</v>
      </c>
      <c r="C26" s="8" t="s">
        <v>280</v>
      </c>
      <c r="D26" s="8"/>
      <c r="E26" s="8"/>
      <c r="F26" s="8"/>
      <c r="G26" s="8"/>
      <c r="H26" s="8" t="s">
        <v>281</v>
      </c>
      <c r="I26" s="9" t="s">
        <v>101</v>
      </c>
      <c r="J26" s="10" t="str">
        <f t="shared" ref="J26:AC26" si="9">IF(COUNT(J38,J40,J42)&lt;3,"",IF(J38&lt;=1,1,0)+IF(J40&lt;=1,1,0)+IF(J42&lt;=1,1,0))</f>
        <v/>
      </c>
      <c r="K26" s="10" t="str">
        <f t="shared" si="9"/>
        <v/>
      </c>
      <c r="L26" s="10" t="str">
        <f t="shared" si="9"/>
        <v/>
      </c>
      <c r="M26" s="10" t="str">
        <f t="shared" si="9"/>
        <v/>
      </c>
      <c r="N26" s="10" t="str">
        <f t="shared" si="9"/>
        <v/>
      </c>
      <c r="O26" s="10" t="str">
        <f t="shared" si="9"/>
        <v/>
      </c>
      <c r="P26" s="10" t="str">
        <f t="shared" si="9"/>
        <v/>
      </c>
      <c r="Q26" s="10" t="str">
        <f t="shared" si="9"/>
        <v/>
      </c>
      <c r="R26" s="10" t="str">
        <f t="shared" si="9"/>
        <v/>
      </c>
      <c r="S26" s="10" t="str">
        <f t="shared" si="9"/>
        <v/>
      </c>
      <c r="T26" s="10" t="str">
        <f t="shared" si="9"/>
        <v/>
      </c>
      <c r="U26" s="10" t="str">
        <f t="shared" si="9"/>
        <v/>
      </c>
      <c r="V26" s="10" t="str">
        <f t="shared" si="9"/>
        <v/>
      </c>
      <c r="W26" s="10" t="str">
        <f t="shared" si="9"/>
        <v/>
      </c>
      <c r="X26" s="10" t="str">
        <f t="shared" si="9"/>
        <v/>
      </c>
      <c r="Y26" s="10" t="str">
        <f t="shared" si="9"/>
        <v/>
      </c>
      <c r="Z26" s="10" t="str">
        <f t="shared" si="9"/>
        <v/>
      </c>
      <c r="AA26" s="10" t="str">
        <f t="shared" si="9"/>
        <v/>
      </c>
      <c r="AB26" s="10" t="str">
        <f t="shared" si="9"/>
        <v/>
      </c>
      <c r="AC26" s="10" t="str">
        <f t="shared" si="9"/>
        <v/>
      </c>
      <c r="AD26" s="37"/>
      <c r="AE26" s="37">
        <f>0</f>
        <v>0</v>
      </c>
      <c r="AF26" s="37">
        <f>0</f>
        <v>0</v>
      </c>
      <c r="AG26" s="37">
        <f>0</f>
        <v>0</v>
      </c>
      <c r="AH26" s="37">
        <f>0</f>
        <v>0</v>
      </c>
      <c r="AI26" s="37">
        <f>0</f>
        <v>0</v>
      </c>
      <c r="AJ26" s="37">
        <f>0</f>
        <v>0</v>
      </c>
      <c r="AK26" s="37">
        <f>0</f>
        <v>0</v>
      </c>
      <c r="AL26" s="37">
        <f>0</f>
        <v>0</v>
      </c>
      <c r="AM26" s="37">
        <f>0</f>
        <v>0</v>
      </c>
      <c r="AN26" s="37">
        <f>0</f>
        <v>0</v>
      </c>
      <c r="AO26" s="37">
        <f>0</f>
        <v>0</v>
      </c>
      <c r="AP26" s="37">
        <f>0</f>
        <v>0</v>
      </c>
      <c r="AQ26" s="37">
        <f>0</f>
        <v>0</v>
      </c>
      <c r="AR26" s="37">
        <f>0</f>
        <v>0</v>
      </c>
      <c r="AS26" s="37">
        <f>0</f>
        <v>0</v>
      </c>
      <c r="AT26" s="37">
        <f>0</f>
        <v>0</v>
      </c>
      <c r="AU26" s="37">
        <f>0</f>
        <v>0</v>
      </c>
      <c r="AV26" s="37">
        <f>0</f>
        <v>0</v>
      </c>
      <c r="AW26" s="37">
        <f>0</f>
        <v>0</v>
      </c>
      <c r="AX26" s="37">
        <f>0</f>
        <v>0</v>
      </c>
      <c r="AY26" s="37"/>
    </row>
    <row r="27" spans="1:51" ht="120" customHeight="1" x14ac:dyDescent="0.3">
      <c r="A27" s="7" t="s">
        <v>108</v>
      </c>
      <c r="B27" s="8" t="s">
        <v>282</v>
      </c>
      <c r="C27" s="8" t="s">
        <v>283</v>
      </c>
      <c r="D27" s="8"/>
      <c r="E27" s="8"/>
      <c r="F27" s="8"/>
      <c r="G27" s="8"/>
      <c r="H27" s="8" t="s">
        <v>281</v>
      </c>
      <c r="I27" s="9" t="s">
        <v>101</v>
      </c>
      <c r="J27" s="11" t="str">
        <f>IF(COUNT('3_보호자행동'!J13)=0,"",IF('3_보호자행동'!J13=3,"무효",IF(COUNT(J26,J36)&lt;2,"",(J26+J36)/6)))</f>
        <v/>
      </c>
      <c r="K27" s="11" t="str">
        <f>IF(COUNT('3_보호자행동'!K13)=0,"",IF('3_보호자행동'!K13=3,"무효",IF(COUNT(K26,K36)&lt;2,"",(K26+K36)/6)))</f>
        <v/>
      </c>
      <c r="L27" s="11" t="str">
        <f>IF(COUNT('3_보호자행동'!L13)=0,"",IF('3_보호자행동'!L13=3,"무효",IF(COUNT(L26,L36)&lt;2,"",(L26+L36)/6)))</f>
        <v/>
      </c>
      <c r="M27" s="11" t="str">
        <f>IF(COUNT('3_보호자행동'!M13)=0,"",IF('3_보호자행동'!M13=3,"무효",IF(COUNT(M26,M36)&lt;2,"",(M26+M36)/6)))</f>
        <v/>
      </c>
      <c r="N27" s="11" t="str">
        <f>IF(COUNT('3_보호자행동'!N13)=0,"",IF('3_보호자행동'!N13=3,"무효",IF(COUNT(N26,N36)&lt;2,"",(N26+N36)/6)))</f>
        <v/>
      </c>
      <c r="O27" s="11" t="str">
        <f>IF(COUNT('3_보호자행동'!O13)=0,"",IF('3_보호자행동'!O13=3,"무효",IF(COUNT(O26,O36)&lt;2,"",(O26+O36)/6)))</f>
        <v/>
      </c>
      <c r="P27" s="11" t="str">
        <f>IF(COUNT('3_보호자행동'!P13)=0,"",IF('3_보호자행동'!P13=3,"무효",IF(COUNT(P26,P36)&lt;2,"",(P26+P36)/6)))</f>
        <v/>
      </c>
      <c r="Q27" s="11" t="str">
        <f>IF(COUNT('3_보호자행동'!Q13)=0,"",IF('3_보호자행동'!Q13=3,"무효",IF(COUNT(Q26,Q36)&lt;2,"",(Q26+Q36)/6)))</f>
        <v/>
      </c>
      <c r="R27" s="11" t="str">
        <f>IF(COUNT('3_보호자행동'!R13)=0,"",IF('3_보호자행동'!R13=3,"무효",IF(COUNT(R26,R36)&lt;2,"",(R26+R36)/6)))</f>
        <v/>
      </c>
      <c r="S27" s="11" t="str">
        <f>IF(COUNT('3_보호자행동'!S13)=0,"",IF('3_보호자행동'!S13=3,"무효",IF(COUNT(S26,S36)&lt;2,"",(S26+S36)/6)))</f>
        <v/>
      </c>
      <c r="T27" s="11" t="str">
        <f>IF(COUNT('3_보호자행동'!T13)=0,"",IF('3_보호자행동'!T13=3,"무효",IF(COUNT(T26,T36)&lt;2,"",(T26+T36)/6)))</f>
        <v/>
      </c>
      <c r="U27" s="11" t="str">
        <f>IF(COUNT('3_보호자행동'!U13)=0,"",IF('3_보호자행동'!U13=3,"무효",IF(COUNT(U26,U36)&lt;2,"",(U26+U36)/6)))</f>
        <v/>
      </c>
      <c r="V27" s="11" t="str">
        <f>IF(COUNT('3_보호자행동'!V13)=0,"",IF('3_보호자행동'!V13=3,"무효",IF(COUNT(V26,V36)&lt;2,"",(V26+V36)/6)))</f>
        <v/>
      </c>
      <c r="W27" s="11" t="str">
        <f>IF(COUNT('3_보호자행동'!W13)=0,"",IF('3_보호자행동'!W13=3,"무효",IF(COUNT(W26,W36)&lt;2,"",(W26+W36)/6)))</f>
        <v/>
      </c>
      <c r="X27" s="11" t="str">
        <f>IF(COUNT('3_보호자행동'!X13)=0,"",IF('3_보호자행동'!X13=3,"무효",IF(COUNT(X26,X36)&lt;2,"",(X26+X36)/6)))</f>
        <v/>
      </c>
      <c r="Y27" s="11" t="str">
        <f>IF(COUNT('3_보호자행동'!Y13)=0,"",IF('3_보호자행동'!Y13=3,"무효",IF(COUNT(Y26,Y36)&lt;2,"",(Y26+Y36)/6)))</f>
        <v/>
      </c>
      <c r="Z27" s="11" t="str">
        <f>IF(COUNT('3_보호자행동'!Z13)=0,"",IF('3_보호자행동'!Z13=3,"무효",IF(COUNT(Z26,Z36)&lt;2,"",(Z26+Z36)/6)))</f>
        <v/>
      </c>
      <c r="AA27" s="11" t="str">
        <f>IF(COUNT('3_보호자행동'!AA13)=0,"",IF('3_보호자행동'!AA13=3,"무효",IF(COUNT(AA26,AA36)&lt;2,"",(AA26+AA36)/6)))</f>
        <v/>
      </c>
      <c r="AB27" s="11" t="str">
        <f>IF(COUNT('3_보호자행동'!AB13)=0,"",IF('3_보호자행동'!AB13=3,"무효",IF(COUNT(AB26,AB36)&lt;2,"",(AB26+AB36)/6)))</f>
        <v/>
      </c>
      <c r="AC27" s="11" t="str">
        <f>IF(COUNT('3_보호자행동'!AC13)=0,"",IF('3_보호자행동'!AC13=3,"무효",IF(COUNT(AC26,AC36)&lt;2,"",(AC26+AC36)/6)))</f>
        <v/>
      </c>
      <c r="AD27" s="37"/>
      <c r="AE27" s="37">
        <f>0</f>
        <v>0</v>
      </c>
      <c r="AF27" s="37">
        <f>0</f>
        <v>0</v>
      </c>
      <c r="AG27" s="37">
        <f>0</f>
        <v>0</v>
      </c>
      <c r="AH27" s="37">
        <f>0</f>
        <v>0</v>
      </c>
      <c r="AI27" s="37">
        <f>0</f>
        <v>0</v>
      </c>
      <c r="AJ27" s="37">
        <f>0</f>
        <v>0</v>
      </c>
      <c r="AK27" s="37">
        <f>0</f>
        <v>0</v>
      </c>
      <c r="AL27" s="37">
        <f>0</f>
        <v>0</v>
      </c>
      <c r="AM27" s="37">
        <f>0</f>
        <v>0</v>
      </c>
      <c r="AN27" s="37">
        <f>0</f>
        <v>0</v>
      </c>
      <c r="AO27" s="37">
        <f>0</f>
        <v>0</v>
      </c>
      <c r="AP27" s="37">
        <f>0</f>
        <v>0</v>
      </c>
      <c r="AQ27" s="37">
        <f>0</f>
        <v>0</v>
      </c>
      <c r="AR27" s="37">
        <f>0</f>
        <v>0</v>
      </c>
      <c r="AS27" s="37">
        <f>0</f>
        <v>0</v>
      </c>
      <c r="AT27" s="37">
        <f>0</f>
        <v>0</v>
      </c>
      <c r="AU27" s="37">
        <f>0</f>
        <v>0</v>
      </c>
      <c r="AV27" s="37">
        <f>0</f>
        <v>0</v>
      </c>
      <c r="AW27" s="37">
        <f>0</f>
        <v>0</v>
      </c>
      <c r="AX27" s="37">
        <f>0</f>
        <v>0</v>
      </c>
      <c r="AY27" s="37"/>
    </row>
    <row r="28" spans="1:51" ht="120" customHeight="1" x14ac:dyDescent="0.3">
      <c r="A28" s="7" t="s">
        <v>110</v>
      </c>
      <c r="B28" s="8" t="s">
        <v>284</v>
      </c>
      <c r="C28" s="8" t="s">
        <v>285</v>
      </c>
      <c r="D28" s="8" t="s">
        <v>286</v>
      </c>
      <c r="E28" s="8" t="s">
        <v>287</v>
      </c>
      <c r="F28" s="8" t="s">
        <v>163</v>
      </c>
      <c r="G28" s="8" t="s">
        <v>164</v>
      </c>
      <c r="H28" s="8" t="s">
        <v>288</v>
      </c>
      <c r="I28" s="9" t="s">
        <v>166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37" t="s">
        <v>289</v>
      </c>
      <c r="AE28" s="37">
        <f t="shared" ref="AE28:AX28" si="10">IF(COUNT(J28)=0,0,J28+3)</f>
        <v>0</v>
      </c>
      <c r="AF28" s="37">
        <f t="shared" si="10"/>
        <v>0</v>
      </c>
      <c r="AG28" s="37">
        <f t="shared" si="10"/>
        <v>0</v>
      </c>
      <c r="AH28" s="37">
        <f t="shared" si="10"/>
        <v>0</v>
      </c>
      <c r="AI28" s="37">
        <f t="shared" si="10"/>
        <v>0</v>
      </c>
      <c r="AJ28" s="37">
        <f t="shared" si="10"/>
        <v>0</v>
      </c>
      <c r="AK28" s="37">
        <f t="shared" si="10"/>
        <v>0</v>
      </c>
      <c r="AL28" s="37">
        <f t="shared" si="10"/>
        <v>0</v>
      </c>
      <c r="AM28" s="37">
        <f t="shared" si="10"/>
        <v>0</v>
      </c>
      <c r="AN28" s="37">
        <f t="shared" si="10"/>
        <v>0</v>
      </c>
      <c r="AO28" s="37">
        <f t="shared" si="10"/>
        <v>0</v>
      </c>
      <c r="AP28" s="37">
        <f t="shared" si="10"/>
        <v>0</v>
      </c>
      <c r="AQ28" s="37">
        <f t="shared" si="10"/>
        <v>0</v>
      </c>
      <c r="AR28" s="37">
        <f t="shared" si="10"/>
        <v>0</v>
      </c>
      <c r="AS28" s="37">
        <f t="shared" si="10"/>
        <v>0</v>
      </c>
      <c r="AT28" s="37">
        <f t="shared" si="10"/>
        <v>0</v>
      </c>
      <c r="AU28" s="37">
        <f t="shared" si="10"/>
        <v>0</v>
      </c>
      <c r="AV28" s="37">
        <f t="shared" si="10"/>
        <v>0</v>
      </c>
      <c r="AW28" s="37">
        <f t="shared" si="10"/>
        <v>0</v>
      </c>
      <c r="AX28" s="37">
        <f t="shared" si="10"/>
        <v>0</v>
      </c>
      <c r="AY28" s="37" t="s">
        <v>168</v>
      </c>
    </row>
    <row r="29" spans="1:51" ht="120" customHeight="1" x14ac:dyDescent="0.3">
      <c r="A29" s="7" t="s">
        <v>110</v>
      </c>
      <c r="B29" s="8" t="s">
        <v>290</v>
      </c>
      <c r="C29" s="8" t="s">
        <v>177</v>
      </c>
      <c r="D29" s="8" t="s">
        <v>178</v>
      </c>
      <c r="E29" s="8"/>
      <c r="F29" s="8"/>
      <c r="G29" s="8"/>
      <c r="H29" s="8" t="s">
        <v>179</v>
      </c>
      <c r="I29" s="9" t="s">
        <v>180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37"/>
      <c r="AE29" s="37">
        <f>0</f>
        <v>0</v>
      </c>
      <c r="AF29" s="37">
        <f>0</f>
        <v>0</v>
      </c>
      <c r="AG29" s="37">
        <f>0</f>
        <v>0</v>
      </c>
      <c r="AH29" s="37">
        <f>0</f>
        <v>0</v>
      </c>
      <c r="AI29" s="37">
        <f>0</f>
        <v>0</v>
      </c>
      <c r="AJ29" s="37">
        <f>0</f>
        <v>0</v>
      </c>
      <c r="AK29" s="37">
        <f>0</f>
        <v>0</v>
      </c>
      <c r="AL29" s="37">
        <f>0</f>
        <v>0</v>
      </c>
      <c r="AM29" s="37">
        <f>0</f>
        <v>0</v>
      </c>
      <c r="AN29" s="37">
        <f>0</f>
        <v>0</v>
      </c>
      <c r="AO29" s="37">
        <f>0</f>
        <v>0</v>
      </c>
      <c r="AP29" s="37">
        <f>0</f>
        <v>0</v>
      </c>
      <c r="AQ29" s="37">
        <f>0</f>
        <v>0</v>
      </c>
      <c r="AR29" s="37">
        <f>0</f>
        <v>0</v>
      </c>
      <c r="AS29" s="37">
        <f>0</f>
        <v>0</v>
      </c>
      <c r="AT29" s="37">
        <f>0</f>
        <v>0</v>
      </c>
      <c r="AU29" s="37">
        <f>0</f>
        <v>0</v>
      </c>
      <c r="AV29" s="37">
        <f>0</f>
        <v>0</v>
      </c>
      <c r="AW29" s="37">
        <f>0</f>
        <v>0</v>
      </c>
      <c r="AX29" s="37">
        <f>0</f>
        <v>0</v>
      </c>
      <c r="AY29" s="37"/>
    </row>
    <row r="30" spans="1:51" ht="120" customHeight="1" x14ac:dyDescent="0.3">
      <c r="A30" s="7" t="s">
        <v>80</v>
      </c>
      <c r="B30" s="8" t="s">
        <v>291</v>
      </c>
      <c r="C30" s="8" t="s">
        <v>292</v>
      </c>
      <c r="D30" s="8" t="s">
        <v>293</v>
      </c>
      <c r="E30" s="8" t="s">
        <v>294</v>
      </c>
      <c r="F30" s="8" t="s">
        <v>295</v>
      </c>
      <c r="G30" s="8" t="s">
        <v>296</v>
      </c>
      <c r="H30" s="8" t="s">
        <v>165</v>
      </c>
      <c r="I30" s="9" t="s">
        <v>175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37" t="s">
        <v>167</v>
      </c>
      <c r="AE30" s="37">
        <f t="shared" ref="AE30:AX30" si="11">IF(COUNT(J30)=0,0,J30+3)</f>
        <v>0</v>
      </c>
      <c r="AF30" s="37">
        <f t="shared" si="11"/>
        <v>0</v>
      </c>
      <c r="AG30" s="37">
        <f t="shared" si="11"/>
        <v>0</v>
      </c>
      <c r="AH30" s="37">
        <f t="shared" si="11"/>
        <v>0</v>
      </c>
      <c r="AI30" s="37">
        <f t="shared" si="11"/>
        <v>0</v>
      </c>
      <c r="AJ30" s="37">
        <f t="shared" si="11"/>
        <v>0</v>
      </c>
      <c r="AK30" s="37">
        <f t="shared" si="11"/>
        <v>0</v>
      </c>
      <c r="AL30" s="37">
        <f t="shared" si="11"/>
        <v>0</v>
      </c>
      <c r="AM30" s="37">
        <f t="shared" si="11"/>
        <v>0</v>
      </c>
      <c r="AN30" s="37">
        <f t="shared" si="11"/>
        <v>0</v>
      </c>
      <c r="AO30" s="37">
        <f t="shared" si="11"/>
        <v>0</v>
      </c>
      <c r="AP30" s="37">
        <f t="shared" si="11"/>
        <v>0</v>
      </c>
      <c r="AQ30" s="37">
        <f t="shared" si="11"/>
        <v>0</v>
      </c>
      <c r="AR30" s="37">
        <f t="shared" si="11"/>
        <v>0</v>
      </c>
      <c r="AS30" s="37">
        <f t="shared" si="11"/>
        <v>0</v>
      </c>
      <c r="AT30" s="37">
        <f t="shared" si="11"/>
        <v>0</v>
      </c>
      <c r="AU30" s="37">
        <f t="shared" si="11"/>
        <v>0</v>
      </c>
      <c r="AV30" s="37">
        <f t="shared" si="11"/>
        <v>0</v>
      </c>
      <c r="AW30" s="37">
        <f t="shared" si="11"/>
        <v>0</v>
      </c>
      <c r="AX30" s="37">
        <f t="shared" si="11"/>
        <v>0</v>
      </c>
      <c r="AY30" s="37" t="s">
        <v>168</v>
      </c>
    </row>
    <row r="31" spans="1:51" ht="120" customHeight="1" x14ac:dyDescent="0.3">
      <c r="A31" s="7" t="s">
        <v>80</v>
      </c>
      <c r="B31" s="8" t="s">
        <v>297</v>
      </c>
      <c r="C31" s="8"/>
      <c r="D31" s="8"/>
      <c r="E31" s="8"/>
      <c r="F31" s="8"/>
      <c r="G31" s="8"/>
      <c r="H31" s="8" t="s">
        <v>252</v>
      </c>
      <c r="I31" s="9" t="s">
        <v>253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37"/>
      <c r="AE31" s="37">
        <f>0</f>
        <v>0</v>
      </c>
      <c r="AF31" s="37">
        <f>0</f>
        <v>0</v>
      </c>
      <c r="AG31" s="37">
        <f>0</f>
        <v>0</v>
      </c>
      <c r="AH31" s="37">
        <f>0</f>
        <v>0</v>
      </c>
      <c r="AI31" s="37">
        <f>0</f>
        <v>0</v>
      </c>
      <c r="AJ31" s="37">
        <f>0</f>
        <v>0</v>
      </c>
      <c r="AK31" s="37">
        <f>0</f>
        <v>0</v>
      </c>
      <c r="AL31" s="37">
        <f>0</f>
        <v>0</v>
      </c>
      <c r="AM31" s="37">
        <f>0</f>
        <v>0</v>
      </c>
      <c r="AN31" s="37">
        <f>0</f>
        <v>0</v>
      </c>
      <c r="AO31" s="37">
        <f>0</f>
        <v>0</v>
      </c>
      <c r="AP31" s="37">
        <f>0</f>
        <v>0</v>
      </c>
      <c r="AQ31" s="37">
        <f>0</f>
        <v>0</v>
      </c>
      <c r="AR31" s="37">
        <f>0</f>
        <v>0</v>
      </c>
      <c r="AS31" s="37">
        <f>0</f>
        <v>0</v>
      </c>
      <c r="AT31" s="37">
        <f>0</f>
        <v>0</v>
      </c>
      <c r="AU31" s="37">
        <f>0</f>
        <v>0</v>
      </c>
      <c r="AV31" s="37">
        <f>0</f>
        <v>0</v>
      </c>
      <c r="AW31" s="37">
        <f>0</f>
        <v>0</v>
      </c>
      <c r="AX31" s="37">
        <f>0</f>
        <v>0</v>
      </c>
      <c r="AY31" s="37" t="s">
        <v>168</v>
      </c>
    </row>
    <row r="32" spans="1:51" ht="120" customHeight="1" x14ac:dyDescent="0.3">
      <c r="A32" s="7" t="s">
        <v>80</v>
      </c>
      <c r="B32" s="8" t="s">
        <v>298</v>
      </c>
      <c r="C32" s="8" t="s">
        <v>299</v>
      </c>
      <c r="D32" s="8"/>
      <c r="E32" s="8"/>
      <c r="F32" s="8"/>
      <c r="G32" s="8"/>
      <c r="H32" s="8" t="s">
        <v>281</v>
      </c>
      <c r="I32" s="9" t="s">
        <v>101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37"/>
      <c r="AE32" s="37">
        <f>0</f>
        <v>0</v>
      </c>
      <c r="AF32" s="37">
        <f>0</f>
        <v>0</v>
      </c>
      <c r="AG32" s="37">
        <f>0</f>
        <v>0</v>
      </c>
      <c r="AH32" s="37">
        <f>0</f>
        <v>0</v>
      </c>
      <c r="AI32" s="37">
        <f>0</f>
        <v>0</v>
      </c>
      <c r="AJ32" s="37">
        <f>0</f>
        <v>0</v>
      </c>
      <c r="AK32" s="37">
        <f>0</f>
        <v>0</v>
      </c>
      <c r="AL32" s="37">
        <f>0</f>
        <v>0</v>
      </c>
      <c r="AM32" s="37">
        <f>0</f>
        <v>0</v>
      </c>
      <c r="AN32" s="37">
        <f>0</f>
        <v>0</v>
      </c>
      <c r="AO32" s="37">
        <f>0</f>
        <v>0</v>
      </c>
      <c r="AP32" s="37">
        <f>0</f>
        <v>0</v>
      </c>
      <c r="AQ32" s="37">
        <f>0</f>
        <v>0</v>
      </c>
      <c r="AR32" s="37">
        <f>0</f>
        <v>0</v>
      </c>
      <c r="AS32" s="37">
        <f>0</f>
        <v>0</v>
      </c>
      <c r="AT32" s="37">
        <f>0</f>
        <v>0</v>
      </c>
      <c r="AU32" s="37">
        <f>0</f>
        <v>0</v>
      </c>
      <c r="AV32" s="37">
        <f>0</f>
        <v>0</v>
      </c>
      <c r="AW32" s="37">
        <f>0</f>
        <v>0</v>
      </c>
      <c r="AX32" s="37">
        <f>0</f>
        <v>0</v>
      </c>
      <c r="AY32" s="37"/>
    </row>
    <row r="33" spans="1:51" ht="120" customHeight="1" x14ac:dyDescent="0.3">
      <c r="A33" s="7" t="s">
        <v>80</v>
      </c>
      <c r="B33" s="8" t="s">
        <v>300</v>
      </c>
      <c r="C33" s="8"/>
      <c r="D33" s="8"/>
      <c r="E33" s="8"/>
      <c r="F33" s="8"/>
      <c r="G33" s="8"/>
      <c r="H33" s="8" t="s">
        <v>252</v>
      </c>
      <c r="I33" s="9" t="s">
        <v>253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37"/>
      <c r="AE33" s="37">
        <f>0</f>
        <v>0</v>
      </c>
      <c r="AF33" s="37">
        <f>0</f>
        <v>0</v>
      </c>
      <c r="AG33" s="37">
        <f>0</f>
        <v>0</v>
      </c>
      <c r="AH33" s="37">
        <f>0</f>
        <v>0</v>
      </c>
      <c r="AI33" s="37">
        <f>0</f>
        <v>0</v>
      </c>
      <c r="AJ33" s="37">
        <f>0</f>
        <v>0</v>
      </c>
      <c r="AK33" s="37">
        <f>0</f>
        <v>0</v>
      </c>
      <c r="AL33" s="37">
        <f>0</f>
        <v>0</v>
      </c>
      <c r="AM33" s="37">
        <f>0</f>
        <v>0</v>
      </c>
      <c r="AN33" s="37">
        <f>0</f>
        <v>0</v>
      </c>
      <c r="AO33" s="37">
        <f>0</f>
        <v>0</v>
      </c>
      <c r="AP33" s="37">
        <f>0</f>
        <v>0</v>
      </c>
      <c r="AQ33" s="37">
        <f>0</f>
        <v>0</v>
      </c>
      <c r="AR33" s="37">
        <f>0</f>
        <v>0</v>
      </c>
      <c r="AS33" s="37">
        <f>0</f>
        <v>0</v>
      </c>
      <c r="AT33" s="37">
        <f>0</f>
        <v>0</v>
      </c>
      <c r="AU33" s="37">
        <f>0</f>
        <v>0</v>
      </c>
      <c r="AV33" s="37">
        <f>0</f>
        <v>0</v>
      </c>
      <c r="AW33" s="37">
        <f>0</f>
        <v>0</v>
      </c>
      <c r="AX33" s="37">
        <f>0</f>
        <v>0</v>
      </c>
      <c r="AY33" s="37"/>
    </row>
    <row r="34" spans="1:51" ht="120" customHeight="1" x14ac:dyDescent="0.3">
      <c r="A34" s="7" t="s">
        <v>110</v>
      </c>
      <c r="B34" s="8" t="s">
        <v>301</v>
      </c>
      <c r="C34" s="8" t="s">
        <v>292</v>
      </c>
      <c r="D34" s="8" t="s">
        <v>293</v>
      </c>
      <c r="E34" s="8" t="s">
        <v>294</v>
      </c>
      <c r="F34" s="8" t="s">
        <v>295</v>
      </c>
      <c r="G34" s="8" t="s">
        <v>296</v>
      </c>
      <c r="H34" s="8" t="s">
        <v>288</v>
      </c>
      <c r="I34" s="9" t="s">
        <v>175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37" t="s">
        <v>289</v>
      </c>
      <c r="AE34" s="37">
        <f t="shared" ref="AE34:AX34" si="12">IF(COUNT(J34)=0,0,J34+3)</f>
        <v>0</v>
      </c>
      <c r="AF34" s="37">
        <f t="shared" si="12"/>
        <v>0</v>
      </c>
      <c r="AG34" s="37">
        <f t="shared" si="12"/>
        <v>0</v>
      </c>
      <c r="AH34" s="37">
        <f t="shared" si="12"/>
        <v>0</v>
      </c>
      <c r="AI34" s="37">
        <f t="shared" si="12"/>
        <v>0</v>
      </c>
      <c r="AJ34" s="37">
        <f t="shared" si="12"/>
        <v>0</v>
      </c>
      <c r="AK34" s="37">
        <f t="shared" si="12"/>
        <v>0</v>
      </c>
      <c r="AL34" s="37">
        <f t="shared" si="12"/>
        <v>0</v>
      </c>
      <c r="AM34" s="37">
        <f t="shared" si="12"/>
        <v>0</v>
      </c>
      <c r="AN34" s="37">
        <f t="shared" si="12"/>
        <v>0</v>
      </c>
      <c r="AO34" s="37">
        <f t="shared" si="12"/>
        <v>0</v>
      </c>
      <c r="AP34" s="37">
        <f t="shared" si="12"/>
        <v>0</v>
      </c>
      <c r="AQ34" s="37">
        <f t="shared" si="12"/>
        <v>0</v>
      </c>
      <c r="AR34" s="37">
        <f t="shared" si="12"/>
        <v>0</v>
      </c>
      <c r="AS34" s="37">
        <f t="shared" si="12"/>
        <v>0</v>
      </c>
      <c r="AT34" s="37">
        <f t="shared" si="12"/>
        <v>0</v>
      </c>
      <c r="AU34" s="37">
        <f t="shared" si="12"/>
        <v>0</v>
      </c>
      <c r="AV34" s="37">
        <f t="shared" si="12"/>
        <v>0</v>
      </c>
      <c r="AW34" s="37">
        <f t="shared" si="12"/>
        <v>0</v>
      </c>
      <c r="AX34" s="37">
        <f t="shared" si="12"/>
        <v>0</v>
      </c>
      <c r="AY34" s="37" t="s">
        <v>168</v>
      </c>
    </row>
    <row r="35" spans="1:51" ht="120" customHeight="1" x14ac:dyDescent="0.3">
      <c r="A35" s="7" t="s">
        <v>110</v>
      </c>
      <c r="B35" s="8" t="s">
        <v>302</v>
      </c>
      <c r="C35" s="8"/>
      <c r="D35" s="8"/>
      <c r="E35" s="8"/>
      <c r="F35" s="8"/>
      <c r="G35" s="8"/>
      <c r="H35" s="8" t="s">
        <v>252</v>
      </c>
      <c r="I35" s="9" t="s">
        <v>253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37"/>
      <c r="AE35" s="37">
        <f>0</f>
        <v>0</v>
      </c>
      <c r="AF35" s="37">
        <f>0</f>
        <v>0</v>
      </c>
      <c r="AG35" s="37">
        <f>0</f>
        <v>0</v>
      </c>
      <c r="AH35" s="37">
        <f>0</f>
        <v>0</v>
      </c>
      <c r="AI35" s="37">
        <f>0</f>
        <v>0</v>
      </c>
      <c r="AJ35" s="37">
        <f>0</f>
        <v>0</v>
      </c>
      <c r="AK35" s="37">
        <f>0</f>
        <v>0</v>
      </c>
      <c r="AL35" s="37">
        <f>0</f>
        <v>0</v>
      </c>
      <c r="AM35" s="37">
        <f>0</f>
        <v>0</v>
      </c>
      <c r="AN35" s="37">
        <f>0</f>
        <v>0</v>
      </c>
      <c r="AO35" s="37">
        <f>0</f>
        <v>0</v>
      </c>
      <c r="AP35" s="37">
        <f>0</f>
        <v>0</v>
      </c>
      <c r="AQ35" s="37">
        <f>0</f>
        <v>0</v>
      </c>
      <c r="AR35" s="37">
        <f>0</f>
        <v>0</v>
      </c>
      <c r="AS35" s="37">
        <f>0</f>
        <v>0</v>
      </c>
      <c r="AT35" s="37">
        <f>0</f>
        <v>0</v>
      </c>
      <c r="AU35" s="37">
        <f>0</f>
        <v>0</v>
      </c>
      <c r="AV35" s="37">
        <f>0</f>
        <v>0</v>
      </c>
      <c r="AW35" s="37">
        <f>0</f>
        <v>0</v>
      </c>
      <c r="AX35" s="37">
        <f>0</f>
        <v>0</v>
      </c>
      <c r="AY35" s="37" t="s">
        <v>168</v>
      </c>
    </row>
    <row r="36" spans="1:51" ht="120" customHeight="1" x14ac:dyDescent="0.3">
      <c r="A36" s="7" t="s">
        <v>108</v>
      </c>
      <c r="B36" s="8" t="s">
        <v>303</v>
      </c>
      <c r="C36" s="8" t="s">
        <v>304</v>
      </c>
      <c r="D36" s="8"/>
      <c r="E36" s="8"/>
      <c r="F36" s="8"/>
      <c r="G36" s="8"/>
      <c r="H36" s="8" t="s">
        <v>281</v>
      </c>
      <c r="I36" s="9" t="s">
        <v>101</v>
      </c>
      <c r="J36" s="10" t="str">
        <f t="shared" ref="J36:AC36" si="13">IF(COUNT(J39,J41,J43)&lt;3,"",IF(J39&lt;=1,1,0)+IF(J41&lt;=1,1,0)+IF(J43&lt;=1,1,0))</f>
        <v/>
      </c>
      <c r="K36" s="10" t="str">
        <f t="shared" si="13"/>
        <v/>
      </c>
      <c r="L36" s="10" t="str">
        <f t="shared" si="13"/>
        <v/>
      </c>
      <c r="M36" s="10" t="str">
        <f t="shared" si="13"/>
        <v/>
      </c>
      <c r="N36" s="10" t="str">
        <f t="shared" si="13"/>
        <v/>
      </c>
      <c r="O36" s="10" t="str">
        <f t="shared" si="13"/>
        <v/>
      </c>
      <c r="P36" s="10" t="str">
        <f t="shared" si="13"/>
        <v/>
      </c>
      <c r="Q36" s="10" t="str">
        <f t="shared" si="13"/>
        <v/>
      </c>
      <c r="R36" s="10" t="str">
        <f t="shared" si="13"/>
        <v/>
      </c>
      <c r="S36" s="10" t="str">
        <f t="shared" si="13"/>
        <v/>
      </c>
      <c r="T36" s="10" t="str">
        <f t="shared" si="13"/>
        <v/>
      </c>
      <c r="U36" s="10" t="str">
        <f t="shared" si="13"/>
        <v/>
      </c>
      <c r="V36" s="10" t="str">
        <f t="shared" si="13"/>
        <v/>
      </c>
      <c r="W36" s="10" t="str">
        <f t="shared" si="13"/>
        <v/>
      </c>
      <c r="X36" s="10" t="str">
        <f t="shared" si="13"/>
        <v/>
      </c>
      <c r="Y36" s="10" t="str">
        <f t="shared" si="13"/>
        <v/>
      </c>
      <c r="Z36" s="10" t="str">
        <f t="shared" si="13"/>
        <v/>
      </c>
      <c r="AA36" s="10" t="str">
        <f t="shared" si="13"/>
        <v/>
      </c>
      <c r="AB36" s="10" t="str">
        <f t="shared" si="13"/>
        <v/>
      </c>
      <c r="AC36" s="10" t="str">
        <f t="shared" si="13"/>
        <v/>
      </c>
      <c r="AD36" s="37"/>
      <c r="AE36" s="37">
        <f>0</f>
        <v>0</v>
      </c>
      <c r="AF36" s="37">
        <f>0</f>
        <v>0</v>
      </c>
      <c r="AG36" s="37">
        <f>0</f>
        <v>0</v>
      </c>
      <c r="AH36" s="37">
        <f>0</f>
        <v>0</v>
      </c>
      <c r="AI36" s="37">
        <f>0</f>
        <v>0</v>
      </c>
      <c r="AJ36" s="37">
        <f>0</f>
        <v>0</v>
      </c>
      <c r="AK36" s="37">
        <f>0</f>
        <v>0</v>
      </c>
      <c r="AL36" s="37">
        <f>0</f>
        <v>0</v>
      </c>
      <c r="AM36" s="37">
        <f>0</f>
        <v>0</v>
      </c>
      <c r="AN36" s="37">
        <f>0</f>
        <v>0</v>
      </c>
      <c r="AO36" s="37">
        <f>0</f>
        <v>0</v>
      </c>
      <c r="AP36" s="37">
        <f>0</f>
        <v>0</v>
      </c>
      <c r="AQ36" s="37">
        <f>0</f>
        <v>0</v>
      </c>
      <c r="AR36" s="37">
        <f>0</f>
        <v>0</v>
      </c>
      <c r="AS36" s="37">
        <f>0</f>
        <v>0</v>
      </c>
      <c r="AT36" s="37">
        <f>0</f>
        <v>0</v>
      </c>
      <c r="AU36" s="37">
        <f>0</f>
        <v>0</v>
      </c>
      <c r="AV36" s="37">
        <f>0</f>
        <v>0</v>
      </c>
      <c r="AW36" s="37">
        <f>0</f>
        <v>0</v>
      </c>
      <c r="AX36" s="37">
        <f>0</f>
        <v>0</v>
      </c>
      <c r="AY36" s="37"/>
    </row>
    <row r="37" spans="1:51" ht="120" customHeight="1" x14ac:dyDescent="0.3">
      <c r="A37" s="7" t="s">
        <v>108</v>
      </c>
      <c r="B37" s="8" t="s">
        <v>305</v>
      </c>
      <c r="C37" s="8" t="s">
        <v>306</v>
      </c>
      <c r="D37" s="8"/>
      <c r="E37" s="8"/>
      <c r="F37" s="8"/>
      <c r="G37" s="8"/>
      <c r="H37" s="8" t="s">
        <v>281</v>
      </c>
      <c r="I37" s="9" t="s">
        <v>101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37"/>
      <c r="AE37" s="37">
        <f>0</f>
        <v>0</v>
      </c>
      <c r="AF37" s="37">
        <f>0</f>
        <v>0</v>
      </c>
      <c r="AG37" s="37">
        <f>0</f>
        <v>0</v>
      </c>
      <c r="AH37" s="37">
        <f>0</f>
        <v>0</v>
      </c>
      <c r="AI37" s="37">
        <f>0</f>
        <v>0</v>
      </c>
      <c r="AJ37" s="37">
        <f>0</f>
        <v>0</v>
      </c>
      <c r="AK37" s="37">
        <f>0</f>
        <v>0</v>
      </c>
      <c r="AL37" s="37">
        <f>0</f>
        <v>0</v>
      </c>
      <c r="AM37" s="37">
        <f>0</f>
        <v>0</v>
      </c>
      <c r="AN37" s="37">
        <f>0</f>
        <v>0</v>
      </c>
      <c r="AO37" s="37">
        <f>0</f>
        <v>0</v>
      </c>
      <c r="AP37" s="37">
        <f>0</f>
        <v>0</v>
      </c>
      <c r="AQ37" s="37">
        <f>0</f>
        <v>0</v>
      </c>
      <c r="AR37" s="37">
        <f>0</f>
        <v>0</v>
      </c>
      <c r="AS37" s="37">
        <f>0</f>
        <v>0</v>
      </c>
      <c r="AT37" s="37">
        <f>0</f>
        <v>0</v>
      </c>
      <c r="AU37" s="37">
        <f>0</f>
        <v>0</v>
      </c>
      <c r="AV37" s="37">
        <f>0</f>
        <v>0</v>
      </c>
      <c r="AW37" s="37">
        <f>0</f>
        <v>0</v>
      </c>
      <c r="AX37" s="37">
        <f>0</f>
        <v>0</v>
      </c>
      <c r="AY37" s="37"/>
    </row>
    <row r="38" spans="1:51" ht="120" customHeight="1" x14ac:dyDescent="0.3">
      <c r="A38" s="7" t="s">
        <v>108</v>
      </c>
      <c r="B38" s="8" t="s">
        <v>307</v>
      </c>
      <c r="C38" s="8" t="s">
        <v>306</v>
      </c>
      <c r="D38" s="8"/>
      <c r="E38" s="8"/>
      <c r="F38" s="8"/>
      <c r="G38" s="8"/>
      <c r="H38" s="8" t="s">
        <v>281</v>
      </c>
      <c r="I38" s="9" t="s">
        <v>101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37"/>
      <c r="AE38" s="37">
        <f>0</f>
        <v>0</v>
      </c>
      <c r="AF38" s="37">
        <f>0</f>
        <v>0</v>
      </c>
      <c r="AG38" s="37">
        <f>0</f>
        <v>0</v>
      </c>
      <c r="AH38" s="37">
        <f>0</f>
        <v>0</v>
      </c>
      <c r="AI38" s="37">
        <f>0</f>
        <v>0</v>
      </c>
      <c r="AJ38" s="37">
        <f>0</f>
        <v>0</v>
      </c>
      <c r="AK38" s="37">
        <f>0</f>
        <v>0</v>
      </c>
      <c r="AL38" s="37">
        <f>0</f>
        <v>0</v>
      </c>
      <c r="AM38" s="37">
        <f>0</f>
        <v>0</v>
      </c>
      <c r="AN38" s="37">
        <f>0</f>
        <v>0</v>
      </c>
      <c r="AO38" s="37">
        <f>0</f>
        <v>0</v>
      </c>
      <c r="AP38" s="37">
        <f>0</f>
        <v>0</v>
      </c>
      <c r="AQ38" s="37">
        <f>0</f>
        <v>0</v>
      </c>
      <c r="AR38" s="37">
        <f>0</f>
        <v>0</v>
      </c>
      <c r="AS38" s="37">
        <f>0</f>
        <v>0</v>
      </c>
      <c r="AT38" s="37">
        <f>0</f>
        <v>0</v>
      </c>
      <c r="AU38" s="37">
        <f>0</f>
        <v>0</v>
      </c>
      <c r="AV38" s="37">
        <f>0</f>
        <v>0</v>
      </c>
      <c r="AW38" s="37">
        <f>0</f>
        <v>0</v>
      </c>
      <c r="AX38" s="37">
        <f>0</f>
        <v>0</v>
      </c>
      <c r="AY38" s="37"/>
    </row>
    <row r="39" spans="1:51" ht="120" customHeight="1" x14ac:dyDescent="0.3">
      <c r="A39" s="7" t="s">
        <v>108</v>
      </c>
      <c r="B39" s="8" t="s">
        <v>308</v>
      </c>
      <c r="C39" s="8" t="s">
        <v>306</v>
      </c>
      <c r="D39" s="8"/>
      <c r="E39" s="8"/>
      <c r="F39" s="8"/>
      <c r="G39" s="8"/>
      <c r="H39" s="8" t="s">
        <v>281</v>
      </c>
      <c r="I39" s="9" t="s">
        <v>101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37"/>
      <c r="AE39" s="37">
        <f>0</f>
        <v>0</v>
      </c>
      <c r="AF39" s="37">
        <f>0</f>
        <v>0</v>
      </c>
      <c r="AG39" s="37">
        <f>0</f>
        <v>0</v>
      </c>
      <c r="AH39" s="37">
        <f>0</f>
        <v>0</v>
      </c>
      <c r="AI39" s="37">
        <f>0</f>
        <v>0</v>
      </c>
      <c r="AJ39" s="37">
        <f>0</f>
        <v>0</v>
      </c>
      <c r="AK39" s="37">
        <f>0</f>
        <v>0</v>
      </c>
      <c r="AL39" s="37">
        <f>0</f>
        <v>0</v>
      </c>
      <c r="AM39" s="37">
        <f>0</f>
        <v>0</v>
      </c>
      <c r="AN39" s="37">
        <f>0</f>
        <v>0</v>
      </c>
      <c r="AO39" s="37">
        <f>0</f>
        <v>0</v>
      </c>
      <c r="AP39" s="37">
        <f>0</f>
        <v>0</v>
      </c>
      <c r="AQ39" s="37">
        <f>0</f>
        <v>0</v>
      </c>
      <c r="AR39" s="37">
        <f>0</f>
        <v>0</v>
      </c>
      <c r="AS39" s="37">
        <f>0</f>
        <v>0</v>
      </c>
      <c r="AT39" s="37">
        <f>0</f>
        <v>0</v>
      </c>
      <c r="AU39" s="37">
        <f>0</f>
        <v>0</v>
      </c>
      <c r="AV39" s="37">
        <f>0</f>
        <v>0</v>
      </c>
      <c r="AW39" s="37">
        <f>0</f>
        <v>0</v>
      </c>
      <c r="AX39" s="37">
        <f>0</f>
        <v>0</v>
      </c>
      <c r="AY39" s="37"/>
    </row>
    <row r="40" spans="1:51" ht="120" customHeight="1" x14ac:dyDescent="0.3">
      <c r="A40" s="7" t="s">
        <v>108</v>
      </c>
      <c r="B40" s="8" t="s">
        <v>309</v>
      </c>
      <c r="C40" s="8" t="s">
        <v>306</v>
      </c>
      <c r="D40" s="8"/>
      <c r="E40" s="8"/>
      <c r="F40" s="8"/>
      <c r="G40" s="8"/>
      <c r="H40" s="8" t="s">
        <v>281</v>
      </c>
      <c r="I40" s="9" t="s">
        <v>101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37"/>
      <c r="AE40" s="37">
        <f>0</f>
        <v>0</v>
      </c>
      <c r="AF40" s="37">
        <f>0</f>
        <v>0</v>
      </c>
      <c r="AG40" s="37">
        <f>0</f>
        <v>0</v>
      </c>
      <c r="AH40" s="37">
        <f>0</f>
        <v>0</v>
      </c>
      <c r="AI40" s="37">
        <f>0</f>
        <v>0</v>
      </c>
      <c r="AJ40" s="37">
        <f>0</f>
        <v>0</v>
      </c>
      <c r="AK40" s="37">
        <f>0</f>
        <v>0</v>
      </c>
      <c r="AL40" s="37">
        <f>0</f>
        <v>0</v>
      </c>
      <c r="AM40" s="37">
        <f>0</f>
        <v>0</v>
      </c>
      <c r="AN40" s="37">
        <f>0</f>
        <v>0</v>
      </c>
      <c r="AO40" s="37">
        <f>0</f>
        <v>0</v>
      </c>
      <c r="AP40" s="37">
        <f>0</f>
        <v>0</v>
      </c>
      <c r="AQ40" s="37">
        <f>0</f>
        <v>0</v>
      </c>
      <c r="AR40" s="37">
        <f>0</f>
        <v>0</v>
      </c>
      <c r="AS40" s="37">
        <f>0</f>
        <v>0</v>
      </c>
      <c r="AT40" s="37">
        <f>0</f>
        <v>0</v>
      </c>
      <c r="AU40" s="37">
        <f>0</f>
        <v>0</v>
      </c>
      <c r="AV40" s="37">
        <f>0</f>
        <v>0</v>
      </c>
      <c r="AW40" s="37">
        <f>0</f>
        <v>0</v>
      </c>
      <c r="AX40" s="37">
        <f>0</f>
        <v>0</v>
      </c>
      <c r="AY40" s="37"/>
    </row>
    <row r="41" spans="1:51" ht="120" customHeight="1" x14ac:dyDescent="0.3">
      <c r="A41" s="7" t="s">
        <v>108</v>
      </c>
      <c r="B41" s="8" t="s">
        <v>310</v>
      </c>
      <c r="C41" s="8" t="s">
        <v>306</v>
      </c>
      <c r="D41" s="8"/>
      <c r="E41" s="8"/>
      <c r="F41" s="8"/>
      <c r="G41" s="8"/>
      <c r="H41" s="8" t="s">
        <v>281</v>
      </c>
      <c r="I41" s="9" t="s">
        <v>101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37"/>
      <c r="AE41" s="37">
        <f>0</f>
        <v>0</v>
      </c>
      <c r="AF41" s="37">
        <f>0</f>
        <v>0</v>
      </c>
      <c r="AG41" s="37">
        <f>0</f>
        <v>0</v>
      </c>
      <c r="AH41" s="37">
        <f>0</f>
        <v>0</v>
      </c>
      <c r="AI41" s="37">
        <f>0</f>
        <v>0</v>
      </c>
      <c r="AJ41" s="37">
        <f>0</f>
        <v>0</v>
      </c>
      <c r="AK41" s="37">
        <f>0</f>
        <v>0</v>
      </c>
      <c r="AL41" s="37">
        <f>0</f>
        <v>0</v>
      </c>
      <c r="AM41" s="37">
        <f>0</f>
        <v>0</v>
      </c>
      <c r="AN41" s="37">
        <f>0</f>
        <v>0</v>
      </c>
      <c r="AO41" s="37">
        <f>0</f>
        <v>0</v>
      </c>
      <c r="AP41" s="37">
        <f>0</f>
        <v>0</v>
      </c>
      <c r="AQ41" s="37">
        <f>0</f>
        <v>0</v>
      </c>
      <c r="AR41" s="37">
        <f>0</f>
        <v>0</v>
      </c>
      <c r="AS41" s="37">
        <f>0</f>
        <v>0</v>
      </c>
      <c r="AT41" s="37">
        <f>0</f>
        <v>0</v>
      </c>
      <c r="AU41" s="37">
        <f>0</f>
        <v>0</v>
      </c>
      <c r="AV41" s="37">
        <f>0</f>
        <v>0</v>
      </c>
      <c r="AW41" s="37">
        <f>0</f>
        <v>0</v>
      </c>
      <c r="AX41" s="37">
        <f>0</f>
        <v>0</v>
      </c>
      <c r="AY41" s="37"/>
    </row>
    <row r="42" spans="1:51" ht="120" customHeight="1" x14ac:dyDescent="0.3">
      <c r="A42" s="7" t="s">
        <v>108</v>
      </c>
      <c r="B42" s="8" t="s">
        <v>311</v>
      </c>
      <c r="C42" s="8" t="s">
        <v>306</v>
      </c>
      <c r="D42" s="8"/>
      <c r="E42" s="8"/>
      <c r="F42" s="8"/>
      <c r="G42" s="8"/>
      <c r="H42" s="8" t="s">
        <v>281</v>
      </c>
      <c r="I42" s="9" t="s">
        <v>101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37"/>
      <c r="AE42" s="37">
        <f>0</f>
        <v>0</v>
      </c>
      <c r="AF42" s="37">
        <f>0</f>
        <v>0</v>
      </c>
      <c r="AG42" s="37">
        <f>0</f>
        <v>0</v>
      </c>
      <c r="AH42" s="37">
        <f>0</f>
        <v>0</v>
      </c>
      <c r="AI42" s="37">
        <f>0</f>
        <v>0</v>
      </c>
      <c r="AJ42" s="37">
        <f>0</f>
        <v>0</v>
      </c>
      <c r="AK42" s="37">
        <f>0</f>
        <v>0</v>
      </c>
      <c r="AL42" s="37">
        <f>0</f>
        <v>0</v>
      </c>
      <c r="AM42" s="37">
        <f>0</f>
        <v>0</v>
      </c>
      <c r="AN42" s="37">
        <f>0</f>
        <v>0</v>
      </c>
      <c r="AO42" s="37">
        <f>0</f>
        <v>0</v>
      </c>
      <c r="AP42" s="37">
        <f>0</f>
        <v>0</v>
      </c>
      <c r="AQ42" s="37">
        <f>0</f>
        <v>0</v>
      </c>
      <c r="AR42" s="37">
        <f>0</f>
        <v>0</v>
      </c>
      <c r="AS42" s="37">
        <f>0</f>
        <v>0</v>
      </c>
      <c r="AT42" s="37">
        <f>0</f>
        <v>0</v>
      </c>
      <c r="AU42" s="37">
        <f>0</f>
        <v>0</v>
      </c>
      <c r="AV42" s="37">
        <f>0</f>
        <v>0</v>
      </c>
      <c r="AW42" s="37">
        <f>0</f>
        <v>0</v>
      </c>
      <c r="AX42" s="37">
        <f>0</f>
        <v>0</v>
      </c>
      <c r="AY42" s="37"/>
    </row>
    <row r="43" spans="1:51" ht="120" customHeight="1" x14ac:dyDescent="0.3">
      <c r="A43" s="7" t="s">
        <v>108</v>
      </c>
      <c r="B43" s="8" t="s">
        <v>312</v>
      </c>
      <c r="C43" s="8" t="s">
        <v>306</v>
      </c>
      <c r="D43" s="8"/>
      <c r="E43" s="8"/>
      <c r="F43" s="8"/>
      <c r="G43" s="8"/>
      <c r="H43" s="8" t="s">
        <v>281</v>
      </c>
      <c r="I43" s="9" t="s">
        <v>101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37"/>
      <c r="AE43" s="37">
        <f>0</f>
        <v>0</v>
      </c>
      <c r="AF43" s="37">
        <f>0</f>
        <v>0</v>
      </c>
      <c r="AG43" s="37">
        <f>0</f>
        <v>0</v>
      </c>
      <c r="AH43" s="37">
        <f>0</f>
        <v>0</v>
      </c>
      <c r="AI43" s="37">
        <f>0</f>
        <v>0</v>
      </c>
      <c r="AJ43" s="37">
        <f>0</f>
        <v>0</v>
      </c>
      <c r="AK43" s="37">
        <f>0</f>
        <v>0</v>
      </c>
      <c r="AL43" s="37">
        <f>0</f>
        <v>0</v>
      </c>
      <c r="AM43" s="37">
        <f>0</f>
        <v>0</v>
      </c>
      <c r="AN43" s="37">
        <f>0</f>
        <v>0</v>
      </c>
      <c r="AO43" s="37">
        <f>0</f>
        <v>0</v>
      </c>
      <c r="AP43" s="37">
        <f>0</f>
        <v>0</v>
      </c>
      <c r="AQ43" s="37">
        <f>0</f>
        <v>0</v>
      </c>
      <c r="AR43" s="37">
        <f>0</f>
        <v>0</v>
      </c>
      <c r="AS43" s="37">
        <f>0</f>
        <v>0</v>
      </c>
      <c r="AT43" s="37">
        <f>0</f>
        <v>0</v>
      </c>
      <c r="AU43" s="37">
        <f>0</f>
        <v>0</v>
      </c>
      <c r="AV43" s="37">
        <f>0</f>
        <v>0</v>
      </c>
      <c r="AW43" s="37">
        <f>0</f>
        <v>0</v>
      </c>
      <c r="AX43" s="37">
        <f>0</f>
        <v>0</v>
      </c>
      <c r="AY43" s="37"/>
    </row>
    <row r="44" spans="1:51" ht="120" customHeight="1" x14ac:dyDescent="0.3">
      <c r="A44" s="7" t="s">
        <v>129</v>
      </c>
      <c r="B44" s="8" t="s">
        <v>313</v>
      </c>
      <c r="C44" s="8" t="s">
        <v>314</v>
      </c>
      <c r="D44" s="8" t="s">
        <v>315</v>
      </c>
      <c r="E44" s="8" t="s">
        <v>316</v>
      </c>
      <c r="F44" s="8" t="s">
        <v>317</v>
      </c>
      <c r="G44" s="8" t="s">
        <v>318</v>
      </c>
      <c r="H44" s="8" t="s">
        <v>243</v>
      </c>
      <c r="I44" s="9" t="s">
        <v>188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37" t="s">
        <v>197</v>
      </c>
      <c r="AE44" s="37">
        <f t="shared" ref="AE44:AX44" si="14">IF(COUNT(J44)=0,0,J44+3)</f>
        <v>0</v>
      </c>
      <c r="AF44" s="37">
        <f t="shared" si="14"/>
        <v>0</v>
      </c>
      <c r="AG44" s="37">
        <f t="shared" si="14"/>
        <v>0</v>
      </c>
      <c r="AH44" s="37">
        <f t="shared" si="14"/>
        <v>0</v>
      </c>
      <c r="AI44" s="37">
        <f t="shared" si="14"/>
        <v>0</v>
      </c>
      <c r="AJ44" s="37">
        <f t="shared" si="14"/>
        <v>0</v>
      </c>
      <c r="AK44" s="37">
        <f t="shared" si="14"/>
        <v>0</v>
      </c>
      <c r="AL44" s="37">
        <f t="shared" si="14"/>
        <v>0</v>
      </c>
      <c r="AM44" s="37">
        <f t="shared" si="14"/>
        <v>0</v>
      </c>
      <c r="AN44" s="37">
        <f t="shared" si="14"/>
        <v>0</v>
      </c>
      <c r="AO44" s="37">
        <f t="shared" si="14"/>
        <v>0</v>
      </c>
      <c r="AP44" s="37">
        <f t="shared" si="14"/>
        <v>0</v>
      </c>
      <c r="AQ44" s="37">
        <f t="shared" si="14"/>
        <v>0</v>
      </c>
      <c r="AR44" s="37">
        <f t="shared" si="14"/>
        <v>0</v>
      </c>
      <c r="AS44" s="37">
        <f t="shared" si="14"/>
        <v>0</v>
      </c>
      <c r="AT44" s="37">
        <f t="shared" si="14"/>
        <v>0</v>
      </c>
      <c r="AU44" s="37">
        <f t="shared" si="14"/>
        <v>0</v>
      </c>
      <c r="AV44" s="37">
        <f t="shared" si="14"/>
        <v>0</v>
      </c>
      <c r="AW44" s="37">
        <f t="shared" si="14"/>
        <v>0</v>
      </c>
      <c r="AX44" s="37">
        <f t="shared" si="14"/>
        <v>0</v>
      </c>
      <c r="AY44" s="37" t="s">
        <v>168</v>
      </c>
    </row>
    <row r="45" spans="1:51" ht="120" customHeight="1" x14ac:dyDescent="0.3">
      <c r="A45" s="7" t="s">
        <v>80</v>
      </c>
      <c r="B45" s="8" t="s">
        <v>319</v>
      </c>
      <c r="C45" s="8" t="s">
        <v>320</v>
      </c>
      <c r="D45" s="8" t="s">
        <v>321</v>
      </c>
      <c r="E45" s="8" t="s">
        <v>322</v>
      </c>
      <c r="F45" s="8" t="s">
        <v>323</v>
      </c>
      <c r="G45" s="8" t="s">
        <v>324</v>
      </c>
      <c r="H45" s="8" t="s">
        <v>325</v>
      </c>
      <c r="I45" s="9" t="s">
        <v>101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37"/>
      <c r="AE45" s="37">
        <f>0</f>
        <v>0</v>
      </c>
      <c r="AF45" s="37">
        <f>0</f>
        <v>0</v>
      </c>
      <c r="AG45" s="37">
        <f>0</f>
        <v>0</v>
      </c>
      <c r="AH45" s="37">
        <f>0</f>
        <v>0</v>
      </c>
      <c r="AI45" s="37">
        <f>0</f>
        <v>0</v>
      </c>
      <c r="AJ45" s="37">
        <f>0</f>
        <v>0</v>
      </c>
      <c r="AK45" s="37">
        <f>0</f>
        <v>0</v>
      </c>
      <c r="AL45" s="37">
        <f>0</f>
        <v>0</v>
      </c>
      <c r="AM45" s="37">
        <f>0</f>
        <v>0</v>
      </c>
      <c r="AN45" s="37">
        <f>0</f>
        <v>0</v>
      </c>
      <c r="AO45" s="37">
        <f>0</f>
        <v>0</v>
      </c>
      <c r="AP45" s="37">
        <f>0</f>
        <v>0</v>
      </c>
      <c r="AQ45" s="37">
        <f>0</f>
        <v>0</v>
      </c>
      <c r="AR45" s="37">
        <f>0</f>
        <v>0</v>
      </c>
      <c r="AS45" s="37">
        <f>0</f>
        <v>0</v>
      </c>
      <c r="AT45" s="37">
        <f>0</f>
        <v>0</v>
      </c>
      <c r="AU45" s="37">
        <f>0</f>
        <v>0</v>
      </c>
      <c r="AV45" s="37">
        <f>0</f>
        <v>0</v>
      </c>
      <c r="AW45" s="37">
        <f>0</f>
        <v>0</v>
      </c>
      <c r="AX45" s="37">
        <f>0</f>
        <v>0</v>
      </c>
      <c r="AY45" s="37"/>
    </row>
    <row r="46" spans="1:51" ht="120" customHeight="1" x14ac:dyDescent="0.3">
      <c r="A46" s="7" t="s">
        <v>110</v>
      </c>
      <c r="B46" s="8" t="s">
        <v>326</v>
      </c>
      <c r="C46" s="8" t="s">
        <v>320</v>
      </c>
      <c r="D46" s="8" t="s">
        <v>321</v>
      </c>
      <c r="E46" s="8" t="s">
        <v>322</v>
      </c>
      <c r="F46" s="8" t="s">
        <v>323</v>
      </c>
      <c r="G46" s="8" t="s">
        <v>324</v>
      </c>
      <c r="H46" s="8" t="s">
        <v>325</v>
      </c>
      <c r="I46" s="9" t="s">
        <v>101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37"/>
      <c r="AE46" s="37">
        <f>0</f>
        <v>0</v>
      </c>
      <c r="AF46" s="37">
        <f>0</f>
        <v>0</v>
      </c>
      <c r="AG46" s="37">
        <f>0</f>
        <v>0</v>
      </c>
      <c r="AH46" s="37">
        <f>0</f>
        <v>0</v>
      </c>
      <c r="AI46" s="37">
        <f>0</f>
        <v>0</v>
      </c>
      <c r="AJ46" s="37">
        <f>0</f>
        <v>0</v>
      </c>
      <c r="AK46" s="37">
        <f>0</f>
        <v>0</v>
      </c>
      <c r="AL46" s="37">
        <f>0</f>
        <v>0</v>
      </c>
      <c r="AM46" s="37">
        <f>0</f>
        <v>0</v>
      </c>
      <c r="AN46" s="37">
        <f>0</f>
        <v>0</v>
      </c>
      <c r="AO46" s="37">
        <f>0</f>
        <v>0</v>
      </c>
      <c r="AP46" s="37">
        <f>0</f>
        <v>0</v>
      </c>
      <c r="AQ46" s="37">
        <f>0</f>
        <v>0</v>
      </c>
      <c r="AR46" s="37">
        <f>0</f>
        <v>0</v>
      </c>
      <c r="AS46" s="37">
        <f>0</f>
        <v>0</v>
      </c>
      <c r="AT46" s="37">
        <f>0</f>
        <v>0</v>
      </c>
      <c r="AU46" s="37">
        <f>0</f>
        <v>0</v>
      </c>
      <c r="AV46" s="37">
        <f>0</f>
        <v>0</v>
      </c>
      <c r="AW46" s="37">
        <f>0</f>
        <v>0</v>
      </c>
      <c r="AX46" s="37">
        <f>0</f>
        <v>0</v>
      </c>
      <c r="AY46" s="37"/>
    </row>
    <row r="47" spans="1:51" ht="120" customHeight="1" x14ac:dyDescent="0.3">
      <c r="A47" s="7" t="s">
        <v>129</v>
      </c>
      <c r="B47" s="8" t="s">
        <v>327</v>
      </c>
      <c r="C47" s="8" t="s">
        <v>90</v>
      </c>
      <c r="D47" s="8" t="s">
        <v>91</v>
      </c>
      <c r="E47" s="8" t="s">
        <v>92</v>
      </c>
      <c r="F47" s="8" t="s">
        <v>93</v>
      </c>
      <c r="G47" s="8"/>
      <c r="H47" s="8" t="s">
        <v>94</v>
      </c>
      <c r="I47" s="9" t="s">
        <v>95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37"/>
      <c r="AE47" s="37">
        <f>0</f>
        <v>0</v>
      </c>
      <c r="AF47" s="37">
        <f>0</f>
        <v>0</v>
      </c>
      <c r="AG47" s="37">
        <f>0</f>
        <v>0</v>
      </c>
      <c r="AH47" s="37">
        <f>0</f>
        <v>0</v>
      </c>
      <c r="AI47" s="37">
        <f>0</f>
        <v>0</v>
      </c>
      <c r="AJ47" s="37">
        <f>0</f>
        <v>0</v>
      </c>
      <c r="AK47" s="37">
        <f>0</f>
        <v>0</v>
      </c>
      <c r="AL47" s="37">
        <f>0</f>
        <v>0</v>
      </c>
      <c r="AM47" s="37">
        <f>0</f>
        <v>0</v>
      </c>
      <c r="AN47" s="37">
        <f>0</f>
        <v>0</v>
      </c>
      <c r="AO47" s="37">
        <f>0</f>
        <v>0</v>
      </c>
      <c r="AP47" s="37">
        <f>0</f>
        <v>0</v>
      </c>
      <c r="AQ47" s="37">
        <f>0</f>
        <v>0</v>
      </c>
      <c r="AR47" s="37">
        <f>0</f>
        <v>0</v>
      </c>
      <c r="AS47" s="37">
        <f>0</f>
        <v>0</v>
      </c>
      <c r="AT47" s="37">
        <f>0</f>
        <v>0</v>
      </c>
      <c r="AU47" s="37">
        <f>0</f>
        <v>0</v>
      </c>
      <c r="AV47" s="37">
        <f>0</f>
        <v>0</v>
      </c>
      <c r="AW47" s="37">
        <f>0</f>
        <v>0</v>
      </c>
      <c r="AX47" s="37">
        <f>0</f>
        <v>0</v>
      </c>
      <c r="AY47" s="37" t="s">
        <v>96</v>
      </c>
    </row>
    <row r="48" spans="1:51" ht="120" customHeight="1" x14ac:dyDescent="0.3">
      <c r="A48" s="7" t="s">
        <v>133</v>
      </c>
      <c r="B48" s="8" t="s">
        <v>328</v>
      </c>
      <c r="C48" s="8" t="s">
        <v>90</v>
      </c>
      <c r="D48" s="8" t="s">
        <v>91</v>
      </c>
      <c r="E48" s="8" t="s">
        <v>92</v>
      </c>
      <c r="F48" s="8" t="s">
        <v>93</v>
      </c>
      <c r="G48" s="8"/>
      <c r="H48" s="8" t="s">
        <v>94</v>
      </c>
      <c r="I48" s="9" t="s">
        <v>95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37"/>
      <c r="AE48" s="37">
        <f>0</f>
        <v>0</v>
      </c>
      <c r="AF48" s="37">
        <f>0</f>
        <v>0</v>
      </c>
      <c r="AG48" s="37">
        <f>0</f>
        <v>0</v>
      </c>
      <c r="AH48" s="37">
        <f>0</f>
        <v>0</v>
      </c>
      <c r="AI48" s="37">
        <f>0</f>
        <v>0</v>
      </c>
      <c r="AJ48" s="37">
        <f>0</f>
        <v>0</v>
      </c>
      <c r="AK48" s="37">
        <f>0</f>
        <v>0</v>
      </c>
      <c r="AL48" s="37">
        <f>0</f>
        <v>0</v>
      </c>
      <c r="AM48" s="37">
        <f>0</f>
        <v>0</v>
      </c>
      <c r="AN48" s="37">
        <f>0</f>
        <v>0</v>
      </c>
      <c r="AO48" s="37">
        <f>0</f>
        <v>0</v>
      </c>
      <c r="AP48" s="37">
        <f>0</f>
        <v>0</v>
      </c>
      <c r="AQ48" s="37">
        <f>0</f>
        <v>0</v>
      </c>
      <c r="AR48" s="37">
        <f>0</f>
        <v>0</v>
      </c>
      <c r="AS48" s="37">
        <f>0</f>
        <v>0</v>
      </c>
      <c r="AT48" s="37">
        <f>0</f>
        <v>0</v>
      </c>
      <c r="AU48" s="37">
        <f>0</f>
        <v>0</v>
      </c>
      <c r="AV48" s="37">
        <f>0</f>
        <v>0</v>
      </c>
      <c r="AW48" s="37">
        <f>0</f>
        <v>0</v>
      </c>
      <c r="AX48" s="37">
        <f>0</f>
        <v>0</v>
      </c>
      <c r="AY48" s="37" t="s">
        <v>96</v>
      </c>
    </row>
    <row r="49" spans="1:51" ht="120" customHeight="1" x14ac:dyDescent="0.3">
      <c r="A49" s="7" t="s">
        <v>106</v>
      </c>
      <c r="B49" s="8" t="s">
        <v>329</v>
      </c>
      <c r="C49" s="8" t="s">
        <v>90</v>
      </c>
      <c r="D49" s="8" t="s">
        <v>91</v>
      </c>
      <c r="E49" s="8" t="s">
        <v>92</v>
      </c>
      <c r="F49" s="8" t="s">
        <v>93</v>
      </c>
      <c r="G49" s="8"/>
      <c r="H49" s="8" t="s">
        <v>94</v>
      </c>
      <c r="I49" s="9" t="s">
        <v>95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37"/>
      <c r="AE49" s="37">
        <f>0</f>
        <v>0</v>
      </c>
      <c r="AF49" s="37">
        <f>0</f>
        <v>0</v>
      </c>
      <c r="AG49" s="37">
        <f>0</f>
        <v>0</v>
      </c>
      <c r="AH49" s="37">
        <f>0</f>
        <v>0</v>
      </c>
      <c r="AI49" s="37">
        <f>0</f>
        <v>0</v>
      </c>
      <c r="AJ49" s="37">
        <f>0</f>
        <v>0</v>
      </c>
      <c r="AK49" s="37">
        <f>0</f>
        <v>0</v>
      </c>
      <c r="AL49" s="37">
        <f>0</f>
        <v>0</v>
      </c>
      <c r="AM49" s="37">
        <f>0</f>
        <v>0</v>
      </c>
      <c r="AN49" s="37">
        <f>0</f>
        <v>0</v>
      </c>
      <c r="AO49" s="37">
        <f>0</f>
        <v>0</v>
      </c>
      <c r="AP49" s="37">
        <f>0</f>
        <v>0</v>
      </c>
      <c r="AQ49" s="37">
        <f>0</f>
        <v>0</v>
      </c>
      <c r="AR49" s="37">
        <f>0</f>
        <v>0</v>
      </c>
      <c r="AS49" s="37">
        <f>0</f>
        <v>0</v>
      </c>
      <c r="AT49" s="37">
        <f>0</f>
        <v>0</v>
      </c>
      <c r="AU49" s="37">
        <f>0</f>
        <v>0</v>
      </c>
      <c r="AV49" s="37">
        <f>0</f>
        <v>0</v>
      </c>
      <c r="AW49" s="37">
        <f>0</f>
        <v>0</v>
      </c>
      <c r="AX49" s="37">
        <f>0</f>
        <v>0</v>
      </c>
      <c r="AY49" s="37" t="s">
        <v>96</v>
      </c>
    </row>
    <row r="50" spans="1:51" ht="120" customHeight="1" x14ac:dyDescent="0.3">
      <c r="A50" s="7" t="s">
        <v>110</v>
      </c>
      <c r="B50" s="8" t="s">
        <v>330</v>
      </c>
      <c r="C50" s="8" t="s">
        <v>90</v>
      </c>
      <c r="D50" s="8" t="s">
        <v>91</v>
      </c>
      <c r="E50" s="8" t="s">
        <v>92</v>
      </c>
      <c r="F50" s="8" t="s">
        <v>93</v>
      </c>
      <c r="G50" s="8"/>
      <c r="H50" s="8" t="s">
        <v>94</v>
      </c>
      <c r="I50" s="9" t="s">
        <v>95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37"/>
      <c r="AE50" s="37">
        <f>0</f>
        <v>0</v>
      </c>
      <c r="AF50" s="37">
        <f>0</f>
        <v>0</v>
      </c>
      <c r="AG50" s="37">
        <f>0</f>
        <v>0</v>
      </c>
      <c r="AH50" s="37">
        <f>0</f>
        <v>0</v>
      </c>
      <c r="AI50" s="37">
        <f>0</f>
        <v>0</v>
      </c>
      <c r="AJ50" s="37">
        <f>0</f>
        <v>0</v>
      </c>
      <c r="AK50" s="37">
        <f>0</f>
        <v>0</v>
      </c>
      <c r="AL50" s="37">
        <f>0</f>
        <v>0</v>
      </c>
      <c r="AM50" s="37">
        <f>0</f>
        <v>0</v>
      </c>
      <c r="AN50" s="37">
        <f>0</f>
        <v>0</v>
      </c>
      <c r="AO50" s="37">
        <f>0</f>
        <v>0</v>
      </c>
      <c r="AP50" s="37">
        <f>0</f>
        <v>0</v>
      </c>
      <c r="AQ50" s="37">
        <f>0</f>
        <v>0</v>
      </c>
      <c r="AR50" s="37">
        <f>0</f>
        <v>0</v>
      </c>
      <c r="AS50" s="37">
        <f>0</f>
        <v>0</v>
      </c>
      <c r="AT50" s="37">
        <f>0</f>
        <v>0</v>
      </c>
      <c r="AU50" s="37">
        <f>0</f>
        <v>0</v>
      </c>
      <c r="AV50" s="37">
        <f>0</f>
        <v>0</v>
      </c>
      <c r="AW50" s="37">
        <f>0</f>
        <v>0</v>
      </c>
      <c r="AX50" s="37">
        <f>0</f>
        <v>0</v>
      </c>
      <c r="AY50" s="37" t="s">
        <v>96</v>
      </c>
    </row>
    <row r="51" spans="1:51" ht="120" customHeight="1" x14ac:dyDescent="0.3">
      <c r="A51" s="7" t="s">
        <v>106</v>
      </c>
      <c r="B51" s="8" t="s">
        <v>331</v>
      </c>
      <c r="C51" s="8" t="s">
        <v>250</v>
      </c>
      <c r="D51" s="8" t="s">
        <v>249</v>
      </c>
      <c r="E51" s="8" t="s">
        <v>248</v>
      </c>
      <c r="F51" s="8" t="s">
        <v>247</v>
      </c>
      <c r="G51" s="8" t="s">
        <v>332</v>
      </c>
      <c r="H51" s="8" t="s">
        <v>220</v>
      </c>
      <c r="I51" s="9" t="s">
        <v>221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37" t="s">
        <v>222</v>
      </c>
      <c r="AE51" s="37">
        <f t="shared" ref="AE51:AN52" si="15">IF(COUNT(J51)=0,0,J51+3)</f>
        <v>0</v>
      </c>
      <c r="AF51" s="37">
        <f t="shared" si="15"/>
        <v>0</v>
      </c>
      <c r="AG51" s="37">
        <f t="shared" si="15"/>
        <v>0</v>
      </c>
      <c r="AH51" s="37">
        <f t="shared" si="15"/>
        <v>0</v>
      </c>
      <c r="AI51" s="37">
        <f t="shared" si="15"/>
        <v>0</v>
      </c>
      <c r="AJ51" s="37">
        <f t="shared" si="15"/>
        <v>0</v>
      </c>
      <c r="AK51" s="37">
        <f t="shared" si="15"/>
        <v>0</v>
      </c>
      <c r="AL51" s="37">
        <f t="shared" si="15"/>
        <v>0</v>
      </c>
      <c r="AM51" s="37">
        <f t="shared" si="15"/>
        <v>0</v>
      </c>
      <c r="AN51" s="37">
        <f t="shared" si="15"/>
        <v>0</v>
      </c>
      <c r="AO51" s="37">
        <f t="shared" ref="AO51:AX52" si="16">IF(COUNT(T51)=0,0,T51+3)</f>
        <v>0</v>
      </c>
      <c r="AP51" s="37">
        <f t="shared" si="16"/>
        <v>0</v>
      </c>
      <c r="AQ51" s="37">
        <f t="shared" si="16"/>
        <v>0</v>
      </c>
      <c r="AR51" s="37">
        <f t="shared" si="16"/>
        <v>0</v>
      </c>
      <c r="AS51" s="37">
        <f t="shared" si="16"/>
        <v>0</v>
      </c>
      <c r="AT51" s="37">
        <f t="shared" si="16"/>
        <v>0</v>
      </c>
      <c r="AU51" s="37">
        <f t="shared" si="16"/>
        <v>0</v>
      </c>
      <c r="AV51" s="37">
        <f t="shared" si="16"/>
        <v>0</v>
      </c>
      <c r="AW51" s="37">
        <f t="shared" si="16"/>
        <v>0</v>
      </c>
      <c r="AX51" s="37">
        <f t="shared" si="16"/>
        <v>0</v>
      </c>
      <c r="AY51" s="37" t="s">
        <v>168</v>
      </c>
    </row>
    <row r="52" spans="1:51" ht="120" customHeight="1" x14ac:dyDescent="0.3">
      <c r="A52" s="7" t="s">
        <v>106</v>
      </c>
      <c r="B52" s="8" t="s">
        <v>333</v>
      </c>
      <c r="C52" s="8" t="s">
        <v>314</v>
      </c>
      <c r="D52" s="8" t="s">
        <v>315</v>
      </c>
      <c r="E52" s="8" t="s">
        <v>316</v>
      </c>
      <c r="F52" s="8" t="s">
        <v>317</v>
      </c>
      <c r="G52" s="8" t="s">
        <v>318</v>
      </c>
      <c r="H52" s="8" t="s">
        <v>220</v>
      </c>
      <c r="I52" s="9" t="s">
        <v>188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37" t="s">
        <v>222</v>
      </c>
      <c r="AE52" s="37">
        <f t="shared" si="15"/>
        <v>0</v>
      </c>
      <c r="AF52" s="37">
        <f t="shared" si="15"/>
        <v>0</v>
      </c>
      <c r="AG52" s="37">
        <f t="shared" si="15"/>
        <v>0</v>
      </c>
      <c r="AH52" s="37">
        <f t="shared" si="15"/>
        <v>0</v>
      </c>
      <c r="AI52" s="37">
        <f t="shared" si="15"/>
        <v>0</v>
      </c>
      <c r="AJ52" s="37">
        <f t="shared" si="15"/>
        <v>0</v>
      </c>
      <c r="AK52" s="37">
        <f t="shared" si="15"/>
        <v>0</v>
      </c>
      <c r="AL52" s="37">
        <f t="shared" si="15"/>
        <v>0</v>
      </c>
      <c r="AM52" s="37">
        <f t="shared" si="15"/>
        <v>0</v>
      </c>
      <c r="AN52" s="37">
        <f t="shared" si="15"/>
        <v>0</v>
      </c>
      <c r="AO52" s="37">
        <f t="shared" si="16"/>
        <v>0</v>
      </c>
      <c r="AP52" s="37">
        <f t="shared" si="16"/>
        <v>0</v>
      </c>
      <c r="AQ52" s="37">
        <f t="shared" si="16"/>
        <v>0</v>
      </c>
      <c r="AR52" s="37">
        <f t="shared" si="16"/>
        <v>0</v>
      </c>
      <c r="AS52" s="37">
        <f t="shared" si="16"/>
        <v>0</v>
      </c>
      <c r="AT52" s="37">
        <f t="shared" si="16"/>
        <v>0</v>
      </c>
      <c r="AU52" s="37">
        <f t="shared" si="16"/>
        <v>0</v>
      </c>
      <c r="AV52" s="37">
        <f t="shared" si="16"/>
        <v>0</v>
      </c>
      <c r="AW52" s="37">
        <f t="shared" si="16"/>
        <v>0</v>
      </c>
      <c r="AX52" s="37">
        <f t="shared" si="16"/>
        <v>0</v>
      </c>
      <c r="AY52" s="37" t="s">
        <v>168</v>
      </c>
    </row>
    <row r="53" spans="1:51" ht="120" customHeight="1" x14ac:dyDescent="0.3">
      <c r="A53" s="7" t="s">
        <v>106</v>
      </c>
      <c r="B53" s="8" t="s">
        <v>334</v>
      </c>
      <c r="C53" s="8" t="s">
        <v>335</v>
      </c>
      <c r="D53" s="8" t="s">
        <v>336</v>
      </c>
      <c r="E53" s="8" t="s">
        <v>337</v>
      </c>
      <c r="F53" s="8" t="s">
        <v>338</v>
      </c>
      <c r="G53" s="8"/>
      <c r="H53" s="8" t="s">
        <v>281</v>
      </c>
      <c r="I53" s="9" t="s">
        <v>101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37"/>
      <c r="AE53" s="37">
        <f>0</f>
        <v>0</v>
      </c>
      <c r="AF53" s="37">
        <f>0</f>
        <v>0</v>
      </c>
      <c r="AG53" s="37">
        <f>0</f>
        <v>0</v>
      </c>
      <c r="AH53" s="37">
        <f>0</f>
        <v>0</v>
      </c>
      <c r="AI53" s="37">
        <f>0</f>
        <v>0</v>
      </c>
      <c r="AJ53" s="37">
        <f>0</f>
        <v>0</v>
      </c>
      <c r="AK53" s="37">
        <f>0</f>
        <v>0</v>
      </c>
      <c r="AL53" s="37">
        <f>0</f>
        <v>0</v>
      </c>
      <c r="AM53" s="37">
        <f>0</f>
        <v>0</v>
      </c>
      <c r="AN53" s="37">
        <f>0</f>
        <v>0</v>
      </c>
      <c r="AO53" s="37">
        <f>0</f>
        <v>0</v>
      </c>
      <c r="AP53" s="37">
        <f>0</f>
        <v>0</v>
      </c>
      <c r="AQ53" s="37">
        <f>0</f>
        <v>0</v>
      </c>
      <c r="AR53" s="37">
        <f>0</f>
        <v>0</v>
      </c>
      <c r="AS53" s="37">
        <f>0</f>
        <v>0</v>
      </c>
      <c r="AT53" s="37">
        <f>0</f>
        <v>0</v>
      </c>
      <c r="AU53" s="37">
        <f>0</f>
        <v>0</v>
      </c>
      <c r="AV53" s="37">
        <f>0</f>
        <v>0</v>
      </c>
      <c r="AW53" s="37">
        <f>0</f>
        <v>0</v>
      </c>
      <c r="AX53" s="37">
        <f>0</f>
        <v>0</v>
      </c>
      <c r="AY53" s="37" t="s">
        <v>96</v>
      </c>
    </row>
    <row r="54" spans="1:51" ht="120" customHeight="1" x14ac:dyDescent="0.3">
      <c r="A54" s="7" t="s">
        <v>106</v>
      </c>
      <c r="B54" s="8" t="s">
        <v>339</v>
      </c>
      <c r="C54" s="8" t="s">
        <v>340</v>
      </c>
      <c r="D54" s="8" t="s">
        <v>341</v>
      </c>
      <c r="E54" s="8" t="s">
        <v>342</v>
      </c>
      <c r="F54" s="8" t="s">
        <v>343</v>
      </c>
      <c r="G54" s="8" t="s">
        <v>344</v>
      </c>
      <c r="H54" s="8" t="s">
        <v>220</v>
      </c>
      <c r="I54" s="9" t="s">
        <v>221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37" t="s">
        <v>222</v>
      </c>
      <c r="AE54" s="37">
        <f t="shared" ref="AE54:AN55" si="17">IF(COUNT(J54)=0,0,J54+3)</f>
        <v>0</v>
      </c>
      <c r="AF54" s="37">
        <f t="shared" si="17"/>
        <v>0</v>
      </c>
      <c r="AG54" s="37">
        <f t="shared" si="17"/>
        <v>0</v>
      </c>
      <c r="AH54" s="37">
        <f t="shared" si="17"/>
        <v>0</v>
      </c>
      <c r="AI54" s="37">
        <f t="shared" si="17"/>
        <v>0</v>
      </c>
      <c r="AJ54" s="37">
        <f t="shared" si="17"/>
        <v>0</v>
      </c>
      <c r="AK54" s="37">
        <f t="shared" si="17"/>
        <v>0</v>
      </c>
      <c r="AL54" s="37">
        <f t="shared" si="17"/>
        <v>0</v>
      </c>
      <c r="AM54" s="37">
        <f t="shared" si="17"/>
        <v>0</v>
      </c>
      <c r="AN54" s="37">
        <f t="shared" si="17"/>
        <v>0</v>
      </c>
      <c r="AO54" s="37">
        <f t="shared" ref="AO54:AX55" si="18">IF(COUNT(T54)=0,0,T54+3)</f>
        <v>0</v>
      </c>
      <c r="AP54" s="37">
        <f t="shared" si="18"/>
        <v>0</v>
      </c>
      <c r="AQ54" s="37">
        <f t="shared" si="18"/>
        <v>0</v>
      </c>
      <c r="AR54" s="37">
        <f t="shared" si="18"/>
        <v>0</v>
      </c>
      <c r="AS54" s="37">
        <f t="shared" si="18"/>
        <v>0</v>
      </c>
      <c r="AT54" s="37">
        <f t="shared" si="18"/>
        <v>0</v>
      </c>
      <c r="AU54" s="37">
        <f t="shared" si="18"/>
        <v>0</v>
      </c>
      <c r="AV54" s="37">
        <f t="shared" si="18"/>
        <v>0</v>
      </c>
      <c r="AW54" s="37">
        <f t="shared" si="18"/>
        <v>0</v>
      </c>
      <c r="AX54" s="37">
        <f t="shared" si="18"/>
        <v>0</v>
      </c>
      <c r="AY54" s="37" t="s">
        <v>168</v>
      </c>
    </row>
    <row r="55" spans="1:51" ht="120" customHeight="1" x14ac:dyDescent="0.3">
      <c r="A55" s="7" t="s">
        <v>106</v>
      </c>
      <c r="B55" s="8" t="s">
        <v>345</v>
      </c>
      <c r="C55" s="8" t="s">
        <v>346</v>
      </c>
      <c r="D55" s="8" t="s">
        <v>347</v>
      </c>
      <c r="E55" s="8" t="s">
        <v>348</v>
      </c>
      <c r="F55" s="8" t="s">
        <v>349</v>
      </c>
      <c r="G55" s="8" t="s">
        <v>350</v>
      </c>
      <c r="H55" s="8" t="s">
        <v>220</v>
      </c>
      <c r="I55" s="9" t="s">
        <v>221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37" t="s">
        <v>222</v>
      </c>
      <c r="AE55" s="37">
        <f t="shared" si="17"/>
        <v>0</v>
      </c>
      <c r="AF55" s="37">
        <f t="shared" si="17"/>
        <v>0</v>
      </c>
      <c r="AG55" s="37">
        <f t="shared" si="17"/>
        <v>0</v>
      </c>
      <c r="AH55" s="37">
        <f t="shared" si="17"/>
        <v>0</v>
      </c>
      <c r="AI55" s="37">
        <f t="shared" si="17"/>
        <v>0</v>
      </c>
      <c r="AJ55" s="37">
        <f t="shared" si="17"/>
        <v>0</v>
      </c>
      <c r="AK55" s="37">
        <f t="shared" si="17"/>
        <v>0</v>
      </c>
      <c r="AL55" s="37">
        <f t="shared" si="17"/>
        <v>0</v>
      </c>
      <c r="AM55" s="37">
        <f t="shared" si="17"/>
        <v>0</v>
      </c>
      <c r="AN55" s="37">
        <f t="shared" si="17"/>
        <v>0</v>
      </c>
      <c r="AO55" s="37">
        <f t="shared" si="18"/>
        <v>0</v>
      </c>
      <c r="AP55" s="37">
        <f t="shared" si="18"/>
        <v>0</v>
      </c>
      <c r="AQ55" s="37">
        <f t="shared" si="18"/>
        <v>0</v>
      </c>
      <c r="AR55" s="37">
        <f t="shared" si="18"/>
        <v>0</v>
      </c>
      <c r="AS55" s="37">
        <f t="shared" si="18"/>
        <v>0</v>
      </c>
      <c r="AT55" s="37">
        <f t="shared" si="18"/>
        <v>0</v>
      </c>
      <c r="AU55" s="37">
        <f t="shared" si="18"/>
        <v>0</v>
      </c>
      <c r="AV55" s="37">
        <f t="shared" si="18"/>
        <v>0</v>
      </c>
      <c r="AW55" s="37">
        <f t="shared" si="18"/>
        <v>0</v>
      </c>
      <c r="AX55" s="37">
        <f t="shared" si="18"/>
        <v>0</v>
      </c>
      <c r="AY55" s="37" t="s">
        <v>168</v>
      </c>
    </row>
    <row r="56" spans="1:51" ht="120" customHeight="1" x14ac:dyDescent="0.3">
      <c r="A56" s="7" t="s">
        <v>106</v>
      </c>
      <c r="B56" s="8" t="s">
        <v>351</v>
      </c>
      <c r="C56" s="8" t="s">
        <v>352</v>
      </c>
      <c r="D56" s="8" t="s">
        <v>353</v>
      </c>
      <c r="E56" s="8" t="s">
        <v>354</v>
      </c>
      <c r="F56" s="8" t="s">
        <v>355</v>
      </c>
      <c r="G56" s="8" t="s">
        <v>277</v>
      </c>
      <c r="H56" s="8" t="s">
        <v>281</v>
      </c>
      <c r="I56" s="9" t="s">
        <v>101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37"/>
      <c r="AE56" s="37">
        <f>0</f>
        <v>0</v>
      </c>
      <c r="AF56" s="37">
        <f>0</f>
        <v>0</v>
      </c>
      <c r="AG56" s="37">
        <f>0</f>
        <v>0</v>
      </c>
      <c r="AH56" s="37">
        <f>0</f>
        <v>0</v>
      </c>
      <c r="AI56" s="37">
        <f>0</f>
        <v>0</v>
      </c>
      <c r="AJ56" s="37">
        <f>0</f>
        <v>0</v>
      </c>
      <c r="AK56" s="37">
        <f>0</f>
        <v>0</v>
      </c>
      <c r="AL56" s="37">
        <f>0</f>
        <v>0</v>
      </c>
      <c r="AM56" s="37">
        <f>0</f>
        <v>0</v>
      </c>
      <c r="AN56" s="37">
        <f>0</f>
        <v>0</v>
      </c>
      <c r="AO56" s="37">
        <f>0</f>
        <v>0</v>
      </c>
      <c r="AP56" s="37">
        <f>0</f>
        <v>0</v>
      </c>
      <c r="AQ56" s="37">
        <f>0</f>
        <v>0</v>
      </c>
      <c r="AR56" s="37">
        <f>0</f>
        <v>0</v>
      </c>
      <c r="AS56" s="37">
        <f>0</f>
        <v>0</v>
      </c>
      <c r="AT56" s="37">
        <f>0</f>
        <v>0</v>
      </c>
      <c r="AU56" s="37">
        <f>0</f>
        <v>0</v>
      </c>
      <c r="AV56" s="37">
        <f>0</f>
        <v>0</v>
      </c>
      <c r="AW56" s="37">
        <f>0</f>
        <v>0</v>
      </c>
      <c r="AX56" s="37">
        <f>0</f>
        <v>0</v>
      </c>
      <c r="AY56" s="37" t="s">
        <v>168</v>
      </c>
    </row>
    <row r="57" spans="1:51" ht="120" customHeight="1" x14ac:dyDescent="0.3">
      <c r="A57" s="7" t="s">
        <v>106</v>
      </c>
      <c r="B57" s="8" t="s">
        <v>356</v>
      </c>
      <c r="C57" s="8" t="s">
        <v>357</v>
      </c>
      <c r="D57" s="8" t="s">
        <v>358</v>
      </c>
      <c r="E57" s="8" t="s">
        <v>359</v>
      </c>
      <c r="F57" s="8" t="s">
        <v>360</v>
      </c>
      <c r="G57" s="8"/>
      <c r="H57" s="8" t="s">
        <v>281</v>
      </c>
      <c r="I57" s="9" t="s">
        <v>101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37"/>
      <c r="AE57" s="37">
        <f>0</f>
        <v>0</v>
      </c>
      <c r="AF57" s="37">
        <f>0</f>
        <v>0</v>
      </c>
      <c r="AG57" s="37">
        <f>0</f>
        <v>0</v>
      </c>
      <c r="AH57" s="37">
        <f>0</f>
        <v>0</v>
      </c>
      <c r="AI57" s="37">
        <f>0</f>
        <v>0</v>
      </c>
      <c r="AJ57" s="37">
        <f>0</f>
        <v>0</v>
      </c>
      <c r="AK57" s="37">
        <f>0</f>
        <v>0</v>
      </c>
      <c r="AL57" s="37">
        <f>0</f>
        <v>0</v>
      </c>
      <c r="AM57" s="37">
        <f>0</f>
        <v>0</v>
      </c>
      <c r="AN57" s="37">
        <f>0</f>
        <v>0</v>
      </c>
      <c r="AO57" s="37">
        <f>0</f>
        <v>0</v>
      </c>
      <c r="AP57" s="37">
        <f>0</f>
        <v>0</v>
      </c>
      <c r="AQ57" s="37">
        <f>0</f>
        <v>0</v>
      </c>
      <c r="AR57" s="37">
        <f>0</f>
        <v>0</v>
      </c>
      <c r="AS57" s="37">
        <f>0</f>
        <v>0</v>
      </c>
      <c r="AT57" s="37">
        <f>0</f>
        <v>0</v>
      </c>
      <c r="AU57" s="37">
        <f>0</f>
        <v>0</v>
      </c>
      <c r="AV57" s="37">
        <f>0</f>
        <v>0</v>
      </c>
      <c r="AW57" s="37">
        <f>0</f>
        <v>0</v>
      </c>
      <c r="AX57" s="37">
        <f>0</f>
        <v>0</v>
      </c>
      <c r="AY57" s="37" t="s">
        <v>96</v>
      </c>
    </row>
    <row r="58" spans="1:51" ht="120" customHeight="1" x14ac:dyDescent="0.3">
      <c r="A58" s="38" t="s">
        <v>102</v>
      </c>
      <c r="B58" s="38" t="s">
        <v>361</v>
      </c>
      <c r="C58" s="38" t="s">
        <v>182</v>
      </c>
      <c r="D58" s="38" t="s">
        <v>183</v>
      </c>
      <c r="E58" s="38" t="s">
        <v>184</v>
      </c>
      <c r="F58" s="38" t="s">
        <v>185</v>
      </c>
      <c r="G58" s="38" t="s">
        <v>186</v>
      </c>
      <c r="H58" s="38" t="s">
        <v>362</v>
      </c>
      <c r="I58" s="38" t="s">
        <v>188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37"/>
      <c r="AE58" s="37">
        <f>0</f>
        <v>0</v>
      </c>
      <c r="AF58" s="37">
        <f>0</f>
        <v>0</v>
      </c>
      <c r="AG58" s="37">
        <f>0</f>
        <v>0</v>
      </c>
      <c r="AH58" s="37">
        <f>0</f>
        <v>0</v>
      </c>
      <c r="AI58" s="37">
        <f>0</f>
        <v>0</v>
      </c>
      <c r="AJ58" s="37">
        <f>0</f>
        <v>0</v>
      </c>
      <c r="AK58" s="37">
        <f>0</f>
        <v>0</v>
      </c>
      <c r="AL58" s="37">
        <f>0</f>
        <v>0</v>
      </c>
      <c r="AM58" s="37">
        <f>0</f>
        <v>0</v>
      </c>
      <c r="AN58" s="37">
        <f>0</f>
        <v>0</v>
      </c>
      <c r="AO58" s="37">
        <f>0</f>
        <v>0</v>
      </c>
      <c r="AP58" s="37">
        <f>0</f>
        <v>0</v>
      </c>
      <c r="AQ58" s="37">
        <f>0</f>
        <v>0</v>
      </c>
      <c r="AR58" s="37">
        <f>0</f>
        <v>0</v>
      </c>
      <c r="AS58" s="37">
        <f>0</f>
        <v>0</v>
      </c>
      <c r="AT58" s="37">
        <f>0</f>
        <v>0</v>
      </c>
      <c r="AU58" s="37">
        <f>0</f>
        <v>0</v>
      </c>
      <c r="AV58" s="37">
        <f>0</f>
        <v>0</v>
      </c>
      <c r="AW58" s="37">
        <f>0</f>
        <v>0</v>
      </c>
      <c r="AX58" s="37">
        <f>0</f>
        <v>0</v>
      </c>
      <c r="AY58" s="37" t="s">
        <v>168</v>
      </c>
    </row>
    <row r="59" spans="1:51" ht="120" customHeight="1" x14ac:dyDescent="0.3">
      <c r="A59" s="38" t="s">
        <v>363</v>
      </c>
      <c r="B59" s="38" t="s">
        <v>364</v>
      </c>
      <c r="C59" s="38" t="s">
        <v>365</v>
      </c>
      <c r="D59" s="38"/>
      <c r="E59" s="38"/>
      <c r="F59" s="38"/>
      <c r="G59" s="38"/>
      <c r="H59" s="38" t="s">
        <v>363</v>
      </c>
      <c r="I59" s="38" t="s">
        <v>363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37"/>
      <c r="AE59" s="37">
        <f>0</f>
        <v>0</v>
      </c>
      <c r="AF59" s="37">
        <f>0</f>
        <v>0</v>
      </c>
      <c r="AG59" s="37">
        <f>0</f>
        <v>0</v>
      </c>
      <c r="AH59" s="37">
        <f>0</f>
        <v>0</v>
      </c>
      <c r="AI59" s="37">
        <f>0</f>
        <v>0</v>
      </c>
      <c r="AJ59" s="37">
        <f>0</f>
        <v>0</v>
      </c>
      <c r="AK59" s="37">
        <f>0</f>
        <v>0</v>
      </c>
      <c r="AL59" s="37">
        <f>0</f>
        <v>0</v>
      </c>
      <c r="AM59" s="37">
        <f>0</f>
        <v>0</v>
      </c>
      <c r="AN59" s="37">
        <f>0</f>
        <v>0</v>
      </c>
      <c r="AO59" s="37">
        <f>0</f>
        <v>0</v>
      </c>
      <c r="AP59" s="37">
        <f>0</f>
        <v>0</v>
      </c>
      <c r="AQ59" s="37">
        <f>0</f>
        <v>0</v>
      </c>
      <c r="AR59" s="37">
        <f>0</f>
        <v>0</v>
      </c>
      <c r="AS59" s="37">
        <f>0</f>
        <v>0</v>
      </c>
      <c r="AT59" s="37">
        <f>0</f>
        <v>0</v>
      </c>
      <c r="AU59" s="37">
        <f>0</f>
        <v>0</v>
      </c>
      <c r="AV59" s="37">
        <f>0</f>
        <v>0</v>
      </c>
      <c r="AW59" s="37">
        <f>0</f>
        <v>0</v>
      </c>
      <c r="AX59" s="37">
        <f>0</f>
        <v>0</v>
      </c>
      <c r="AY59" s="37"/>
    </row>
    <row r="60" spans="1:51" ht="300" customHeight="1" x14ac:dyDescent="0.3">
      <c r="A60" s="38" t="s">
        <v>366</v>
      </c>
      <c r="B60" s="38" t="s">
        <v>367</v>
      </c>
      <c r="C60" s="61" t="s">
        <v>368</v>
      </c>
      <c r="D60" s="55"/>
      <c r="E60" s="55"/>
      <c r="F60" s="55"/>
      <c r="G60" s="55"/>
      <c r="H60" s="55"/>
      <c r="I60" s="55"/>
      <c r="J60" s="38" t="str">
        <f>IF(COUNT(J9,J10)=0,"미채점",IF(COUNT(J9,J10)&lt;2,"자료 부족",IF(OR(J9&lt;-2,J9&gt;2,J10&lt;-2,J10&gt;2,MOD(J9,1)&lt;&gt;0,MOD(J10,1)&lt;&gt;0),"입력 확인",INDEX(성향문장!$C$65:$C$89,(J9+2)*5+J10+3)&amp;" / 분리 전체 몸 상태: "&amp;IF(COUNT(J58)=0,"미확인",IF(OR(J58&lt;-2,J58&gt;2,MOD(J58,1)&lt;&gt;0),"입력 확인",INDEX($C$58:$G$58,1,J58+3)))&amp;" / 분리 전체 발성: "&amp;IF(COUNT(J11)=0,"미확인",IF(OR(J11&lt;0,J11&gt;3,MOD(J11,1)&lt;&gt;0),"입력 확인",INDEX($C$11:$F$11,1,J11+1))))))</f>
        <v>미채점</v>
      </c>
      <c r="K60" s="38" t="str">
        <f>IF(COUNT(K9,K10)=0,"미채점",IF(COUNT(K9,K10)&lt;2,"자료 부족",IF(OR(K9&lt;-2,K9&gt;2,K10&lt;-2,K10&gt;2,MOD(K9,1)&lt;&gt;0,MOD(K10,1)&lt;&gt;0),"입력 확인",INDEX(성향문장!$C$65:$C$89,(K9+2)*5+K10+3)&amp;" / 분리 전체 몸 상태: "&amp;IF(COUNT(K58)=0,"미확인",IF(OR(K58&lt;-2,K58&gt;2,MOD(K58,1)&lt;&gt;0),"입력 확인",INDEX($C$58:$G$58,1,K58+3)))&amp;" / 분리 전체 발성: "&amp;IF(COUNT(K11)=0,"미확인",IF(OR(K11&lt;0,K11&gt;3,MOD(K11,1)&lt;&gt;0),"입력 확인",INDEX($C$11:$F$11,1,K11+1))))))</f>
        <v>미채점</v>
      </c>
      <c r="L60" s="38" t="str">
        <f>IF(COUNT(L9,L10)=0,"미채점",IF(COUNT(L9,L10)&lt;2,"자료 부족",IF(OR(L9&lt;-2,L9&gt;2,L10&lt;-2,L10&gt;2,MOD(L9,1)&lt;&gt;0,MOD(L10,1)&lt;&gt;0),"입력 확인",INDEX(성향문장!$C$65:$C$89,(L9+2)*5+L10+3)&amp;" / 분리 전체 몸 상태: "&amp;IF(COUNT(L58)=0,"미확인",IF(OR(L58&lt;-2,L58&gt;2,MOD(L58,1)&lt;&gt;0),"입력 확인",INDEX($C$58:$G$58,1,L58+3)))&amp;" / 분리 전체 발성: "&amp;IF(COUNT(L11)=0,"미확인",IF(OR(L11&lt;0,L11&gt;3,MOD(L11,1)&lt;&gt;0),"입력 확인",INDEX($C$11:$F$11,1,L11+1))))))</f>
        <v>미채점</v>
      </c>
      <c r="M60" s="38" t="str">
        <f>IF(COUNT(M9,M10)=0,"미채점",IF(COUNT(M9,M10)&lt;2,"자료 부족",IF(OR(M9&lt;-2,M9&gt;2,M10&lt;-2,M10&gt;2,MOD(M9,1)&lt;&gt;0,MOD(M10,1)&lt;&gt;0),"입력 확인",INDEX(성향문장!$C$65:$C$89,(M9+2)*5+M10+3)&amp;" / 분리 전체 몸 상태: "&amp;IF(COUNT(M58)=0,"미확인",IF(OR(M58&lt;-2,M58&gt;2,MOD(M58,1)&lt;&gt;0),"입력 확인",INDEX($C$58:$G$58,1,M58+3)))&amp;" / 분리 전체 발성: "&amp;IF(COUNT(M11)=0,"미확인",IF(OR(M11&lt;0,M11&gt;3,MOD(M11,1)&lt;&gt;0),"입력 확인",INDEX($C$11:$F$11,1,M11+1))))))</f>
        <v>미채점</v>
      </c>
      <c r="N60" s="38" t="str">
        <f>IF(COUNT(N9,N10)=0,"미채점",IF(COUNT(N9,N10)&lt;2,"자료 부족",IF(OR(N9&lt;-2,N9&gt;2,N10&lt;-2,N10&gt;2,MOD(N9,1)&lt;&gt;0,MOD(N10,1)&lt;&gt;0),"입력 확인",INDEX(성향문장!$C$65:$C$89,(N9+2)*5+N10+3)&amp;" / 분리 전체 몸 상태: "&amp;IF(COUNT(N58)=0,"미확인",IF(OR(N58&lt;-2,N58&gt;2,MOD(N58,1)&lt;&gt;0),"입력 확인",INDEX($C$58:$G$58,1,N58+3)))&amp;" / 분리 전체 발성: "&amp;IF(COUNT(N11)=0,"미확인",IF(OR(N11&lt;0,N11&gt;3,MOD(N11,1)&lt;&gt;0),"입력 확인",INDEX($C$11:$F$11,1,N11+1))))))</f>
        <v>미채점</v>
      </c>
      <c r="O60" s="38" t="str">
        <f>IF(COUNT(O9,O10)=0,"미채점",IF(COUNT(O9,O10)&lt;2,"자료 부족",IF(OR(O9&lt;-2,O9&gt;2,O10&lt;-2,O10&gt;2,MOD(O9,1)&lt;&gt;0,MOD(O10,1)&lt;&gt;0),"입력 확인",INDEX(성향문장!$C$65:$C$89,(O9+2)*5+O10+3)&amp;" / 분리 전체 몸 상태: "&amp;IF(COUNT(O58)=0,"미확인",IF(OR(O58&lt;-2,O58&gt;2,MOD(O58,1)&lt;&gt;0),"입력 확인",INDEX($C$58:$G$58,1,O58+3)))&amp;" / 분리 전체 발성: "&amp;IF(COUNT(O11)=0,"미확인",IF(OR(O11&lt;0,O11&gt;3,MOD(O11,1)&lt;&gt;0),"입력 확인",INDEX($C$11:$F$11,1,O11+1))))))</f>
        <v>미채점</v>
      </c>
      <c r="P60" s="38" t="str">
        <f>IF(COUNT(P9,P10)=0,"미채점",IF(COUNT(P9,P10)&lt;2,"자료 부족",IF(OR(P9&lt;-2,P9&gt;2,P10&lt;-2,P10&gt;2,MOD(P9,1)&lt;&gt;0,MOD(P10,1)&lt;&gt;0),"입력 확인",INDEX(성향문장!$C$65:$C$89,(P9+2)*5+P10+3)&amp;" / 분리 전체 몸 상태: "&amp;IF(COUNT(P58)=0,"미확인",IF(OR(P58&lt;-2,P58&gt;2,MOD(P58,1)&lt;&gt;0),"입력 확인",INDEX($C$58:$G$58,1,P58+3)))&amp;" / 분리 전체 발성: "&amp;IF(COUNT(P11)=0,"미확인",IF(OR(P11&lt;0,P11&gt;3,MOD(P11,1)&lt;&gt;0),"입력 확인",INDEX($C$11:$F$11,1,P11+1))))))</f>
        <v>미채점</v>
      </c>
      <c r="Q60" s="38" t="str">
        <f>IF(COUNT(Q9,Q10)=0,"미채점",IF(COUNT(Q9,Q10)&lt;2,"자료 부족",IF(OR(Q9&lt;-2,Q9&gt;2,Q10&lt;-2,Q10&gt;2,MOD(Q9,1)&lt;&gt;0,MOD(Q10,1)&lt;&gt;0),"입력 확인",INDEX(성향문장!$C$65:$C$89,(Q9+2)*5+Q10+3)&amp;" / 분리 전체 몸 상태: "&amp;IF(COUNT(Q58)=0,"미확인",IF(OR(Q58&lt;-2,Q58&gt;2,MOD(Q58,1)&lt;&gt;0),"입력 확인",INDEX($C$58:$G$58,1,Q58+3)))&amp;" / 분리 전체 발성: "&amp;IF(COUNT(Q11)=0,"미확인",IF(OR(Q11&lt;0,Q11&gt;3,MOD(Q11,1)&lt;&gt;0),"입력 확인",INDEX($C$11:$F$11,1,Q11+1))))))</f>
        <v>미채점</v>
      </c>
      <c r="R60" s="38" t="str">
        <f>IF(COUNT(R9,R10)=0,"미채점",IF(COUNT(R9,R10)&lt;2,"자료 부족",IF(OR(R9&lt;-2,R9&gt;2,R10&lt;-2,R10&gt;2,MOD(R9,1)&lt;&gt;0,MOD(R10,1)&lt;&gt;0),"입력 확인",INDEX(성향문장!$C$65:$C$89,(R9+2)*5+R10+3)&amp;" / 분리 전체 몸 상태: "&amp;IF(COUNT(R58)=0,"미확인",IF(OR(R58&lt;-2,R58&gt;2,MOD(R58,1)&lt;&gt;0),"입력 확인",INDEX($C$58:$G$58,1,R58+3)))&amp;" / 분리 전체 발성: "&amp;IF(COUNT(R11)=0,"미확인",IF(OR(R11&lt;0,R11&gt;3,MOD(R11,1)&lt;&gt;0),"입력 확인",INDEX($C$11:$F$11,1,R11+1))))))</f>
        <v>미채점</v>
      </c>
      <c r="S60" s="38" t="str">
        <f>IF(COUNT(S9,S10)=0,"미채점",IF(COUNT(S9,S10)&lt;2,"자료 부족",IF(OR(S9&lt;-2,S9&gt;2,S10&lt;-2,S10&gt;2,MOD(S9,1)&lt;&gt;0,MOD(S10,1)&lt;&gt;0),"입력 확인",INDEX(성향문장!$C$65:$C$89,(S9+2)*5+S10+3)&amp;" / 분리 전체 몸 상태: "&amp;IF(COUNT(S58)=0,"미확인",IF(OR(S58&lt;-2,S58&gt;2,MOD(S58,1)&lt;&gt;0),"입력 확인",INDEX($C$58:$G$58,1,S58+3)))&amp;" / 분리 전체 발성: "&amp;IF(COUNT(S11)=0,"미확인",IF(OR(S11&lt;0,S11&gt;3,MOD(S11,1)&lt;&gt;0),"입력 확인",INDEX($C$11:$F$11,1,S11+1))))))</f>
        <v>미채점</v>
      </c>
      <c r="T60" s="38" t="str">
        <f>IF(COUNT(T9,T10)=0,"미채점",IF(COUNT(T9,T10)&lt;2,"자료 부족",IF(OR(T9&lt;-2,T9&gt;2,T10&lt;-2,T10&gt;2,MOD(T9,1)&lt;&gt;0,MOD(T10,1)&lt;&gt;0),"입력 확인",INDEX(성향문장!$C$65:$C$89,(T9+2)*5+T10+3)&amp;" / 분리 전체 몸 상태: "&amp;IF(COUNT(T58)=0,"미확인",IF(OR(T58&lt;-2,T58&gt;2,MOD(T58,1)&lt;&gt;0),"입력 확인",INDEX($C$58:$G$58,1,T58+3)))&amp;" / 분리 전체 발성: "&amp;IF(COUNT(T11)=0,"미확인",IF(OR(T11&lt;0,T11&gt;3,MOD(T11,1)&lt;&gt;0),"입력 확인",INDEX($C$11:$F$11,1,T11+1))))))</f>
        <v>미채점</v>
      </c>
      <c r="U60" s="38" t="str">
        <f>IF(COUNT(U9,U10)=0,"미채점",IF(COUNT(U9,U10)&lt;2,"자료 부족",IF(OR(U9&lt;-2,U9&gt;2,U10&lt;-2,U10&gt;2,MOD(U9,1)&lt;&gt;0,MOD(U10,1)&lt;&gt;0),"입력 확인",INDEX(성향문장!$C$65:$C$89,(U9+2)*5+U10+3)&amp;" / 분리 전체 몸 상태: "&amp;IF(COUNT(U58)=0,"미확인",IF(OR(U58&lt;-2,U58&gt;2,MOD(U58,1)&lt;&gt;0),"입력 확인",INDEX($C$58:$G$58,1,U58+3)))&amp;" / 분리 전체 발성: "&amp;IF(COUNT(U11)=0,"미확인",IF(OR(U11&lt;0,U11&gt;3,MOD(U11,1)&lt;&gt;0),"입력 확인",INDEX($C$11:$F$11,1,U11+1))))))</f>
        <v>미채점</v>
      </c>
      <c r="V60" s="38" t="str">
        <f>IF(COUNT(V9,V10)=0,"미채점",IF(COUNT(V9,V10)&lt;2,"자료 부족",IF(OR(V9&lt;-2,V9&gt;2,V10&lt;-2,V10&gt;2,MOD(V9,1)&lt;&gt;0,MOD(V10,1)&lt;&gt;0),"입력 확인",INDEX(성향문장!$C$65:$C$89,(V9+2)*5+V10+3)&amp;" / 분리 전체 몸 상태: "&amp;IF(COUNT(V58)=0,"미확인",IF(OR(V58&lt;-2,V58&gt;2,MOD(V58,1)&lt;&gt;0),"입력 확인",INDEX($C$58:$G$58,1,V58+3)))&amp;" / 분리 전체 발성: "&amp;IF(COUNT(V11)=0,"미확인",IF(OR(V11&lt;0,V11&gt;3,MOD(V11,1)&lt;&gt;0),"입력 확인",INDEX($C$11:$F$11,1,V11+1))))))</f>
        <v>미채점</v>
      </c>
      <c r="W60" s="38" t="str">
        <f>IF(COUNT(W9,W10)=0,"미채점",IF(COUNT(W9,W10)&lt;2,"자료 부족",IF(OR(W9&lt;-2,W9&gt;2,W10&lt;-2,W10&gt;2,MOD(W9,1)&lt;&gt;0,MOD(W10,1)&lt;&gt;0),"입력 확인",INDEX(성향문장!$C$65:$C$89,(W9+2)*5+W10+3)&amp;" / 분리 전체 몸 상태: "&amp;IF(COUNT(W58)=0,"미확인",IF(OR(W58&lt;-2,W58&gt;2,MOD(W58,1)&lt;&gt;0),"입력 확인",INDEX($C$58:$G$58,1,W58+3)))&amp;" / 분리 전체 발성: "&amp;IF(COUNT(W11)=0,"미확인",IF(OR(W11&lt;0,W11&gt;3,MOD(W11,1)&lt;&gt;0),"입력 확인",INDEX($C$11:$F$11,1,W11+1))))))</f>
        <v>미채점</v>
      </c>
      <c r="X60" s="38" t="str">
        <f>IF(COUNT(X9,X10)=0,"미채점",IF(COUNT(X9,X10)&lt;2,"자료 부족",IF(OR(X9&lt;-2,X9&gt;2,X10&lt;-2,X10&gt;2,MOD(X9,1)&lt;&gt;0,MOD(X10,1)&lt;&gt;0),"입력 확인",INDEX(성향문장!$C$65:$C$89,(X9+2)*5+X10+3)&amp;" / 분리 전체 몸 상태: "&amp;IF(COUNT(X58)=0,"미확인",IF(OR(X58&lt;-2,X58&gt;2,MOD(X58,1)&lt;&gt;0),"입력 확인",INDEX($C$58:$G$58,1,X58+3)))&amp;" / 분리 전체 발성: "&amp;IF(COUNT(X11)=0,"미확인",IF(OR(X11&lt;0,X11&gt;3,MOD(X11,1)&lt;&gt;0),"입력 확인",INDEX($C$11:$F$11,1,X11+1))))))</f>
        <v>미채점</v>
      </c>
      <c r="Y60" s="38" t="str">
        <f>IF(COUNT(Y9,Y10)=0,"미채점",IF(COUNT(Y9,Y10)&lt;2,"자료 부족",IF(OR(Y9&lt;-2,Y9&gt;2,Y10&lt;-2,Y10&gt;2,MOD(Y9,1)&lt;&gt;0,MOD(Y10,1)&lt;&gt;0),"입력 확인",INDEX(성향문장!$C$65:$C$89,(Y9+2)*5+Y10+3)&amp;" / 분리 전체 몸 상태: "&amp;IF(COUNT(Y58)=0,"미확인",IF(OR(Y58&lt;-2,Y58&gt;2,MOD(Y58,1)&lt;&gt;0),"입력 확인",INDEX($C$58:$G$58,1,Y58+3)))&amp;" / 분리 전체 발성: "&amp;IF(COUNT(Y11)=0,"미확인",IF(OR(Y11&lt;0,Y11&gt;3,MOD(Y11,1)&lt;&gt;0),"입력 확인",INDEX($C$11:$F$11,1,Y11+1))))))</f>
        <v>미채점</v>
      </c>
      <c r="Z60" s="38" t="str">
        <f>IF(COUNT(Z9,Z10)=0,"미채점",IF(COUNT(Z9,Z10)&lt;2,"자료 부족",IF(OR(Z9&lt;-2,Z9&gt;2,Z10&lt;-2,Z10&gt;2,MOD(Z9,1)&lt;&gt;0,MOD(Z10,1)&lt;&gt;0),"입력 확인",INDEX(성향문장!$C$65:$C$89,(Z9+2)*5+Z10+3)&amp;" / 분리 전체 몸 상태: "&amp;IF(COUNT(Z58)=0,"미확인",IF(OR(Z58&lt;-2,Z58&gt;2,MOD(Z58,1)&lt;&gt;0),"입력 확인",INDEX($C$58:$G$58,1,Z58+3)))&amp;" / 분리 전체 발성: "&amp;IF(COUNT(Z11)=0,"미확인",IF(OR(Z11&lt;0,Z11&gt;3,MOD(Z11,1)&lt;&gt;0),"입력 확인",INDEX($C$11:$F$11,1,Z11+1))))))</f>
        <v>미채점</v>
      </c>
      <c r="AA60" s="38" t="str">
        <f>IF(COUNT(AA9,AA10)=0,"미채점",IF(COUNT(AA9,AA10)&lt;2,"자료 부족",IF(OR(AA9&lt;-2,AA9&gt;2,AA10&lt;-2,AA10&gt;2,MOD(AA9,1)&lt;&gt;0,MOD(AA10,1)&lt;&gt;0),"입력 확인",INDEX(성향문장!$C$65:$C$89,(AA9+2)*5+AA10+3)&amp;" / 분리 전체 몸 상태: "&amp;IF(COUNT(AA58)=0,"미확인",IF(OR(AA58&lt;-2,AA58&gt;2,MOD(AA58,1)&lt;&gt;0),"입력 확인",INDEX($C$58:$G$58,1,AA58+3)))&amp;" / 분리 전체 발성: "&amp;IF(COUNT(AA11)=0,"미확인",IF(OR(AA11&lt;0,AA11&gt;3,MOD(AA11,1)&lt;&gt;0),"입력 확인",INDEX($C$11:$F$11,1,AA11+1))))))</f>
        <v>미채점</v>
      </c>
      <c r="AB60" s="38" t="str">
        <f>IF(COUNT(AB9,AB10)=0,"미채점",IF(COUNT(AB9,AB10)&lt;2,"자료 부족",IF(OR(AB9&lt;-2,AB9&gt;2,AB10&lt;-2,AB10&gt;2,MOD(AB9,1)&lt;&gt;0,MOD(AB10,1)&lt;&gt;0),"입력 확인",INDEX(성향문장!$C$65:$C$89,(AB9+2)*5+AB10+3)&amp;" / 분리 전체 몸 상태: "&amp;IF(COUNT(AB58)=0,"미확인",IF(OR(AB58&lt;-2,AB58&gt;2,MOD(AB58,1)&lt;&gt;0),"입력 확인",INDEX($C$58:$G$58,1,AB58+3)))&amp;" / 분리 전체 발성: "&amp;IF(COUNT(AB11)=0,"미확인",IF(OR(AB11&lt;0,AB11&gt;3,MOD(AB11,1)&lt;&gt;0),"입력 확인",INDEX($C$11:$F$11,1,AB11+1))))))</f>
        <v>미채점</v>
      </c>
      <c r="AC60" s="38" t="str">
        <f>IF(COUNT(AC9,AC10)=0,"미채점",IF(COUNT(AC9,AC10)&lt;2,"자료 부족",IF(OR(AC9&lt;-2,AC9&gt;2,AC10&lt;-2,AC10&gt;2,MOD(AC9,1)&lt;&gt;0,MOD(AC10,1)&lt;&gt;0),"입력 확인",INDEX(성향문장!$C$65:$C$89,(AC9+2)*5+AC10+3)&amp;" / 분리 전체 몸 상태: "&amp;IF(COUNT(AC58)=0,"미확인",IF(OR(AC58&lt;-2,AC58&gt;2,MOD(AC58,1)&lt;&gt;0),"입력 확인",INDEX($C$58:$G$58,1,AC58+3)))&amp;" / 분리 전체 발성: "&amp;IF(COUNT(AC11)=0,"미확인",IF(OR(AC11&lt;0,AC11&gt;3,MOD(AC11,1)&lt;&gt;0),"입력 확인",INDEX($C$11:$F$11,1,AC11+1))))))</f>
        <v>미채점</v>
      </c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</row>
    <row r="61" spans="1:51" ht="35.1" customHeight="1" x14ac:dyDescent="0.3">
      <c r="A61" s="57" t="s">
        <v>369</v>
      </c>
      <c r="B61" s="55"/>
      <c r="C61" s="55"/>
      <c r="D61" s="55"/>
      <c r="E61" s="55"/>
      <c r="F61" s="55"/>
      <c r="G61" s="55"/>
      <c r="H61" s="55"/>
      <c r="I61" s="55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</row>
    <row r="62" spans="1:51" ht="78" customHeight="1" x14ac:dyDescent="0.3">
      <c r="A62" s="59" t="s">
        <v>370</v>
      </c>
      <c r="B62" s="55"/>
      <c r="C62" s="60" t="s">
        <v>371</v>
      </c>
      <c r="D62" s="55"/>
      <c r="E62" s="55"/>
      <c r="F62" s="55"/>
      <c r="G62" s="55"/>
      <c r="H62" s="55"/>
      <c r="I62" s="55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</row>
    <row r="63" spans="1:51" ht="78" customHeight="1" x14ac:dyDescent="0.3">
      <c r="A63" s="59" t="s">
        <v>372</v>
      </c>
      <c r="B63" s="55"/>
      <c r="C63" s="60" t="s">
        <v>373</v>
      </c>
      <c r="D63" s="55"/>
      <c r="E63" s="55"/>
      <c r="F63" s="55"/>
      <c r="G63" s="55"/>
      <c r="H63" s="55"/>
      <c r="I63" s="55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</row>
    <row r="64" spans="1:51" ht="78" customHeight="1" x14ac:dyDescent="0.3">
      <c r="A64" s="59" t="s">
        <v>374</v>
      </c>
      <c r="B64" s="55"/>
      <c r="C64" s="60" t="s">
        <v>375</v>
      </c>
      <c r="D64" s="55"/>
      <c r="E64" s="55"/>
      <c r="F64" s="55"/>
      <c r="G64" s="55"/>
      <c r="H64" s="55"/>
      <c r="I64" s="55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</row>
    <row r="65" spans="1:51" ht="78" customHeight="1" x14ac:dyDescent="0.3">
      <c r="A65" s="59" t="s">
        <v>376</v>
      </c>
      <c r="B65" s="55"/>
      <c r="C65" s="60" t="s">
        <v>377</v>
      </c>
      <c r="D65" s="55"/>
      <c r="E65" s="55"/>
      <c r="F65" s="55"/>
      <c r="G65" s="55"/>
      <c r="H65" s="55"/>
      <c r="I65" s="55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</row>
    <row r="66" spans="1:51" ht="78" customHeight="1" x14ac:dyDescent="0.3">
      <c r="A66" s="60" t="s">
        <v>378</v>
      </c>
      <c r="B66" s="55"/>
      <c r="C66" s="60" t="s">
        <v>379</v>
      </c>
      <c r="D66" s="55"/>
      <c r="E66" s="55"/>
      <c r="F66" s="55"/>
      <c r="G66" s="55"/>
      <c r="H66" s="55"/>
      <c r="I66" s="55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</row>
    <row r="67" spans="1:51" ht="78" customHeight="1" x14ac:dyDescent="0.3">
      <c r="A67" s="60" t="s">
        <v>380</v>
      </c>
      <c r="B67" s="55"/>
      <c r="C67" s="55"/>
      <c r="D67" s="55"/>
      <c r="E67" s="55"/>
      <c r="F67" s="55"/>
      <c r="G67" s="55"/>
      <c r="H67" s="55"/>
      <c r="I67" s="55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</row>
    <row r="68" spans="1:51" ht="78" customHeight="1" x14ac:dyDescent="0.3">
      <c r="A68" s="60" t="s">
        <v>381</v>
      </c>
      <c r="B68" s="55"/>
      <c r="C68" s="55"/>
      <c r="D68" s="55"/>
      <c r="E68" s="55"/>
      <c r="F68" s="55"/>
      <c r="G68" s="55"/>
      <c r="H68" s="55"/>
      <c r="I68" s="55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</row>
    <row r="69" spans="1:51" ht="44.1" customHeight="1" x14ac:dyDescent="0.3">
      <c r="A69" s="39" t="s">
        <v>382</v>
      </c>
      <c r="B69" s="39" t="s">
        <v>383</v>
      </c>
      <c r="C69" s="60" t="s">
        <v>384</v>
      </c>
      <c r="D69" s="55"/>
      <c r="E69" s="55"/>
      <c r="F69" s="55"/>
      <c r="G69" s="60" t="s">
        <v>385</v>
      </c>
      <c r="H69" s="55"/>
      <c r="I69" s="39" t="s">
        <v>386</v>
      </c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</row>
    <row r="70" spans="1:51" ht="87.95" customHeight="1" x14ac:dyDescent="0.3">
      <c r="A70" s="38">
        <v>1</v>
      </c>
      <c r="B70" s="38"/>
      <c r="C70" s="58"/>
      <c r="D70" s="55"/>
      <c r="E70" s="55"/>
      <c r="F70" s="55"/>
      <c r="G70" s="58"/>
      <c r="H70" s="55"/>
      <c r="I70" s="38" t="str">
        <f t="shared" ref="I70:I89" si="19">IF(LEN(TRIM(B70&amp;""))=0,"미판정",IF(NOT(OR(B70="곁에서 안심하는 사이",B70="가까이 있어도 안심이 어려운 사이",B70="거리를 두고 지내는 사이",B70="다가감과 물러섬이 함께 나오는 사이",B70="판정보류")),"유형 입력 확인",IF(LEN(TRIM(C70&amp;""))=0,IF(B70="판정보류","보류 사유 미기록","근거 미기록"),IF(LEN(TRIM(G70&amp;""))=0,"평가자·날짜 미기록",IF(B70="판정보류","판정보류 · 사유 기록","기록 완료")))))</f>
        <v>미판정</v>
      </c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</row>
    <row r="71" spans="1:51" ht="87.95" customHeight="1" x14ac:dyDescent="0.3">
      <c r="A71" s="38">
        <v>2</v>
      </c>
      <c r="B71" s="38"/>
      <c r="C71" s="58"/>
      <c r="D71" s="55"/>
      <c r="E71" s="55"/>
      <c r="F71" s="55"/>
      <c r="G71" s="58"/>
      <c r="H71" s="55"/>
      <c r="I71" s="38" t="str">
        <f t="shared" si="19"/>
        <v>미판정</v>
      </c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</row>
    <row r="72" spans="1:51" ht="87.95" customHeight="1" x14ac:dyDescent="0.3">
      <c r="A72" s="38">
        <v>3</v>
      </c>
      <c r="B72" s="38"/>
      <c r="C72" s="58"/>
      <c r="D72" s="55"/>
      <c r="E72" s="55"/>
      <c r="F72" s="55"/>
      <c r="G72" s="58"/>
      <c r="H72" s="55"/>
      <c r="I72" s="38" t="str">
        <f t="shared" si="19"/>
        <v>미판정</v>
      </c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</row>
    <row r="73" spans="1:51" ht="87.95" customHeight="1" x14ac:dyDescent="0.3">
      <c r="A73" s="38">
        <v>4</v>
      </c>
      <c r="B73" s="38"/>
      <c r="C73" s="58"/>
      <c r="D73" s="55"/>
      <c r="E73" s="55"/>
      <c r="F73" s="55"/>
      <c r="G73" s="58"/>
      <c r="H73" s="55"/>
      <c r="I73" s="38" t="str">
        <f t="shared" si="19"/>
        <v>미판정</v>
      </c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</row>
    <row r="74" spans="1:51" ht="87.95" customHeight="1" x14ac:dyDescent="0.3">
      <c r="A74" s="38">
        <v>5</v>
      </c>
      <c r="B74" s="38"/>
      <c r="C74" s="58"/>
      <c r="D74" s="55"/>
      <c r="E74" s="55"/>
      <c r="F74" s="55"/>
      <c r="G74" s="58"/>
      <c r="H74" s="55"/>
      <c r="I74" s="38" t="str">
        <f t="shared" si="19"/>
        <v>미판정</v>
      </c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</row>
    <row r="75" spans="1:51" ht="87.95" customHeight="1" x14ac:dyDescent="0.3">
      <c r="A75" s="38">
        <v>6</v>
      </c>
      <c r="B75" s="38"/>
      <c r="C75" s="58"/>
      <c r="D75" s="55"/>
      <c r="E75" s="55"/>
      <c r="F75" s="55"/>
      <c r="G75" s="58"/>
      <c r="H75" s="55"/>
      <c r="I75" s="38" t="str">
        <f t="shared" si="19"/>
        <v>미판정</v>
      </c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</row>
    <row r="76" spans="1:51" ht="87.95" customHeight="1" x14ac:dyDescent="0.3">
      <c r="A76" s="38">
        <v>7</v>
      </c>
      <c r="B76" s="38"/>
      <c r="C76" s="58"/>
      <c r="D76" s="55"/>
      <c r="E76" s="55"/>
      <c r="F76" s="55"/>
      <c r="G76" s="58"/>
      <c r="H76" s="55"/>
      <c r="I76" s="38" t="str">
        <f t="shared" si="19"/>
        <v>미판정</v>
      </c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</row>
    <row r="77" spans="1:51" ht="87.95" customHeight="1" x14ac:dyDescent="0.3">
      <c r="A77" s="38">
        <v>8</v>
      </c>
      <c r="B77" s="38"/>
      <c r="C77" s="58"/>
      <c r="D77" s="55"/>
      <c r="E77" s="55"/>
      <c r="F77" s="55"/>
      <c r="G77" s="58"/>
      <c r="H77" s="55"/>
      <c r="I77" s="38" t="str">
        <f t="shared" si="19"/>
        <v>미판정</v>
      </c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</row>
    <row r="78" spans="1:51" ht="87.95" customHeight="1" x14ac:dyDescent="0.3">
      <c r="A78" s="38">
        <v>9</v>
      </c>
      <c r="B78" s="38"/>
      <c r="C78" s="58"/>
      <c r="D78" s="55"/>
      <c r="E78" s="55"/>
      <c r="F78" s="55"/>
      <c r="G78" s="58"/>
      <c r="H78" s="55"/>
      <c r="I78" s="38" t="str">
        <f t="shared" si="19"/>
        <v>미판정</v>
      </c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</row>
    <row r="79" spans="1:51" ht="87.95" customHeight="1" x14ac:dyDescent="0.3">
      <c r="A79" s="38">
        <v>10</v>
      </c>
      <c r="B79" s="38"/>
      <c r="C79" s="58"/>
      <c r="D79" s="55"/>
      <c r="E79" s="55"/>
      <c r="F79" s="55"/>
      <c r="G79" s="58"/>
      <c r="H79" s="55"/>
      <c r="I79" s="38" t="str">
        <f t="shared" si="19"/>
        <v>미판정</v>
      </c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</row>
    <row r="80" spans="1:51" ht="87.95" customHeight="1" x14ac:dyDescent="0.3">
      <c r="A80" s="38">
        <v>11</v>
      </c>
      <c r="B80" s="38"/>
      <c r="C80" s="58"/>
      <c r="D80" s="55"/>
      <c r="E80" s="55"/>
      <c r="F80" s="55"/>
      <c r="G80" s="58"/>
      <c r="H80" s="55"/>
      <c r="I80" s="38" t="str">
        <f t="shared" si="19"/>
        <v>미판정</v>
      </c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</row>
    <row r="81" spans="1:51" ht="87.95" customHeight="1" x14ac:dyDescent="0.3">
      <c r="A81" s="38">
        <v>12</v>
      </c>
      <c r="B81" s="38"/>
      <c r="C81" s="58"/>
      <c r="D81" s="55"/>
      <c r="E81" s="55"/>
      <c r="F81" s="55"/>
      <c r="G81" s="58"/>
      <c r="H81" s="55"/>
      <c r="I81" s="38" t="str">
        <f t="shared" si="19"/>
        <v>미판정</v>
      </c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</row>
    <row r="82" spans="1:51" ht="87.95" customHeight="1" x14ac:dyDescent="0.3">
      <c r="A82" s="38">
        <v>13</v>
      </c>
      <c r="B82" s="38"/>
      <c r="C82" s="58"/>
      <c r="D82" s="55"/>
      <c r="E82" s="55"/>
      <c r="F82" s="55"/>
      <c r="G82" s="58"/>
      <c r="H82" s="55"/>
      <c r="I82" s="38" t="str">
        <f t="shared" si="19"/>
        <v>미판정</v>
      </c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</row>
    <row r="83" spans="1:51" ht="87.95" customHeight="1" x14ac:dyDescent="0.3">
      <c r="A83" s="38">
        <v>14</v>
      </c>
      <c r="B83" s="38"/>
      <c r="C83" s="58"/>
      <c r="D83" s="55"/>
      <c r="E83" s="55"/>
      <c r="F83" s="55"/>
      <c r="G83" s="58"/>
      <c r="H83" s="55"/>
      <c r="I83" s="38" t="str">
        <f t="shared" si="19"/>
        <v>미판정</v>
      </c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</row>
    <row r="84" spans="1:51" ht="87.95" customHeight="1" x14ac:dyDescent="0.3">
      <c r="A84" s="38">
        <v>15</v>
      </c>
      <c r="B84" s="38"/>
      <c r="C84" s="58"/>
      <c r="D84" s="55"/>
      <c r="E84" s="55"/>
      <c r="F84" s="55"/>
      <c r="G84" s="58"/>
      <c r="H84" s="55"/>
      <c r="I84" s="38" t="str">
        <f t="shared" si="19"/>
        <v>미판정</v>
      </c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</row>
    <row r="85" spans="1:51" ht="87.95" customHeight="1" x14ac:dyDescent="0.3">
      <c r="A85" s="38">
        <v>16</v>
      </c>
      <c r="B85" s="38"/>
      <c r="C85" s="58"/>
      <c r="D85" s="55"/>
      <c r="E85" s="55"/>
      <c r="F85" s="55"/>
      <c r="G85" s="58"/>
      <c r="H85" s="55"/>
      <c r="I85" s="38" t="str">
        <f t="shared" si="19"/>
        <v>미판정</v>
      </c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</row>
    <row r="86" spans="1:51" ht="87.95" customHeight="1" x14ac:dyDescent="0.3">
      <c r="A86" s="38">
        <v>17</v>
      </c>
      <c r="B86" s="38"/>
      <c r="C86" s="58"/>
      <c r="D86" s="55"/>
      <c r="E86" s="55"/>
      <c r="F86" s="55"/>
      <c r="G86" s="58"/>
      <c r="H86" s="55"/>
      <c r="I86" s="38" t="str">
        <f t="shared" si="19"/>
        <v>미판정</v>
      </c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</row>
    <row r="87" spans="1:51" ht="87.95" customHeight="1" x14ac:dyDescent="0.3">
      <c r="A87" s="38">
        <v>18</v>
      </c>
      <c r="B87" s="38"/>
      <c r="C87" s="58"/>
      <c r="D87" s="55"/>
      <c r="E87" s="55"/>
      <c r="F87" s="55"/>
      <c r="G87" s="58"/>
      <c r="H87" s="55"/>
      <c r="I87" s="38" t="str">
        <f t="shared" si="19"/>
        <v>미판정</v>
      </c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</row>
    <row r="88" spans="1:51" ht="87.95" customHeight="1" x14ac:dyDescent="0.3">
      <c r="A88" s="38">
        <v>19</v>
      </c>
      <c r="B88" s="38"/>
      <c r="C88" s="58"/>
      <c r="D88" s="55"/>
      <c r="E88" s="55"/>
      <c r="F88" s="55"/>
      <c r="G88" s="58"/>
      <c r="H88" s="55"/>
      <c r="I88" s="38" t="str">
        <f t="shared" si="19"/>
        <v>미판정</v>
      </c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</row>
    <row r="89" spans="1:51" ht="87.95" customHeight="1" x14ac:dyDescent="0.3">
      <c r="A89" s="38">
        <v>20</v>
      </c>
      <c r="B89" s="38"/>
      <c r="C89" s="58"/>
      <c r="D89" s="55"/>
      <c r="E89" s="55"/>
      <c r="F89" s="55"/>
      <c r="G89" s="58"/>
      <c r="H89" s="55"/>
      <c r="I89" s="38" t="str">
        <f t="shared" si="19"/>
        <v>미판정</v>
      </c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</row>
    <row r="90" spans="1:51" x14ac:dyDescent="0.3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</row>
    <row r="91" spans="1:51" ht="57.95" customHeight="1" x14ac:dyDescent="0.3">
      <c r="A91" s="60" t="s">
        <v>387</v>
      </c>
      <c r="B91" s="55"/>
      <c r="C91" s="55"/>
      <c r="D91" s="55"/>
      <c r="E91" s="55"/>
      <c r="F91" s="55"/>
      <c r="G91" s="55"/>
      <c r="H91" s="55"/>
      <c r="I91" s="55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</row>
  </sheetData>
  <mergeCells count="57">
    <mergeCell ref="A61:I61"/>
    <mergeCell ref="G75:H75"/>
    <mergeCell ref="C60:I60"/>
    <mergeCell ref="G84:H84"/>
    <mergeCell ref="C71:F71"/>
    <mergeCell ref="C76:F76"/>
    <mergeCell ref="A62:B62"/>
    <mergeCell ref="C80:F80"/>
    <mergeCell ref="C75:F75"/>
    <mergeCell ref="G85:H85"/>
    <mergeCell ref="G76:H76"/>
    <mergeCell ref="A63:B63"/>
    <mergeCell ref="G89:H89"/>
    <mergeCell ref="C85:F85"/>
    <mergeCell ref="C65:I65"/>
    <mergeCell ref="C63:I63"/>
    <mergeCell ref="G88:H88"/>
    <mergeCell ref="G79:H79"/>
    <mergeCell ref="C84:F84"/>
    <mergeCell ref="G73:H73"/>
    <mergeCell ref="C62:I62"/>
    <mergeCell ref="A91:I91"/>
    <mergeCell ref="G69:H69"/>
    <mergeCell ref="G78:H78"/>
    <mergeCell ref="C89:F89"/>
    <mergeCell ref="G74:H74"/>
    <mergeCell ref="C74:F74"/>
    <mergeCell ref="G87:H87"/>
    <mergeCell ref="G83:H83"/>
    <mergeCell ref="A68:I68"/>
    <mergeCell ref="C79:F79"/>
    <mergeCell ref="C73:F73"/>
    <mergeCell ref="C88:F88"/>
    <mergeCell ref="C64:I64"/>
    <mergeCell ref="G80:H80"/>
    <mergeCell ref="A67:I67"/>
    <mergeCell ref="C87:F87"/>
    <mergeCell ref="A65:B65"/>
    <mergeCell ref="C77:F77"/>
    <mergeCell ref="C83:F83"/>
    <mergeCell ref="C86:F86"/>
    <mergeCell ref="A66:B66"/>
    <mergeCell ref="C70:F70"/>
    <mergeCell ref="G81:H81"/>
    <mergeCell ref="G77:H77"/>
    <mergeCell ref="A64:B64"/>
    <mergeCell ref="G86:H86"/>
    <mergeCell ref="G72:H72"/>
    <mergeCell ref="G71:H71"/>
    <mergeCell ref="C82:F82"/>
    <mergeCell ref="C72:F72"/>
    <mergeCell ref="C81:F81"/>
    <mergeCell ref="G70:H70"/>
    <mergeCell ref="G82:H82"/>
    <mergeCell ref="C66:I66"/>
    <mergeCell ref="C78:F78"/>
    <mergeCell ref="C69:F69"/>
  </mergeCells>
  <phoneticPr fontId="9" type="noConversion"/>
  <dataValidations count="48">
    <dataValidation type="whole" allowBlank="1" showErrorMessage="1" errorTitle="항목 눈금 확인" error="이 행에 지정된 범위의 값을 입력해 주세요." sqref="J5:AC5">
      <formula1>-2</formula1>
      <formula2>2</formula2>
    </dataValidation>
    <dataValidation type="whole" allowBlank="1" showErrorMessage="1" errorTitle="항목 눈금 확인" error="이 행에 지정된 범위의 값을 입력해 주세요." sqref="J6:AC6">
      <formula1>-2</formula1>
      <formula2>2</formula2>
    </dataValidation>
    <dataValidation type="whole" allowBlank="1" showErrorMessage="1" errorTitle="항목 눈금 확인" error="이 행에 지정된 범위의 값을 입력해 주세요." sqref="J8:AC8">
      <formula1>-2</formula1>
      <formula2>2</formula2>
    </dataValidation>
    <dataValidation type="whole" allowBlank="1" showErrorMessage="1" errorTitle="항목 눈금 확인" error="이 행에 지정된 범위의 값을 입력해 주세요." sqref="J9:AC9">
      <formula1>-2</formula1>
      <formula2>2</formula2>
    </dataValidation>
    <dataValidation type="whole" allowBlank="1" showErrorMessage="1" errorTitle="항목 눈금 확인" error="이 행에 지정된 범위의 값을 입력해 주세요." sqref="J10:AC10">
      <formula1>-2</formula1>
      <formula2>2</formula2>
    </dataValidation>
    <dataValidation type="whole" allowBlank="1" showErrorMessage="1" errorTitle="항목 눈금 확인" error="이 행에 지정된 범위의 값을 입력해 주세요." sqref="J12:AC12">
      <formula1>-2</formula1>
      <formula2>2</formula2>
    </dataValidation>
    <dataValidation type="whole" allowBlank="1" showErrorMessage="1" errorTitle="항목 눈금 확인" error="이 행에 지정된 범위의 값을 입력해 주세요." sqref="J13:AC13">
      <formula1>-2</formula1>
      <formula2>2</formula2>
    </dataValidation>
    <dataValidation type="whole" allowBlank="1" showErrorMessage="1" errorTitle="항목 눈금 확인" error="이 행에 지정된 범위의 값을 입력해 주세요." sqref="J14:AC14">
      <formula1>-2</formula1>
      <formula2>2</formula2>
    </dataValidation>
    <dataValidation type="whole" allowBlank="1" showErrorMessage="1" errorTitle="항목 눈금 확인" error="이 행에 지정된 범위의 값을 입력해 주세요." sqref="J15:AC15">
      <formula1>-2</formula1>
      <formula2>2</formula2>
    </dataValidation>
    <dataValidation type="whole" allowBlank="1" showErrorMessage="1" errorTitle="항목 눈금 확인" error="이 행에 지정된 범위의 값을 입력해 주세요." sqref="J17:AC17">
      <formula1>-2</formula1>
      <formula2>2</formula2>
    </dataValidation>
    <dataValidation type="whole" allowBlank="1" showErrorMessage="1" errorTitle="항목 눈금 확인" error="이 행에 지정된 범위의 값을 입력해 주세요." sqref="J18:AC18">
      <formula1>-2</formula1>
      <formula2>2</formula2>
    </dataValidation>
    <dataValidation type="whole" allowBlank="1" showErrorMessage="1" errorTitle="항목 눈금 확인" error="이 행에 지정된 범위의 값을 입력해 주세요." sqref="J19:AC19">
      <formula1>-2</formula1>
      <formula2>2</formula2>
    </dataValidation>
    <dataValidation type="whole" allowBlank="1" showErrorMessage="1" errorTitle="항목 눈금 확인" error="이 행에 지정된 범위의 값을 입력해 주세요." sqref="J22:AC22">
      <formula1>-2</formula1>
      <formula2>2</formula2>
    </dataValidation>
    <dataValidation type="whole" allowBlank="1" showErrorMessage="1" errorTitle="항목 눈금 확인" error="이 행에 지정된 범위의 값을 입력해 주세요." sqref="J23:AC23">
      <formula1>-2</formula1>
      <formula2>2</formula2>
    </dataValidation>
    <dataValidation type="whole" allowBlank="1" showErrorMessage="1" errorTitle="항목 눈금 확인" error="이 행에 지정된 범위의 값을 입력해 주세요." sqref="J24:AC24">
      <formula1>-2</formula1>
      <formula2>2</formula2>
    </dataValidation>
    <dataValidation type="whole" allowBlank="1" showErrorMessage="1" errorTitle="항목 눈금 확인" error="이 행에 지정된 범위의 값을 입력해 주세요." sqref="J25:AC25">
      <formula1>-2</formula1>
      <formula2>2</formula2>
    </dataValidation>
    <dataValidation type="whole" allowBlank="1" showErrorMessage="1" errorTitle="항목 눈금 확인" error="이 행에 지정된 범위의 값을 입력해 주세요." sqref="J28:AC28">
      <formula1>-2</formula1>
      <formula2>2</formula2>
    </dataValidation>
    <dataValidation type="whole" allowBlank="1" showErrorMessage="1" errorTitle="항목 눈금 확인" error="이 행에 지정된 범위의 값을 입력해 주세요." sqref="J30:AC30">
      <formula1>-2</formula1>
      <formula2>2</formula2>
    </dataValidation>
    <dataValidation type="whole" allowBlank="1" showErrorMessage="1" errorTitle="항목 눈금 확인" error="이 행에 지정된 범위의 값을 입력해 주세요." sqref="J34:AC34">
      <formula1>-2</formula1>
      <formula2>2</formula2>
    </dataValidation>
    <dataValidation type="whole" allowBlank="1" showErrorMessage="1" errorTitle="항목 눈금 확인" error="이 행에 지정된 범위의 값을 입력해 주세요." sqref="J44:AC44">
      <formula1>-2</formula1>
      <formula2>2</formula2>
    </dataValidation>
    <dataValidation type="whole" allowBlank="1" showErrorMessage="1" errorTitle="항목 눈금 확인" error="이 행에 지정된 범위의 값을 입력해 주세요." sqref="J45:AC45">
      <formula1>-2</formula1>
      <formula2>2</formula2>
    </dataValidation>
    <dataValidation type="whole" allowBlank="1" showErrorMessage="1" errorTitle="항목 눈금 확인" error="이 행에 지정된 범위의 값을 입력해 주세요." sqref="J46:AC46">
      <formula1>-2</formula1>
      <formula2>2</formula2>
    </dataValidation>
    <dataValidation type="whole" allowBlank="1" showErrorMessage="1" errorTitle="항목 눈금 확인" error="이 행에 지정된 범위의 값을 입력해 주세요." sqref="J51:AC51">
      <formula1>-2</formula1>
      <formula2>2</formula2>
    </dataValidation>
    <dataValidation type="whole" allowBlank="1" showErrorMessage="1" errorTitle="항목 눈금 확인" error="이 행에 지정된 범위의 값을 입력해 주세요." sqref="J52:AC52">
      <formula1>-2</formula1>
      <formula2>2</formula2>
    </dataValidation>
    <dataValidation type="whole" allowBlank="1" showErrorMessage="1" errorTitle="항목 눈금 확인" error="이 행에 지정된 범위의 값을 입력해 주세요." sqref="J54:AC54">
      <formula1>-2</formula1>
      <formula2>2</formula2>
    </dataValidation>
    <dataValidation type="whole" allowBlank="1" showErrorMessage="1" errorTitle="항목 눈금 확인" error="이 행에 지정된 범위의 값을 입력해 주세요." sqref="J55:AC55">
      <formula1>-2</formula1>
      <formula2>2</formula2>
    </dataValidation>
    <dataValidation type="whole" allowBlank="1" showErrorMessage="1" errorTitle="항목 눈금 확인" error="이 행에 지정된 범위의 값을 입력해 주세요." sqref="J56:AC56">
      <formula1>-2</formula1>
      <formula2>2</formula2>
    </dataValidation>
    <dataValidation type="whole" allowBlank="1" showErrorMessage="1" errorTitle="항목 눈금 확인" error="이 행에 지정된 범위의 값을 입력해 주세요." sqref="J58:AC58">
      <formula1>-2</formula1>
      <formula2>2</formula2>
    </dataValidation>
    <dataValidation type="whole" allowBlank="1" showErrorMessage="1" errorTitle="항목 눈금 확인" error="이 행에 지정된 범위의 값을 입력해 주세요." sqref="J11:AC11">
      <formula1>0</formula1>
      <formula2>3</formula2>
    </dataValidation>
    <dataValidation type="whole" allowBlank="1" showErrorMessage="1" errorTitle="항목 눈금 확인" error="이 행에 지정된 범위의 값을 입력해 주세요." sqref="J47:AC47">
      <formula1>0</formula1>
      <formula2>3</formula2>
    </dataValidation>
    <dataValidation type="whole" allowBlank="1" showErrorMessage="1" errorTitle="항목 눈금 확인" error="이 행에 지정된 범위의 값을 입력해 주세요." sqref="J48:AC48">
      <formula1>0</formula1>
      <formula2>3</formula2>
    </dataValidation>
    <dataValidation type="whole" allowBlank="1" showErrorMessage="1" errorTitle="항목 눈금 확인" error="이 행에 지정된 범위의 값을 입력해 주세요." sqref="J49:AC49">
      <formula1>0</formula1>
      <formula2>3</formula2>
    </dataValidation>
    <dataValidation type="whole" allowBlank="1" showErrorMessage="1" errorTitle="항목 눈금 확인" error="이 행에 지정된 범위의 값을 입력해 주세요." sqref="J50:AC50">
      <formula1>0</formula1>
      <formula2>3</formula2>
    </dataValidation>
    <dataValidation type="whole" allowBlank="1" showErrorMessage="1" errorTitle="항목 눈금 확인" error="이 행에 지정된 범위의 값을 입력해 주세요." sqref="J53:AC53">
      <formula1>0</formula1>
      <formula2>3</formula2>
    </dataValidation>
    <dataValidation type="whole" allowBlank="1" showErrorMessage="1" errorTitle="항목 눈금 확인" error="이 행에 지정된 범위의 값을 입력해 주세요." sqref="J57:AC57">
      <formula1>0</formula1>
      <formula2>3</formula2>
    </dataValidation>
    <dataValidation type="whole" allowBlank="1" showErrorMessage="1" errorTitle="항목 눈금 확인" error="이 행에 지정된 범위의 값을 입력해 주세요." sqref="J37:AC37">
      <formula1>0</formula1>
      <formula2>3</formula2>
    </dataValidation>
    <dataValidation type="whole" allowBlank="1" showErrorMessage="1" errorTitle="항목 눈금 확인" error="이 행에 지정된 범위의 값을 입력해 주세요." sqref="J38:AC38">
      <formula1>0</formula1>
      <formula2>3</formula2>
    </dataValidation>
    <dataValidation type="whole" allowBlank="1" showErrorMessage="1" errorTitle="항목 눈금 확인" error="이 행에 지정된 범위의 값을 입력해 주세요." sqref="J39:AC39">
      <formula1>0</formula1>
      <formula2>3</formula2>
    </dataValidation>
    <dataValidation type="whole" allowBlank="1" showErrorMessage="1" errorTitle="항목 눈금 확인" error="이 행에 지정된 범위의 값을 입력해 주세요." sqref="J40:AC40">
      <formula1>0</formula1>
      <formula2>3</formula2>
    </dataValidation>
    <dataValidation type="whole" allowBlank="1" showErrorMessage="1" errorTitle="항목 눈금 확인" error="이 행에 지정된 범위의 값을 입력해 주세요." sqref="J41:AC41">
      <formula1>0</formula1>
      <formula2>3</formula2>
    </dataValidation>
    <dataValidation type="whole" allowBlank="1" showErrorMessage="1" errorTitle="항목 눈금 확인" error="이 행에 지정된 범위의 값을 입력해 주세요." sqref="J42:AC42">
      <formula1>0</formula1>
      <formula2>3</formula2>
    </dataValidation>
    <dataValidation type="whole" allowBlank="1" showErrorMessage="1" errorTitle="항목 눈금 확인" error="이 행에 지정된 범위의 값을 입력해 주세요." sqref="J43:AC43">
      <formula1>0</formula1>
      <formula2>3</formula2>
    </dataValidation>
    <dataValidation type="whole" allowBlank="1" showErrorMessage="1" errorTitle="항목 눈금 확인" error="이 행에 지정된 범위의 값을 입력해 주세요." sqref="J7:AC7">
      <formula1>0</formula1>
      <formula2>1</formula2>
    </dataValidation>
    <dataValidation type="whole" allowBlank="1" showErrorMessage="1" errorTitle="항목 눈금 확인" error="이 행에 지정된 범위의 값을 입력해 주세요." sqref="J29:AC29">
      <formula1>0</formula1>
      <formula2>1</formula2>
    </dataValidation>
    <dataValidation type="whole" allowBlank="1" showErrorMessage="1" errorTitle="항목 눈금 확인" error="이 행에 지정된 범위의 값을 입력해 주세요." sqref="J16:AC16">
      <formula1>0</formula1>
      <formula2>4</formula2>
    </dataValidation>
    <dataValidation type="whole" allowBlank="1" showErrorMessage="1" errorTitle="항목 눈금 확인" error="이 행에 지정된 범위의 값을 입력해 주세요." sqref="J21:AC21">
      <formula1>0</formula1>
      <formula2>9999</formula2>
    </dataValidation>
    <dataValidation type="decimal" allowBlank="1" showErrorMessage="1" errorTitle="항목 눈금 확인" error="이 행에 지정된 범위의 값을 입력해 주세요." sqref="J32:AC32">
      <formula1>0</formula1>
      <formula2>99</formula2>
    </dataValidation>
    <dataValidation type="list" allowBlank="1" showErrorMessage="1" errorTitle="애착유형 확인" error="기존 네 가지 애착유형 또는 판정보류를 목록에서 선택해 주세요." sqref="B70:B89">
      <formula1>"곁에서 안심하는 사이,가까이 있어도 안심이 어려운 사이,거리를 두고 지내는 사이,다가감과 물러섬이 함께 나오는 사이,판정보류"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54"/>
  <sheetViews>
    <sheetView showGridLines="0" workbookViewId="0">
      <pane xSplit="9" ySplit="4" topLeftCell="J5" activePane="bottomRight" state="frozen"/>
      <selection pane="topRight"/>
      <selection pane="bottomLeft"/>
      <selection pane="bottomRight" activeCell="J5" sqref="J5"/>
    </sheetView>
  </sheetViews>
  <sheetFormatPr defaultRowHeight="16.5" x14ac:dyDescent="0.3"/>
  <cols>
    <col min="1" max="1" width="8" style="2" customWidth="1"/>
    <col min="2" max="2" width="44" style="2" customWidth="1"/>
    <col min="3" max="7" width="26" style="2" customWidth="1"/>
    <col min="8" max="8" width="22" style="2" customWidth="1"/>
    <col min="9" max="9" width="10" style="2" customWidth="1"/>
    <col min="10" max="29" width="5" style="2" customWidth="1"/>
    <col min="30" max="36" width="9" style="2" customWidth="1"/>
    <col min="37" max="16384" width="9" style="2"/>
  </cols>
  <sheetData>
    <row r="1" spans="1:51" ht="36" customHeight="1" x14ac:dyDescent="0.3">
      <c r="A1" s="59" t="s">
        <v>388</v>
      </c>
      <c r="B1" s="55"/>
      <c r="C1" s="55"/>
      <c r="D1" s="55"/>
      <c r="E1" s="55"/>
      <c r="F1" s="55"/>
      <c r="G1" s="55"/>
      <c r="H1" s="55"/>
      <c r="I1" s="5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</row>
    <row r="2" spans="1:51" ht="36" customHeight="1" x14ac:dyDescent="0.3">
      <c r="A2" s="62" t="s">
        <v>389</v>
      </c>
      <c r="B2" s="55"/>
      <c r="C2" s="55"/>
      <c r="D2" s="55"/>
      <c r="E2" s="55"/>
      <c r="F2" s="55"/>
      <c r="G2" s="55"/>
      <c r="H2" s="55"/>
      <c r="I2" s="5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</row>
    <row r="3" spans="1:51" ht="36" customHeight="1" x14ac:dyDescent="0.3">
      <c r="A3" s="62" t="s">
        <v>48</v>
      </c>
      <c r="B3" s="55"/>
      <c r="C3" s="55"/>
      <c r="D3" s="55"/>
      <c r="E3" s="55"/>
      <c r="F3" s="55"/>
      <c r="G3" s="55"/>
      <c r="H3" s="55"/>
      <c r="I3" s="5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</row>
    <row r="4" spans="1:51" x14ac:dyDescent="0.3">
      <c r="A4" s="19" t="s">
        <v>49</v>
      </c>
      <c r="B4" s="19" t="s">
        <v>50</v>
      </c>
      <c r="C4" s="19" t="s">
        <v>51</v>
      </c>
      <c r="D4" s="19" t="s">
        <v>52</v>
      </c>
      <c r="E4" s="19" t="s">
        <v>53</v>
      </c>
      <c r="F4" s="19" t="s">
        <v>54</v>
      </c>
      <c r="G4" s="19" t="s">
        <v>55</v>
      </c>
      <c r="H4" s="19" t="s">
        <v>56</v>
      </c>
      <c r="I4" s="19" t="s">
        <v>57</v>
      </c>
      <c r="J4" s="20" t="s">
        <v>58</v>
      </c>
      <c r="K4" s="20" t="s">
        <v>59</v>
      </c>
      <c r="L4" s="20" t="s">
        <v>60</v>
      </c>
      <c r="M4" s="20" t="s">
        <v>61</v>
      </c>
      <c r="N4" s="20" t="s">
        <v>62</v>
      </c>
      <c r="O4" s="20" t="s">
        <v>63</v>
      </c>
      <c r="P4" s="20" t="s">
        <v>64</v>
      </c>
      <c r="Q4" s="20" t="s">
        <v>65</v>
      </c>
      <c r="R4" s="20" t="s">
        <v>66</v>
      </c>
      <c r="S4" s="20" t="s">
        <v>67</v>
      </c>
      <c r="T4" s="20" t="s">
        <v>68</v>
      </c>
      <c r="U4" s="20" t="s">
        <v>69</v>
      </c>
      <c r="V4" s="20" t="s">
        <v>70</v>
      </c>
      <c r="W4" s="20" t="s">
        <v>71</v>
      </c>
      <c r="X4" s="20" t="s">
        <v>72</v>
      </c>
      <c r="Y4" s="20" t="s">
        <v>73</v>
      </c>
      <c r="Z4" s="20" t="s">
        <v>74</v>
      </c>
      <c r="AA4" s="20" t="s">
        <v>75</v>
      </c>
      <c r="AB4" s="20" t="s">
        <v>76</v>
      </c>
      <c r="AC4" s="20" t="s">
        <v>77</v>
      </c>
      <c r="AD4" s="6" t="s">
        <v>78</v>
      </c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6" t="s">
        <v>79</v>
      </c>
    </row>
    <row r="5" spans="1:51" ht="125.1" customHeight="1" x14ac:dyDescent="0.3">
      <c r="A5" s="7" t="s">
        <v>390</v>
      </c>
      <c r="B5" s="8" t="s">
        <v>391</v>
      </c>
      <c r="C5" s="8" t="s">
        <v>392</v>
      </c>
      <c r="D5" s="8" t="s">
        <v>393</v>
      </c>
      <c r="E5" s="8" t="s">
        <v>394</v>
      </c>
      <c r="F5" s="8" t="s">
        <v>395</v>
      </c>
      <c r="G5" s="8" t="s">
        <v>396</v>
      </c>
      <c r="H5" s="8" t="s">
        <v>397</v>
      </c>
      <c r="I5" s="9" t="s">
        <v>398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37"/>
      <c r="AE5" s="37">
        <f>0</f>
        <v>0</v>
      </c>
      <c r="AF5" s="37">
        <f>0</f>
        <v>0</v>
      </c>
      <c r="AG5" s="37">
        <f>0</f>
        <v>0</v>
      </c>
      <c r="AH5" s="37">
        <f>0</f>
        <v>0</v>
      </c>
      <c r="AI5" s="37">
        <f>0</f>
        <v>0</v>
      </c>
      <c r="AJ5" s="37">
        <f>0</f>
        <v>0</v>
      </c>
      <c r="AK5" s="37">
        <f>0</f>
        <v>0</v>
      </c>
      <c r="AL5" s="37">
        <f>0</f>
        <v>0</v>
      </c>
      <c r="AM5" s="37">
        <f>0</f>
        <v>0</v>
      </c>
      <c r="AN5" s="37">
        <f>0</f>
        <v>0</v>
      </c>
      <c r="AO5" s="37">
        <f>0</f>
        <v>0</v>
      </c>
      <c r="AP5" s="37">
        <f>0</f>
        <v>0</v>
      </c>
      <c r="AQ5" s="37">
        <f>0</f>
        <v>0</v>
      </c>
      <c r="AR5" s="37">
        <f>0</f>
        <v>0</v>
      </c>
      <c r="AS5" s="37">
        <f>0</f>
        <v>0</v>
      </c>
      <c r="AT5" s="37">
        <f>0</f>
        <v>0</v>
      </c>
      <c r="AU5" s="37">
        <f>0</f>
        <v>0</v>
      </c>
      <c r="AV5" s="37">
        <f>0</f>
        <v>0</v>
      </c>
      <c r="AW5" s="37">
        <f>0</f>
        <v>0</v>
      </c>
      <c r="AX5" s="37">
        <f>0</f>
        <v>0</v>
      </c>
      <c r="AY5" s="37" t="s">
        <v>168</v>
      </c>
    </row>
    <row r="6" spans="1:51" ht="120" customHeight="1" x14ac:dyDescent="0.3">
      <c r="A6" s="7" t="s">
        <v>399</v>
      </c>
      <c r="B6" s="8" t="s">
        <v>400</v>
      </c>
      <c r="C6" s="8" t="s">
        <v>401</v>
      </c>
      <c r="D6" s="8" t="s">
        <v>402</v>
      </c>
      <c r="E6" s="8" t="s">
        <v>403</v>
      </c>
      <c r="F6" s="8" t="s">
        <v>404</v>
      </c>
      <c r="G6" s="8" t="s">
        <v>405</v>
      </c>
      <c r="H6" s="8" t="s">
        <v>406</v>
      </c>
      <c r="I6" s="9" t="s">
        <v>407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37"/>
      <c r="AE6" s="37">
        <f>0</f>
        <v>0</v>
      </c>
      <c r="AF6" s="37">
        <f>0</f>
        <v>0</v>
      </c>
      <c r="AG6" s="37">
        <f>0</f>
        <v>0</v>
      </c>
      <c r="AH6" s="37">
        <f>0</f>
        <v>0</v>
      </c>
      <c r="AI6" s="37">
        <f>0</f>
        <v>0</v>
      </c>
      <c r="AJ6" s="37">
        <f>0</f>
        <v>0</v>
      </c>
      <c r="AK6" s="37">
        <f>0</f>
        <v>0</v>
      </c>
      <c r="AL6" s="37">
        <f>0</f>
        <v>0</v>
      </c>
      <c r="AM6" s="37">
        <f>0</f>
        <v>0</v>
      </c>
      <c r="AN6" s="37">
        <f>0</f>
        <v>0</v>
      </c>
      <c r="AO6" s="37">
        <f>0</f>
        <v>0</v>
      </c>
      <c r="AP6" s="37">
        <f>0</f>
        <v>0</v>
      </c>
      <c r="AQ6" s="37">
        <f>0</f>
        <v>0</v>
      </c>
      <c r="AR6" s="37">
        <f>0</f>
        <v>0</v>
      </c>
      <c r="AS6" s="37">
        <f>0</f>
        <v>0</v>
      </c>
      <c r="AT6" s="37">
        <f>0</f>
        <v>0</v>
      </c>
      <c r="AU6" s="37">
        <f>0</f>
        <v>0</v>
      </c>
      <c r="AV6" s="37">
        <f>0</f>
        <v>0</v>
      </c>
      <c r="AW6" s="37">
        <f>0</f>
        <v>0</v>
      </c>
      <c r="AX6" s="37">
        <f>0</f>
        <v>0</v>
      </c>
      <c r="AY6" s="37" t="s">
        <v>168</v>
      </c>
    </row>
    <row r="7" spans="1:51" ht="99.95" customHeight="1" x14ac:dyDescent="0.3">
      <c r="A7" s="7" t="s">
        <v>399</v>
      </c>
      <c r="B7" s="8"/>
      <c r="C7" s="8"/>
      <c r="D7" s="8"/>
      <c r="E7" s="8"/>
      <c r="F7" s="8"/>
      <c r="G7" s="8"/>
      <c r="H7" s="8"/>
      <c r="I7" s="9" t="s">
        <v>253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37"/>
      <c r="AE7" s="37">
        <f>IF($J7="",0,IF(INDEX($C7:$G7,$J7+3)="",0,$J7+3))</f>
        <v>0</v>
      </c>
      <c r="AF7" s="37">
        <f>IF($K7="",0,IF(INDEX($C7:$G7,$K7+3)="",0,$K7+3))</f>
        <v>0</v>
      </c>
      <c r="AG7" s="37">
        <f>IF($L7="",0,IF(INDEX($C7:$G7,$L7+3)="",0,$L7+3))</f>
        <v>0</v>
      </c>
      <c r="AH7" s="37">
        <f>IF($M7="",0,IF(INDEX($C7:$G7,$M7+3)="",0,$M7+3))</f>
        <v>0</v>
      </c>
      <c r="AI7" s="37">
        <f>IF($N7="",0,IF(INDEX($C7:$G7,$N7+3)="",0,$N7+3))</f>
        <v>0</v>
      </c>
      <c r="AJ7" s="37">
        <f>IF($O7="",0,IF(INDEX($C7:$G7,$O7+3)="",0,$O7+3))</f>
        <v>0</v>
      </c>
      <c r="AK7" s="37">
        <f>IF($P7="",0,IF(INDEX($C7:$G7,$P7+3)="",0,$P7+3))</f>
        <v>0</v>
      </c>
      <c r="AL7" s="37">
        <f>IF($Q7="",0,IF(INDEX($C7:$G7,$Q7+3)="",0,$Q7+3))</f>
        <v>0</v>
      </c>
      <c r="AM7" s="37">
        <f>IF($R7="",0,IF(INDEX($C7:$G7,$R7+3)="",0,$R7+3))</f>
        <v>0</v>
      </c>
      <c r="AN7" s="37">
        <f>IF($S7="",0,IF(INDEX($C7:$G7,$S7+3)="",0,$S7+3))</f>
        <v>0</v>
      </c>
      <c r="AO7" s="37">
        <f>IF($T7="",0,IF(INDEX($C7:$G7,$T7+3)="",0,$T7+3))</f>
        <v>0</v>
      </c>
      <c r="AP7" s="37">
        <f>IF($U7="",0,IF(INDEX($C7:$G7,$U7+3)="",0,$U7+3))</f>
        <v>0</v>
      </c>
      <c r="AQ7" s="37">
        <f>IF($V7="",0,IF(INDEX($C7:$G7,$V7+3)="",0,$V7+3))</f>
        <v>0</v>
      </c>
      <c r="AR7" s="37">
        <f>IF($W7="",0,IF(INDEX($C7:$G7,$W7+3)="",0,$W7+3))</f>
        <v>0</v>
      </c>
      <c r="AS7" s="37">
        <f>IF($X7="",0,IF(INDEX($C7:$G7,$X7+3)="",0,$X7+3))</f>
        <v>0</v>
      </c>
      <c r="AT7" s="37">
        <f>IF($Y7="",0,IF(INDEX($C7:$G7,$Y7+3)="",0,$Y7+3))</f>
        <v>0</v>
      </c>
      <c r="AU7" s="37">
        <f>IF($Z7="",0,IF(INDEX($C7:$G7,$Z7+3)="",0,$Z7+3))</f>
        <v>0</v>
      </c>
      <c r="AV7" s="37">
        <f>IF($AA7="",0,IF(INDEX($C7:$G7,$AA7+3)="",0,$AA7+3))</f>
        <v>0</v>
      </c>
      <c r="AW7" s="37">
        <f>IF($AB7="",0,IF(INDEX($C7:$G7,$AB7+3)="",0,$AB7+3))</f>
        <v>0</v>
      </c>
      <c r="AX7" s="37">
        <f>IF($AC7="",0,IF(INDEX($C7:$G7,$AC7+3)="",0,$AC7+3))</f>
        <v>0</v>
      </c>
      <c r="AY7" s="37"/>
    </row>
    <row r="8" spans="1:51" ht="99.95" customHeight="1" x14ac:dyDescent="0.3">
      <c r="A8" s="7" t="s">
        <v>399</v>
      </c>
      <c r="B8" s="8"/>
      <c r="C8" s="8"/>
      <c r="D8" s="8"/>
      <c r="E8" s="8"/>
      <c r="F8" s="8"/>
      <c r="G8" s="8"/>
      <c r="H8" s="8"/>
      <c r="I8" s="9" t="s">
        <v>253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37"/>
      <c r="AE8" s="37">
        <f>IF($J8="",0,IF(INDEX($C8:$G8,$J8+3)="",0,$J8+3))</f>
        <v>0</v>
      </c>
      <c r="AF8" s="37">
        <f>IF($K8="",0,IF(INDEX($C8:$G8,$K8+3)="",0,$K8+3))</f>
        <v>0</v>
      </c>
      <c r="AG8" s="37">
        <f>IF($L8="",0,IF(INDEX($C8:$G8,$L8+3)="",0,$L8+3))</f>
        <v>0</v>
      </c>
      <c r="AH8" s="37">
        <f>IF($M8="",0,IF(INDEX($C8:$G8,$M8+3)="",0,$M8+3))</f>
        <v>0</v>
      </c>
      <c r="AI8" s="37">
        <f>IF($N8="",0,IF(INDEX($C8:$G8,$N8+3)="",0,$N8+3))</f>
        <v>0</v>
      </c>
      <c r="AJ8" s="37">
        <f>IF($O8="",0,IF(INDEX($C8:$G8,$O8+3)="",0,$O8+3))</f>
        <v>0</v>
      </c>
      <c r="AK8" s="37">
        <f>IF($P8="",0,IF(INDEX($C8:$G8,$P8+3)="",0,$P8+3))</f>
        <v>0</v>
      </c>
      <c r="AL8" s="37">
        <f>IF($Q8="",0,IF(INDEX($C8:$G8,$Q8+3)="",0,$Q8+3))</f>
        <v>0</v>
      </c>
      <c r="AM8" s="37">
        <f>IF($R8="",0,IF(INDEX($C8:$G8,$R8+3)="",0,$R8+3))</f>
        <v>0</v>
      </c>
      <c r="AN8" s="37">
        <f>IF($S8="",0,IF(INDEX($C8:$G8,$S8+3)="",0,$S8+3))</f>
        <v>0</v>
      </c>
      <c r="AO8" s="37">
        <f>IF($T8="",0,IF(INDEX($C8:$G8,$T8+3)="",0,$T8+3))</f>
        <v>0</v>
      </c>
      <c r="AP8" s="37">
        <f>IF($U8="",0,IF(INDEX($C8:$G8,$U8+3)="",0,$U8+3))</f>
        <v>0</v>
      </c>
      <c r="AQ8" s="37">
        <f>IF($V8="",0,IF(INDEX($C8:$G8,$V8+3)="",0,$V8+3))</f>
        <v>0</v>
      </c>
      <c r="AR8" s="37">
        <f>IF($W8="",0,IF(INDEX($C8:$G8,$W8+3)="",0,$W8+3))</f>
        <v>0</v>
      </c>
      <c r="AS8" s="37">
        <f>IF($X8="",0,IF(INDEX($C8:$G8,$X8+3)="",0,$X8+3))</f>
        <v>0</v>
      </c>
      <c r="AT8" s="37">
        <f>IF($Y8="",0,IF(INDEX($C8:$G8,$Y8+3)="",0,$Y8+3))</f>
        <v>0</v>
      </c>
      <c r="AU8" s="37">
        <f>IF($Z8="",0,IF(INDEX($C8:$G8,$Z8+3)="",0,$Z8+3))</f>
        <v>0</v>
      </c>
      <c r="AV8" s="37">
        <f>IF($AA8="",0,IF(INDEX($C8:$G8,$AA8+3)="",0,$AA8+3))</f>
        <v>0</v>
      </c>
      <c r="AW8" s="37">
        <f>IF($AB8="",0,IF(INDEX($C8:$G8,$AB8+3)="",0,$AB8+3))</f>
        <v>0</v>
      </c>
      <c r="AX8" s="37">
        <f>IF($AC8="",0,IF(INDEX($C8:$G8,$AC8+3)="",0,$AC8+3))</f>
        <v>0</v>
      </c>
      <c r="AY8" s="37"/>
    </row>
    <row r="9" spans="1:51" ht="120" customHeight="1" x14ac:dyDescent="0.3">
      <c r="A9" s="7" t="s">
        <v>399</v>
      </c>
      <c r="B9" s="8" t="s">
        <v>408</v>
      </c>
      <c r="C9" s="8" t="s">
        <v>409</v>
      </c>
      <c r="D9" s="8" t="s">
        <v>410</v>
      </c>
      <c r="E9" s="8" t="s">
        <v>411</v>
      </c>
      <c r="F9" s="8" t="s">
        <v>412</v>
      </c>
      <c r="G9" s="8" t="s">
        <v>413</v>
      </c>
      <c r="H9" s="8" t="s">
        <v>406</v>
      </c>
      <c r="I9" s="9" t="s">
        <v>407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37"/>
      <c r="AE9" s="37">
        <f>0</f>
        <v>0</v>
      </c>
      <c r="AF9" s="37">
        <f>0</f>
        <v>0</v>
      </c>
      <c r="AG9" s="37">
        <f>0</f>
        <v>0</v>
      </c>
      <c r="AH9" s="37">
        <f>0</f>
        <v>0</v>
      </c>
      <c r="AI9" s="37">
        <f>0</f>
        <v>0</v>
      </c>
      <c r="AJ9" s="37">
        <f>0</f>
        <v>0</v>
      </c>
      <c r="AK9" s="37">
        <f>0</f>
        <v>0</v>
      </c>
      <c r="AL9" s="37">
        <f>0</f>
        <v>0</v>
      </c>
      <c r="AM9" s="37">
        <f>0</f>
        <v>0</v>
      </c>
      <c r="AN9" s="37">
        <f>0</f>
        <v>0</v>
      </c>
      <c r="AO9" s="37">
        <f>0</f>
        <v>0</v>
      </c>
      <c r="AP9" s="37">
        <f>0</f>
        <v>0</v>
      </c>
      <c r="AQ9" s="37">
        <f>0</f>
        <v>0</v>
      </c>
      <c r="AR9" s="37">
        <f>0</f>
        <v>0</v>
      </c>
      <c r="AS9" s="37">
        <f>0</f>
        <v>0</v>
      </c>
      <c r="AT9" s="37">
        <f>0</f>
        <v>0</v>
      </c>
      <c r="AU9" s="37">
        <f>0</f>
        <v>0</v>
      </c>
      <c r="AV9" s="37">
        <f>0</f>
        <v>0</v>
      </c>
      <c r="AW9" s="37">
        <f>0</f>
        <v>0</v>
      </c>
      <c r="AX9" s="37">
        <f>0</f>
        <v>0</v>
      </c>
      <c r="AY9" s="37" t="s">
        <v>168</v>
      </c>
    </row>
    <row r="10" spans="1:51" ht="120" customHeight="1" x14ac:dyDescent="0.3">
      <c r="A10" s="7" t="s">
        <v>102</v>
      </c>
      <c r="B10" s="8" t="s">
        <v>414</v>
      </c>
      <c r="C10" s="8" t="s">
        <v>415</v>
      </c>
      <c r="D10" s="8" t="s">
        <v>416</v>
      </c>
      <c r="E10" s="8" t="s">
        <v>417</v>
      </c>
      <c r="F10" s="8" t="s">
        <v>418</v>
      </c>
      <c r="G10" s="8" t="s">
        <v>419</v>
      </c>
      <c r="H10" s="8" t="s">
        <v>420</v>
      </c>
      <c r="I10" s="9" t="s">
        <v>421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37"/>
      <c r="AE10" s="37">
        <f>0</f>
        <v>0</v>
      </c>
      <c r="AF10" s="37">
        <f>0</f>
        <v>0</v>
      </c>
      <c r="AG10" s="37">
        <f>0</f>
        <v>0</v>
      </c>
      <c r="AH10" s="37">
        <f>0</f>
        <v>0</v>
      </c>
      <c r="AI10" s="37">
        <f>0</f>
        <v>0</v>
      </c>
      <c r="AJ10" s="37">
        <f>0</f>
        <v>0</v>
      </c>
      <c r="AK10" s="37">
        <f>0</f>
        <v>0</v>
      </c>
      <c r="AL10" s="37">
        <f>0</f>
        <v>0</v>
      </c>
      <c r="AM10" s="37">
        <f>0</f>
        <v>0</v>
      </c>
      <c r="AN10" s="37">
        <f>0</f>
        <v>0</v>
      </c>
      <c r="AO10" s="37">
        <f>0</f>
        <v>0</v>
      </c>
      <c r="AP10" s="37">
        <f>0</f>
        <v>0</v>
      </c>
      <c r="AQ10" s="37">
        <f>0</f>
        <v>0</v>
      </c>
      <c r="AR10" s="37">
        <f>0</f>
        <v>0</v>
      </c>
      <c r="AS10" s="37">
        <f>0</f>
        <v>0</v>
      </c>
      <c r="AT10" s="37">
        <f>0</f>
        <v>0</v>
      </c>
      <c r="AU10" s="37">
        <f>0</f>
        <v>0</v>
      </c>
      <c r="AV10" s="37">
        <f>0</f>
        <v>0</v>
      </c>
      <c r="AW10" s="37">
        <f>0</f>
        <v>0</v>
      </c>
      <c r="AX10" s="37">
        <f>0</f>
        <v>0</v>
      </c>
      <c r="AY10" s="37"/>
    </row>
    <row r="11" spans="1:51" ht="120" customHeight="1" x14ac:dyDescent="0.3">
      <c r="A11" s="7" t="s">
        <v>129</v>
      </c>
      <c r="B11" s="8" t="s">
        <v>422</v>
      </c>
      <c r="C11" s="8" t="s">
        <v>423</v>
      </c>
      <c r="D11" s="8" t="s">
        <v>424</v>
      </c>
      <c r="E11" s="8" t="s">
        <v>425</v>
      </c>
      <c r="F11" s="8" t="s">
        <v>426</v>
      </c>
      <c r="G11" s="8" t="s">
        <v>427</v>
      </c>
      <c r="H11" s="8" t="s">
        <v>420</v>
      </c>
      <c r="I11" s="9" t="s">
        <v>421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37"/>
      <c r="AE11" s="37">
        <f>0</f>
        <v>0</v>
      </c>
      <c r="AF11" s="37">
        <f>0</f>
        <v>0</v>
      </c>
      <c r="AG11" s="37">
        <f>0</f>
        <v>0</v>
      </c>
      <c r="AH11" s="37">
        <f>0</f>
        <v>0</v>
      </c>
      <c r="AI11" s="37">
        <f>0</f>
        <v>0</v>
      </c>
      <c r="AJ11" s="37">
        <f>0</f>
        <v>0</v>
      </c>
      <c r="AK11" s="37">
        <f>0</f>
        <v>0</v>
      </c>
      <c r="AL11" s="37">
        <f>0</f>
        <v>0</v>
      </c>
      <c r="AM11" s="37">
        <f>0</f>
        <v>0</v>
      </c>
      <c r="AN11" s="37">
        <f>0</f>
        <v>0</v>
      </c>
      <c r="AO11" s="37">
        <f>0</f>
        <v>0</v>
      </c>
      <c r="AP11" s="37">
        <f>0</f>
        <v>0</v>
      </c>
      <c r="AQ11" s="37">
        <f>0</f>
        <v>0</v>
      </c>
      <c r="AR11" s="37">
        <f>0</f>
        <v>0</v>
      </c>
      <c r="AS11" s="37">
        <f>0</f>
        <v>0</v>
      </c>
      <c r="AT11" s="37">
        <f>0</f>
        <v>0</v>
      </c>
      <c r="AU11" s="37">
        <f>0</f>
        <v>0</v>
      </c>
      <c r="AV11" s="37">
        <f>0</f>
        <v>0</v>
      </c>
      <c r="AW11" s="37">
        <f>0</f>
        <v>0</v>
      </c>
      <c r="AX11" s="37">
        <f>0</f>
        <v>0</v>
      </c>
      <c r="AY11" s="37"/>
    </row>
    <row r="12" spans="1:51" ht="120" customHeight="1" x14ac:dyDescent="0.3">
      <c r="A12" s="7" t="s">
        <v>133</v>
      </c>
      <c r="B12" s="8" t="s">
        <v>428</v>
      </c>
      <c r="C12" s="8" t="s">
        <v>429</v>
      </c>
      <c r="D12" s="8" t="s">
        <v>430</v>
      </c>
      <c r="E12" s="8" t="s">
        <v>431</v>
      </c>
      <c r="F12" s="8"/>
      <c r="G12" s="8"/>
      <c r="H12" s="8" t="s">
        <v>281</v>
      </c>
      <c r="I12" s="9" t="s">
        <v>101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37"/>
      <c r="AE12" s="37">
        <f>0</f>
        <v>0</v>
      </c>
      <c r="AF12" s="37">
        <f>0</f>
        <v>0</v>
      </c>
      <c r="AG12" s="37">
        <f>0</f>
        <v>0</v>
      </c>
      <c r="AH12" s="37">
        <f>0</f>
        <v>0</v>
      </c>
      <c r="AI12" s="37">
        <f>0</f>
        <v>0</v>
      </c>
      <c r="AJ12" s="37">
        <f>0</f>
        <v>0</v>
      </c>
      <c r="AK12" s="37">
        <f>0</f>
        <v>0</v>
      </c>
      <c r="AL12" s="37">
        <f>0</f>
        <v>0</v>
      </c>
      <c r="AM12" s="37">
        <f>0</f>
        <v>0</v>
      </c>
      <c r="AN12" s="37">
        <f>0</f>
        <v>0</v>
      </c>
      <c r="AO12" s="37">
        <f>0</f>
        <v>0</v>
      </c>
      <c r="AP12" s="37">
        <f>0</f>
        <v>0</v>
      </c>
      <c r="AQ12" s="37">
        <f>0</f>
        <v>0</v>
      </c>
      <c r="AR12" s="37">
        <f>0</f>
        <v>0</v>
      </c>
      <c r="AS12" s="37">
        <f>0</f>
        <v>0</v>
      </c>
      <c r="AT12" s="37">
        <f>0</f>
        <v>0</v>
      </c>
      <c r="AU12" s="37">
        <f>0</f>
        <v>0</v>
      </c>
      <c r="AV12" s="37">
        <f>0</f>
        <v>0</v>
      </c>
      <c r="AW12" s="37">
        <f>0</f>
        <v>0</v>
      </c>
      <c r="AX12" s="37">
        <f>0</f>
        <v>0</v>
      </c>
      <c r="AY12" s="37"/>
    </row>
    <row r="13" spans="1:51" ht="120" customHeight="1" x14ac:dyDescent="0.3">
      <c r="A13" s="7" t="s">
        <v>108</v>
      </c>
      <c r="B13" s="8" t="s">
        <v>432</v>
      </c>
      <c r="C13" s="8" t="s">
        <v>433</v>
      </c>
      <c r="D13" s="8" t="s">
        <v>434</v>
      </c>
      <c r="E13" s="8" t="s">
        <v>435</v>
      </c>
      <c r="F13" s="8"/>
      <c r="G13" s="8"/>
      <c r="H13" s="8" t="s">
        <v>281</v>
      </c>
      <c r="I13" s="9" t="s">
        <v>101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37"/>
      <c r="AE13" s="37">
        <f>0</f>
        <v>0</v>
      </c>
      <c r="AF13" s="37">
        <f>0</f>
        <v>0</v>
      </c>
      <c r="AG13" s="37">
        <f>0</f>
        <v>0</v>
      </c>
      <c r="AH13" s="37">
        <f>0</f>
        <v>0</v>
      </c>
      <c r="AI13" s="37">
        <f>0</f>
        <v>0</v>
      </c>
      <c r="AJ13" s="37">
        <f>0</f>
        <v>0</v>
      </c>
      <c r="AK13" s="37">
        <f>0</f>
        <v>0</v>
      </c>
      <c r="AL13" s="37">
        <f>0</f>
        <v>0</v>
      </c>
      <c r="AM13" s="37">
        <f>0</f>
        <v>0</v>
      </c>
      <c r="AN13" s="37">
        <f>0</f>
        <v>0</v>
      </c>
      <c r="AO13" s="37">
        <f>0</f>
        <v>0</v>
      </c>
      <c r="AP13" s="37">
        <f>0</f>
        <v>0</v>
      </c>
      <c r="AQ13" s="37">
        <f>0</f>
        <v>0</v>
      </c>
      <c r="AR13" s="37">
        <f>0</f>
        <v>0</v>
      </c>
      <c r="AS13" s="37">
        <f>0</f>
        <v>0</v>
      </c>
      <c r="AT13" s="37">
        <f>0</f>
        <v>0</v>
      </c>
      <c r="AU13" s="37">
        <f>0</f>
        <v>0</v>
      </c>
      <c r="AV13" s="37">
        <f>0</f>
        <v>0</v>
      </c>
      <c r="AW13" s="37">
        <f>0</f>
        <v>0</v>
      </c>
      <c r="AX13" s="37">
        <f>0</f>
        <v>0</v>
      </c>
      <c r="AY13" s="37"/>
    </row>
    <row r="14" spans="1:51" ht="120" customHeight="1" x14ac:dyDescent="0.3">
      <c r="A14" s="7" t="s">
        <v>80</v>
      </c>
      <c r="B14" s="8" t="s">
        <v>436</v>
      </c>
      <c r="C14" s="8" t="s">
        <v>437</v>
      </c>
      <c r="D14" s="8" t="s">
        <v>438</v>
      </c>
      <c r="E14" s="8" t="s">
        <v>439</v>
      </c>
      <c r="F14" s="8"/>
      <c r="G14" s="8"/>
      <c r="H14" s="8" t="s">
        <v>281</v>
      </c>
      <c r="I14" s="9" t="s">
        <v>101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37"/>
      <c r="AE14" s="37">
        <f>0</f>
        <v>0</v>
      </c>
      <c r="AF14" s="37">
        <f>0</f>
        <v>0</v>
      </c>
      <c r="AG14" s="37">
        <f>0</f>
        <v>0</v>
      </c>
      <c r="AH14" s="37">
        <f>0</f>
        <v>0</v>
      </c>
      <c r="AI14" s="37">
        <f>0</f>
        <v>0</v>
      </c>
      <c r="AJ14" s="37">
        <f>0</f>
        <v>0</v>
      </c>
      <c r="AK14" s="37">
        <f>0</f>
        <v>0</v>
      </c>
      <c r="AL14" s="37">
        <f>0</f>
        <v>0</v>
      </c>
      <c r="AM14" s="37">
        <f>0</f>
        <v>0</v>
      </c>
      <c r="AN14" s="37">
        <f>0</f>
        <v>0</v>
      </c>
      <c r="AO14" s="37">
        <f>0</f>
        <v>0</v>
      </c>
      <c r="AP14" s="37">
        <f>0</f>
        <v>0</v>
      </c>
      <c r="AQ14" s="37">
        <f>0</f>
        <v>0</v>
      </c>
      <c r="AR14" s="37">
        <f>0</f>
        <v>0</v>
      </c>
      <c r="AS14" s="37">
        <f>0</f>
        <v>0</v>
      </c>
      <c r="AT14" s="37">
        <f>0</f>
        <v>0</v>
      </c>
      <c r="AU14" s="37">
        <f>0</f>
        <v>0</v>
      </c>
      <c r="AV14" s="37">
        <f>0</f>
        <v>0</v>
      </c>
      <c r="AW14" s="37">
        <f>0</f>
        <v>0</v>
      </c>
      <c r="AX14" s="37">
        <f>0</f>
        <v>0</v>
      </c>
      <c r="AY14" s="37"/>
    </row>
    <row r="15" spans="1:51" ht="54.95" customHeight="1" x14ac:dyDescent="0.3">
      <c r="A15" s="62" t="s">
        <v>440</v>
      </c>
      <c r="B15" s="55"/>
      <c r="C15" s="55"/>
      <c r="D15" s="55"/>
      <c r="E15" s="55"/>
      <c r="F15" s="55"/>
      <c r="G15" s="55"/>
      <c r="H15" s="55"/>
      <c r="I15" s="55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37"/>
      <c r="AE15" s="37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37">
        <v>0</v>
      </c>
      <c r="AS15" s="37">
        <v>0</v>
      </c>
      <c r="AT15" s="37">
        <v>0</v>
      </c>
      <c r="AU15" s="37">
        <v>0</v>
      </c>
      <c r="AV15" s="37">
        <v>0</v>
      </c>
      <c r="AW15" s="37">
        <v>0</v>
      </c>
      <c r="AX15" s="37">
        <v>0</v>
      </c>
      <c r="AY15" s="37"/>
    </row>
    <row r="16" spans="1:51" ht="120" customHeight="1" x14ac:dyDescent="0.3">
      <c r="A16" s="38" t="s">
        <v>106</v>
      </c>
      <c r="B16" s="38" t="s">
        <v>441</v>
      </c>
      <c r="C16" s="38" t="s">
        <v>442</v>
      </c>
      <c r="D16" s="38" t="s">
        <v>443</v>
      </c>
      <c r="E16" s="38"/>
      <c r="F16" s="38"/>
      <c r="G16" s="38"/>
      <c r="H16" s="38" t="s">
        <v>444</v>
      </c>
      <c r="I16" s="38" t="s">
        <v>101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37"/>
      <c r="AE16" s="37">
        <f>0</f>
        <v>0</v>
      </c>
      <c r="AF16" s="37">
        <f>0</f>
        <v>0</v>
      </c>
      <c r="AG16" s="37">
        <f>0</f>
        <v>0</v>
      </c>
      <c r="AH16" s="37">
        <f>0</f>
        <v>0</v>
      </c>
      <c r="AI16" s="37">
        <f>0</f>
        <v>0</v>
      </c>
      <c r="AJ16" s="37">
        <f>0</f>
        <v>0</v>
      </c>
      <c r="AK16" s="37">
        <f>0</f>
        <v>0</v>
      </c>
      <c r="AL16" s="37">
        <f>0</f>
        <v>0</v>
      </c>
      <c r="AM16" s="37">
        <f>0</f>
        <v>0</v>
      </c>
      <c r="AN16" s="37">
        <f>0</f>
        <v>0</v>
      </c>
      <c r="AO16" s="37">
        <f>0</f>
        <v>0</v>
      </c>
      <c r="AP16" s="37">
        <f>0</f>
        <v>0</v>
      </c>
      <c r="AQ16" s="37">
        <f>0</f>
        <v>0</v>
      </c>
      <c r="AR16" s="37">
        <f>0</f>
        <v>0</v>
      </c>
      <c r="AS16" s="37">
        <f>0</f>
        <v>0</v>
      </c>
      <c r="AT16" s="37">
        <f>0</f>
        <v>0</v>
      </c>
      <c r="AU16" s="37">
        <f>0</f>
        <v>0</v>
      </c>
      <c r="AV16" s="37">
        <f>0</f>
        <v>0</v>
      </c>
      <c r="AW16" s="37">
        <f>0</f>
        <v>0</v>
      </c>
      <c r="AX16" s="37">
        <f>0</f>
        <v>0</v>
      </c>
      <c r="AY16" s="37"/>
    </row>
    <row r="17" spans="1:51" ht="120" customHeight="1" x14ac:dyDescent="0.3">
      <c r="A17" s="38" t="s">
        <v>106</v>
      </c>
      <c r="B17" s="38" t="s">
        <v>445</v>
      </c>
      <c r="C17" s="38" t="s">
        <v>442</v>
      </c>
      <c r="D17" s="38" t="s">
        <v>443</v>
      </c>
      <c r="E17" s="38"/>
      <c r="F17" s="38"/>
      <c r="G17" s="38"/>
      <c r="H17" s="38" t="s">
        <v>444</v>
      </c>
      <c r="I17" s="38" t="s">
        <v>101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37"/>
      <c r="AE17" s="37">
        <f>0</f>
        <v>0</v>
      </c>
      <c r="AF17" s="37">
        <f>0</f>
        <v>0</v>
      </c>
      <c r="AG17" s="37">
        <f>0</f>
        <v>0</v>
      </c>
      <c r="AH17" s="37">
        <f>0</f>
        <v>0</v>
      </c>
      <c r="AI17" s="37">
        <f>0</f>
        <v>0</v>
      </c>
      <c r="AJ17" s="37">
        <f>0</f>
        <v>0</v>
      </c>
      <c r="AK17" s="37">
        <f>0</f>
        <v>0</v>
      </c>
      <c r="AL17" s="37">
        <f>0</f>
        <v>0</v>
      </c>
      <c r="AM17" s="37">
        <f>0</f>
        <v>0</v>
      </c>
      <c r="AN17" s="37">
        <f>0</f>
        <v>0</v>
      </c>
      <c r="AO17" s="37">
        <f>0</f>
        <v>0</v>
      </c>
      <c r="AP17" s="37">
        <f>0</f>
        <v>0</v>
      </c>
      <c r="AQ17" s="37">
        <f>0</f>
        <v>0</v>
      </c>
      <c r="AR17" s="37">
        <f>0</f>
        <v>0</v>
      </c>
      <c r="AS17" s="37">
        <f>0</f>
        <v>0</v>
      </c>
      <c r="AT17" s="37">
        <f>0</f>
        <v>0</v>
      </c>
      <c r="AU17" s="37">
        <f>0</f>
        <v>0</v>
      </c>
      <c r="AV17" s="37">
        <f>0</f>
        <v>0</v>
      </c>
      <c r="AW17" s="37">
        <f>0</f>
        <v>0</v>
      </c>
      <c r="AX17" s="37">
        <f>0</f>
        <v>0</v>
      </c>
      <c r="AY17" s="37"/>
    </row>
    <row r="18" spans="1:51" ht="120" customHeight="1" x14ac:dyDescent="0.3">
      <c r="A18" s="38" t="s">
        <v>106</v>
      </c>
      <c r="B18" s="38" t="s">
        <v>446</v>
      </c>
      <c r="C18" s="38" t="s">
        <v>442</v>
      </c>
      <c r="D18" s="38" t="s">
        <v>443</v>
      </c>
      <c r="E18" s="38"/>
      <c r="F18" s="38"/>
      <c r="G18" s="38"/>
      <c r="H18" s="38" t="s">
        <v>447</v>
      </c>
      <c r="I18" s="38" t="s">
        <v>448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37"/>
      <c r="AE18" s="37">
        <f>0</f>
        <v>0</v>
      </c>
      <c r="AF18" s="37">
        <f>0</f>
        <v>0</v>
      </c>
      <c r="AG18" s="37">
        <f>0</f>
        <v>0</v>
      </c>
      <c r="AH18" s="37">
        <f>0</f>
        <v>0</v>
      </c>
      <c r="AI18" s="37">
        <f>0</f>
        <v>0</v>
      </c>
      <c r="AJ18" s="37">
        <f>0</f>
        <v>0</v>
      </c>
      <c r="AK18" s="37">
        <f>0</f>
        <v>0</v>
      </c>
      <c r="AL18" s="37">
        <f>0</f>
        <v>0</v>
      </c>
      <c r="AM18" s="37">
        <f>0</f>
        <v>0</v>
      </c>
      <c r="AN18" s="37">
        <f>0</f>
        <v>0</v>
      </c>
      <c r="AO18" s="37">
        <f>0</f>
        <v>0</v>
      </c>
      <c r="AP18" s="37">
        <f>0</f>
        <v>0</v>
      </c>
      <c r="AQ18" s="37">
        <f>0</f>
        <v>0</v>
      </c>
      <c r="AR18" s="37">
        <f>0</f>
        <v>0</v>
      </c>
      <c r="AS18" s="37">
        <f>0</f>
        <v>0</v>
      </c>
      <c r="AT18" s="37">
        <f>0</f>
        <v>0</v>
      </c>
      <c r="AU18" s="37">
        <f>0</f>
        <v>0</v>
      </c>
      <c r="AV18" s="37">
        <f>0</f>
        <v>0</v>
      </c>
      <c r="AW18" s="37">
        <f>0</f>
        <v>0</v>
      </c>
      <c r="AX18" s="37">
        <f>0</f>
        <v>0</v>
      </c>
      <c r="AY18" s="37"/>
    </row>
    <row r="19" spans="1:51" ht="6" customHeight="1" x14ac:dyDescent="0.3">
      <c r="A19" s="38"/>
      <c r="B19" s="38"/>
      <c r="C19" s="38"/>
      <c r="D19" s="38"/>
      <c r="E19" s="38"/>
      <c r="F19" s="38"/>
      <c r="G19" s="38"/>
      <c r="H19" s="38"/>
      <c r="I19" s="38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</row>
    <row r="20" spans="1:51" ht="6" customHeight="1" x14ac:dyDescent="0.3">
      <c r="A20" s="38"/>
      <c r="B20" s="38"/>
      <c r="C20" s="38"/>
      <c r="D20" s="38"/>
      <c r="E20" s="38"/>
      <c r="F20" s="38"/>
      <c r="G20" s="38"/>
      <c r="H20" s="38"/>
      <c r="I20" s="38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</row>
    <row r="21" spans="1:51" ht="6" customHeight="1" x14ac:dyDescent="0.3">
      <c r="A21" s="38"/>
      <c r="B21" s="38"/>
      <c r="C21" s="38"/>
      <c r="D21" s="38"/>
      <c r="E21" s="38"/>
      <c r="F21" s="38"/>
      <c r="G21" s="38"/>
      <c r="H21" s="38"/>
      <c r="I21" s="38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</row>
    <row r="22" spans="1:51" ht="120" customHeight="1" x14ac:dyDescent="0.3">
      <c r="A22" s="36" t="s">
        <v>129</v>
      </c>
      <c r="B22" s="36" t="s">
        <v>449</v>
      </c>
      <c r="C22" s="36" t="s">
        <v>450</v>
      </c>
      <c r="D22" s="36" t="s">
        <v>451</v>
      </c>
      <c r="E22" s="36" t="s">
        <v>452</v>
      </c>
      <c r="F22" s="36" t="s">
        <v>453</v>
      </c>
      <c r="G22" s="36" t="s">
        <v>454</v>
      </c>
      <c r="H22" s="36" t="s">
        <v>455</v>
      </c>
      <c r="I22" s="36" t="s">
        <v>407</v>
      </c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37"/>
      <c r="AE22" s="37">
        <f>0</f>
        <v>0</v>
      </c>
      <c r="AF22" s="37">
        <f>0</f>
        <v>0</v>
      </c>
      <c r="AG22" s="37">
        <f>0</f>
        <v>0</v>
      </c>
      <c r="AH22" s="37">
        <f>0</f>
        <v>0</v>
      </c>
      <c r="AI22" s="37">
        <f>0</f>
        <v>0</v>
      </c>
      <c r="AJ22" s="37">
        <f>0</f>
        <v>0</v>
      </c>
      <c r="AK22" s="37">
        <f>0</f>
        <v>0</v>
      </c>
      <c r="AL22" s="37">
        <f>0</f>
        <v>0</v>
      </c>
      <c r="AM22" s="37">
        <f>0</f>
        <v>0</v>
      </c>
      <c r="AN22" s="37">
        <f>0</f>
        <v>0</v>
      </c>
      <c r="AO22" s="37">
        <f>0</f>
        <v>0</v>
      </c>
      <c r="AP22" s="37">
        <f>0</f>
        <v>0</v>
      </c>
      <c r="AQ22" s="37">
        <f>0</f>
        <v>0</v>
      </c>
      <c r="AR22" s="37">
        <f>0</f>
        <v>0</v>
      </c>
      <c r="AS22" s="37">
        <f>0</f>
        <v>0</v>
      </c>
      <c r="AT22" s="37">
        <f>0</f>
        <v>0</v>
      </c>
      <c r="AU22" s="37">
        <f>0</f>
        <v>0</v>
      </c>
      <c r="AV22" s="37">
        <f>0</f>
        <v>0</v>
      </c>
      <c r="AW22" s="37">
        <f>0</f>
        <v>0</v>
      </c>
      <c r="AX22" s="37">
        <f>0</f>
        <v>0</v>
      </c>
      <c r="AY22" s="37"/>
    </row>
    <row r="23" spans="1:51" ht="129.94999999999999" customHeight="1" x14ac:dyDescent="0.3">
      <c r="A23" s="36" t="s">
        <v>106</v>
      </c>
      <c r="B23" s="36" t="s">
        <v>456</v>
      </c>
      <c r="C23" s="36" t="s">
        <v>457</v>
      </c>
      <c r="D23" s="36" t="s">
        <v>458</v>
      </c>
      <c r="E23" s="36" t="s">
        <v>459</v>
      </c>
      <c r="F23" s="36" t="s">
        <v>460</v>
      </c>
      <c r="G23" s="36" t="s">
        <v>461</v>
      </c>
      <c r="H23" s="36" t="s">
        <v>420</v>
      </c>
      <c r="I23" s="36" t="s">
        <v>462</v>
      </c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37"/>
      <c r="AE23" s="37">
        <f>0</f>
        <v>0</v>
      </c>
      <c r="AF23" s="37">
        <f>0</f>
        <v>0</v>
      </c>
      <c r="AG23" s="37">
        <f>0</f>
        <v>0</v>
      </c>
      <c r="AH23" s="37">
        <f>0</f>
        <v>0</v>
      </c>
      <c r="AI23" s="37">
        <f>0</f>
        <v>0</v>
      </c>
      <c r="AJ23" s="37">
        <f>0</f>
        <v>0</v>
      </c>
      <c r="AK23" s="37">
        <f>0</f>
        <v>0</v>
      </c>
      <c r="AL23" s="37">
        <f>0</f>
        <v>0</v>
      </c>
      <c r="AM23" s="37">
        <f>0</f>
        <v>0</v>
      </c>
      <c r="AN23" s="37">
        <f>0</f>
        <v>0</v>
      </c>
      <c r="AO23" s="37">
        <f>0</f>
        <v>0</v>
      </c>
      <c r="AP23" s="37">
        <f>0</f>
        <v>0</v>
      </c>
      <c r="AQ23" s="37">
        <f>0</f>
        <v>0</v>
      </c>
      <c r="AR23" s="37">
        <f>0</f>
        <v>0</v>
      </c>
      <c r="AS23" s="37">
        <f>0</f>
        <v>0</v>
      </c>
      <c r="AT23" s="37">
        <f>0</f>
        <v>0</v>
      </c>
      <c r="AU23" s="37">
        <f>0</f>
        <v>0</v>
      </c>
      <c r="AV23" s="37">
        <f>0</f>
        <v>0</v>
      </c>
      <c r="AW23" s="37">
        <f>0</f>
        <v>0</v>
      </c>
      <c r="AX23" s="37">
        <f>0</f>
        <v>0</v>
      </c>
      <c r="AY23" s="37"/>
    </row>
    <row r="24" spans="1:51" ht="144.94999999999999" customHeight="1" x14ac:dyDescent="0.3">
      <c r="A24" s="36" t="s">
        <v>106</v>
      </c>
      <c r="B24" s="36" t="s">
        <v>463</v>
      </c>
      <c r="C24" s="36" t="s">
        <v>464</v>
      </c>
      <c r="D24" s="36" t="s">
        <v>465</v>
      </c>
      <c r="E24" s="36" t="s">
        <v>466</v>
      </c>
      <c r="F24" s="36" t="s">
        <v>467</v>
      </c>
      <c r="G24" s="36" t="s">
        <v>468</v>
      </c>
      <c r="H24" s="36" t="s">
        <v>420</v>
      </c>
      <c r="I24" s="36" t="s">
        <v>421</v>
      </c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37"/>
      <c r="AE24" s="37">
        <f>0</f>
        <v>0</v>
      </c>
      <c r="AF24" s="37">
        <f>0</f>
        <v>0</v>
      </c>
      <c r="AG24" s="37">
        <f>0</f>
        <v>0</v>
      </c>
      <c r="AH24" s="37">
        <f>0</f>
        <v>0</v>
      </c>
      <c r="AI24" s="37">
        <f>0</f>
        <v>0</v>
      </c>
      <c r="AJ24" s="37">
        <f>0</f>
        <v>0</v>
      </c>
      <c r="AK24" s="37">
        <f>0</f>
        <v>0</v>
      </c>
      <c r="AL24" s="37">
        <f>0</f>
        <v>0</v>
      </c>
      <c r="AM24" s="37">
        <f>0</f>
        <v>0</v>
      </c>
      <c r="AN24" s="37">
        <f>0</f>
        <v>0</v>
      </c>
      <c r="AO24" s="37">
        <f>0</f>
        <v>0</v>
      </c>
      <c r="AP24" s="37">
        <f>0</f>
        <v>0</v>
      </c>
      <c r="AQ24" s="37">
        <f>0</f>
        <v>0</v>
      </c>
      <c r="AR24" s="37">
        <f>0</f>
        <v>0</v>
      </c>
      <c r="AS24" s="37">
        <f>0</f>
        <v>0</v>
      </c>
      <c r="AT24" s="37">
        <f>0</f>
        <v>0</v>
      </c>
      <c r="AU24" s="37">
        <f>0</f>
        <v>0</v>
      </c>
      <c r="AV24" s="37">
        <f>0</f>
        <v>0</v>
      </c>
      <c r="AW24" s="37">
        <f>0</f>
        <v>0</v>
      </c>
      <c r="AX24" s="37">
        <f>0</f>
        <v>0</v>
      </c>
      <c r="AY24" s="37"/>
    </row>
    <row r="25" spans="1:51" ht="120" customHeight="1" x14ac:dyDescent="0.3">
      <c r="A25" s="36" t="s">
        <v>363</v>
      </c>
      <c r="B25" s="36" t="s">
        <v>469</v>
      </c>
      <c r="C25" s="54" t="s">
        <v>470</v>
      </c>
      <c r="D25" s="55"/>
      <c r="E25" s="55"/>
      <c r="F25" s="55"/>
      <c r="G25" s="55"/>
      <c r="H25" s="55"/>
      <c r="I25" s="55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37"/>
      <c r="AE25" s="37">
        <f>0</f>
        <v>0</v>
      </c>
      <c r="AF25" s="37">
        <f>0</f>
        <v>0</v>
      </c>
      <c r="AG25" s="37">
        <f>0</f>
        <v>0</v>
      </c>
      <c r="AH25" s="37">
        <f>0</f>
        <v>0</v>
      </c>
      <c r="AI25" s="37">
        <f>0</f>
        <v>0</v>
      </c>
      <c r="AJ25" s="37">
        <f>0</f>
        <v>0</v>
      </c>
      <c r="AK25" s="37">
        <f>0</f>
        <v>0</v>
      </c>
      <c r="AL25" s="37">
        <f>0</f>
        <v>0</v>
      </c>
      <c r="AM25" s="37">
        <f>0</f>
        <v>0</v>
      </c>
      <c r="AN25" s="37">
        <f>0</f>
        <v>0</v>
      </c>
      <c r="AO25" s="37">
        <f>0</f>
        <v>0</v>
      </c>
      <c r="AP25" s="37">
        <f>0</f>
        <v>0</v>
      </c>
      <c r="AQ25" s="37">
        <f>0</f>
        <v>0</v>
      </c>
      <c r="AR25" s="37">
        <f>0</f>
        <v>0</v>
      </c>
      <c r="AS25" s="37">
        <f>0</f>
        <v>0</v>
      </c>
      <c r="AT25" s="37">
        <f>0</f>
        <v>0</v>
      </c>
      <c r="AU25" s="37">
        <f>0</f>
        <v>0</v>
      </c>
      <c r="AV25" s="37">
        <f>0</f>
        <v>0</v>
      </c>
      <c r="AW25" s="37">
        <f>0</f>
        <v>0</v>
      </c>
      <c r="AX25" s="37">
        <f>0</f>
        <v>0</v>
      </c>
      <c r="AY25" s="37"/>
    </row>
    <row r="26" spans="1:51" ht="120" customHeight="1" x14ac:dyDescent="0.3">
      <c r="A26" s="36" t="s">
        <v>363</v>
      </c>
      <c r="B26" s="36" t="s">
        <v>471</v>
      </c>
      <c r="C26" s="54" t="s">
        <v>472</v>
      </c>
      <c r="D26" s="55"/>
      <c r="E26" s="55"/>
      <c r="F26" s="55"/>
      <c r="G26" s="55"/>
      <c r="H26" s="55"/>
      <c r="I26" s="55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37"/>
      <c r="AE26" s="37">
        <f>0</f>
        <v>0</v>
      </c>
      <c r="AF26" s="37">
        <f>0</f>
        <v>0</v>
      </c>
      <c r="AG26" s="37">
        <f>0</f>
        <v>0</v>
      </c>
      <c r="AH26" s="37">
        <f>0</f>
        <v>0</v>
      </c>
      <c r="AI26" s="37">
        <f>0</f>
        <v>0</v>
      </c>
      <c r="AJ26" s="37">
        <f>0</f>
        <v>0</v>
      </c>
      <c r="AK26" s="37">
        <f>0</f>
        <v>0</v>
      </c>
      <c r="AL26" s="37">
        <f>0</f>
        <v>0</v>
      </c>
      <c r="AM26" s="37">
        <f>0</f>
        <v>0</v>
      </c>
      <c r="AN26" s="37">
        <f>0</f>
        <v>0</v>
      </c>
      <c r="AO26" s="37">
        <f>0</f>
        <v>0</v>
      </c>
      <c r="AP26" s="37">
        <f>0</f>
        <v>0</v>
      </c>
      <c r="AQ26" s="37">
        <f>0</f>
        <v>0</v>
      </c>
      <c r="AR26" s="37">
        <f>0</f>
        <v>0</v>
      </c>
      <c r="AS26" s="37">
        <f>0</f>
        <v>0</v>
      </c>
      <c r="AT26" s="37">
        <f>0</f>
        <v>0</v>
      </c>
      <c r="AU26" s="37">
        <f>0</f>
        <v>0</v>
      </c>
      <c r="AV26" s="37">
        <f>0</f>
        <v>0</v>
      </c>
      <c r="AW26" s="37">
        <f>0</f>
        <v>0</v>
      </c>
      <c r="AX26" s="37">
        <f>0</f>
        <v>0</v>
      </c>
      <c r="AY26" s="37"/>
    </row>
    <row r="27" spans="1:51" ht="120" customHeight="1" x14ac:dyDescent="0.3">
      <c r="A27" s="36" t="s">
        <v>363</v>
      </c>
      <c r="B27" s="36" t="s">
        <v>473</v>
      </c>
      <c r="C27" s="54" t="s">
        <v>474</v>
      </c>
      <c r="D27" s="55"/>
      <c r="E27" s="55"/>
      <c r="F27" s="55"/>
      <c r="G27" s="55"/>
      <c r="H27" s="55"/>
      <c r="I27" s="55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37"/>
      <c r="AE27" s="37">
        <f>0</f>
        <v>0</v>
      </c>
      <c r="AF27" s="37">
        <f>0</f>
        <v>0</v>
      </c>
      <c r="AG27" s="37">
        <f>0</f>
        <v>0</v>
      </c>
      <c r="AH27" s="37">
        <f>0</f>
        <v>0</v>
      </c>
      <c r="AI27" s="37">
        <f>0</f>
        <v>0</v>
      </c>
      <c r="AJ27" s="37">
        <f>0</f>
        <v>0</v>
      </c>
      <c r="AK27" s="37">
        <f>0</f>
        <v>0</v>
      </c>
      <c r="AL27" s="37">
        <f>0</f>
        <v>0</v>
      </c>
      <c r="AM27" s="37">
        <f>0</f>
        <v>0</v>
      </c>
      <c r="AN27" s="37">
        <f>0</f>
        <v>0</v>
      </c>
      <c r="AO27" s="37">
        <f>0</f>
        <v>0</v>
      </c>
      <c r="AP27" s="37">
        <f>0</f>
        <v>0</v>
      </c>
      <c r="AQ27" s="37">
        <f>0</f>
        <v>0</v>
      </c>
      <c r="AR27" s="37">
        <f>0</f>
        <v>0</v>
      </c>
      <c r="AS27" s="37">
        <f>0</f>
        <v>0</v>
      </c>
      <c r="AT27" s="37">
        <f>0</f>
        <v>0</v>
      </c>
      <c r="AU27" s="37">
        <f>0</f>
        <v>0</v>
      </c>
      <c r="AV27" s="37">
        <f>0</f>
        <v>0</v>
      </c>
      <c r="AW27" s="37">
        <f>0</f>
        <v>0</v>
      </c>
      <c r="AX27" s="37">
        <f>0</f>
        <v>0</v>
      </c>
      <c r="AY27" s="37"/>
    </row>
    <row r="28" spans="1:51" x14ac:dyDescent="0.3">
      <c r="A28" s="36"/>
      <c r="B28" s="36"/>
      <c r="C28" s="36"/>
      <c r="D28" s="36"/>
      <c r="E28" s="36"/>
      <c r="F28" s="36"/>
      <c r="G28" s="36"/>
      <c r="H28" s="36"/>
      <c r="I28" s="36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</row>
    <row r="29" spans="1:51" ht="42" customHeight="1" x14ac:dyDescent="0.3">
      <c r="A29" s="54" t="s">
        <v>475</v>
      </c>
      <c r="B29" s="55"/>
      <c r="C29" s="55"/>
      <c r="D29" s="55"/>
      <c r="E29" s="55"/>
      <c r="F29" s="55"/>
      <c r="G29" s="55"/>
      <c r="H29" s="55"/>
      <c r="I29" s="55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</row>
    <row r="30" spans="1:51" ht="42" customHeight="1" x14ac:dyDescent="0.3">
      <c r="A30" s="54" t="s">
        <v>476</v>
      </c>
      <c r="B30" s="55"/>
      <c r="C30" s="55"/>
      <c r="D30" s="55"/>
      <c r="E30" s="55"/>
      <c r="F30" s="55"/>
      <c r="G30" s="55"/>
      <c r="H30" s="55"/>
      <c r="I30" s="55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</row>
    <row r="31" spans="1:51" ht="42" customHeight="1" x14ac:dyDescent="0.3">
      <c r="A31" s="54" t="s">
        <v>477</v>
      </c>
      <c r="B31" s="55"/>
      <c r="C31" s="55"/>
      <c r="D31" s="55"/>
      <c r="E31" s="55"/>
      <c r="F31" s="55"/>
      <c r="G31" s="55"/>
      <c r="H31" s="55"/>
      <c r="I31" s="55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</row>
    <row r="32" spans="1:51" ht="54.95" customHeight="1" x14ac:dyDescent="0.3">
      <c r="A32" s="54" t="s">
        <v>478</v>
      </c>
      <c r="B32" s="55"/>
      <c r="C32" s="55"/>
      <c r="D32" s="55"/>
      <c r="E32" s="55"/>
      <c r="F32" s="55"/>
      <c r="G32" s="55"/>
      <c r="H32" s="55"/>
      <c r="I32" s="55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</row>
    <row r="33" spans="1:51" ht="42" customHeight="1" x14ac:dyDescent="0.3">
      <c r="A33" s="54" t="s">
        <v>479</v>
      </c>
      <c r="B33" s="55"/>
      <c r="C33" s="55"/>
      <c r="D33" s="55"/>
      <c r="E33" s="55"/>
      <c r="F33" s="55"/>
      <c r="G33" s="55"/>
      <c r="H33" s="55"/>
      <c r="I33" s="55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</row>
    <row r="34" spans="1:51" ht="42" customHeight="1" x14ac:dyDescent="0.3">
      <c r="A34" s="54" t="s">
        <v>480</v>
      </c>
      <c r="B34" s="55"/>
      <c r="C34" s="55"/>
      <c r="D34" s="55"/>
      <c r="E34" s="55"/>
      <c r="F34" s="55"/>
      <c r="G34" s="55"/>
      <c r="H34" s="55"/>
      <c r="I34" s="55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</row>
    <row r="35" spans="1:51" ht="42" customHeight="1" x14ac:dyDescent="0.3">
      <c r="A35" s="54" t="s">
        <v>481</v>
      </c>
      <c r="B35" s="55"/>
      <c r="C35" s="55"/>
      <c r="D35" s="55"/>
      <c r="E35" s="55"/>
      <c r="F35" s="55"/>
      <c r="G35" s="55"/>
      <c r="H35" s="55"/>
      <c r="I35" s="55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</row>
    <row r="36" spans="1:51" ht="42" customHeight="1" x14ac:dyDescent="0.3">
      <c r="A36" s="63" t="s">
        <v>482</v>
      </c>
      <c r="B36" s="55"/>
      <c r="C36" s="55"/>
      <c r="D36" s="55"/>
      <c r="E36" s="55"/>
      <c r="F36" s="55"/>
      <c r="G36" s="55"/>
      <c r="H36" s="55"/>
      <c r="I36" s="55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</row>
    <row r="37" spans="1:51" ht="54.95" customHeight="1" x14ac:dyDescent="0.3">
      <c r="A37" s="54" t="s">
        <v>483</v>
      </c>
      <c r="B37" s="55"/>
      <c r="C37" s="55"/>
      <c r="D37" s="55"/>
      <c r="E37" s="55"/>
      <c r="F37" s="55"/>
      <c r="G37" s="55"/>
      <c r="H37" s="55"/>
      <c r="I37" s="55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</row>
    <row r="38" spans="1:51" ht="120" customHeight="1" x14ac:dyDescent="0.3">
      <c r="A38" s="38" t="s">
        <v>129</v>
      </c>
      <c r="B38" s="38" t="s">
        <v>484</v>
      </c>
      <c r="C38" s="38" t="s">
        <v>485</v>
      </c>
      <c r="D38" s="38" t="s">
        <v>486</v>
      </c>
      <c r="E38" s="38" t="s">
        <v>487</v>
      </c>
      <c r="F38" s="38" t="s">
        <v>488</v>
      </c>
      <c r="G38" s="38"/>
      <c r="H38" s="38" t="s">
        <v>448</v>
      </c>
      <c r="I38" s="38" t="s">
        <v>489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37"/>
      <c r="AE38" s="37">
        <f>0</f>
        <v>0</v>
      </c>
      <c r="AF38" s="37">
        <f>0</f>
        <v>0</v>
      </c>
      <c r="AG38" s="37">
        <f>0</f>
        <v>0</v>
      </c>
      <c r="AH38" s="37">
        <f>0</f>
        <v>0</v>
      </c>
      <c r="AI38" s="37">
        <f>0</f>
        <v>0</v>
      </c>
      <c r="AJ38" s="37">
        <f>0</f>
        <v>0</v>
      </c>
      <c r="AK38" s="37">
        <f>0</f>
        <v>0</v>
      </c>
      <c r="AL38" s="37">
        <f>0</f>
        <v>0</v>
      </c>
      <c r="AM38" s="37">
        <f>0</f>
        <v>0</v>
      </c>
      <c r="AN38" s="37">
        <f>0</f>
        <v>0</v>
      </c>
      <c r="AO38" s="37">
        <f>0</f>
        <v>0</v>
      </c>
      <c r="AP38" s="37">
        <f>0</f>
        <v>0</v>
      </c>
      <c r="AQ38" s="37">
        <f>0</f>
        <v>0</v>
      </c>
      <c r="AR38" s="37">
        <f>0</f>
        <v>0</v>
      </c>
      <c r="AS38" s="37">
        <f>0</f>
        <v>0</v>
      </c>
      <c r="AT38" s="37">
        <f>0</f>
        <v>0</v>
      </c>
      <c r="AU38" s="37">
        <f>0</f>
        <v>0</v>
      </c>
      <c r="AV38" s="37">
        <f>0</f>
        <v>0</v>
      </c>
      <c r="AW38" s="37">
        <f>0</f>
        <v>0</v>
      </c>
      <c r="AX38" s="37">
        <f>0</f>
        <v>0</v>
      </c>
      <c r="AY38" s="37"/>
    </row>
    <row r="39" spans="1:51" ht="144.94999999999999" customHeight="1" x14ac:dyDescent="0.3">
      <c r="A39" s="38" t="s">
        <v>129</v>
      </c>
      <c r="B39" s="38" t="s">
        <v>490</v>
      </c>
      <c r="C39" s="38" t="s">
        <v>491</v>
      </c>
      <c r="D39" s="38" t="s">
        <v>492</v>
      </c>
      <c r="E39" s="38" t="s">
        <v>493</v>
      </c>
      <c r="F39" s="38" t="s">
        <v>494</v>
      </c>
      <c r="G39" s="38"/>
      <c r="H39" s="38" t="s">
        <v>495</v>
      </c>
      <c r="I39" s="38" t="s">
        <v>496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37"/>
      <c r="AE39" s="37">
        <f>0</f>
        <v>0</v>
      </c>
      <c r="AF39" s="37">
        <f>0</f>
        <v>0</v>
      </c>
      <c r="AG39" s="37">
        <f>0</f>
        <v>0</v>
      </c>
      <c r="AH39" s="37">
        <f>0</f>
        <v>0</v>
      </c>
      <c r="AI39" s="37">
        <f>0</f>
        <v>0</v>
      </c>
      <c r="AJ39" s="37">
        <f>0</f>
        <v>0</v>
      </c>
      <c r="AK39" s="37">
        <f>0</f>
        <v>0</v>
      </c>
      <c r="AL39" s="37">
        <f>0</f>
        <v>0</v>
      </c>
      <c r="AM39" s="37">
        <f>0</f>
        <v>0</v>
      </c>
      <c r="AN39" s="37">
        <f>0</f>
        <v>0</v>
      </c>
      <c r="AO39" s="37">
        <f>0</f>
        <v>0</v>
      </c>
      <c r="AP39" s="37">
        <f>0</f>
        <v>0</v>
      </c>
      <c r="AQ39" s="37">
        <f>0</f>
        <v>0</v>
      </c>
      <c r="AR39" s="37">
        <f>0</f>
        <v>0</v>
      </c>
      <c r="AS39" s="37">
        <f>0</f>
        <v>0</v>
      </c>
      <c r="AT39" s="37">
        <f>0</f>
        <v>0</v>
      </c>
      <c r="AU39" s="37">
        <f>0</f>
        <v>0</v>
      </c>
      <c r="AV39" s="37">
        <f>0</f>
        <v>0</v>
      </c>
      <c r="AW39" s="37">
        <f>0</f>
        <v>0</v>
      </c>
      <c r="AX39" s="37">
        <f>0</f>
        <v>0</v>
      </c>
      <c r="AY39" s="37"/>
    </row>
    <row r="40" spans="1:51" ht="120" customHeight="1" x14ac:dyDescent="0.3">
      <c r="A40" s="38" t="s">
        <v>106</v>
      </c>
      <c r="B40" s="38" t="s">
        <v>497</v>
      </c>
      <c r="C40" s="38" t="s">
        <v>498</v>
      </c>
      <c r="D40" s="38" t="s">
        <v>499</v>
      </c>
      <c r="E40" s="38" t="s">
        <v>500</v>
      </c>
      <c r="F40" s="38" t="s">
        <v>501</v>
      </c>
      <c r="G40" s="38"/>
      <c r="H40" s="38" t="s">
        <v>448</v>
      </c>
      <c r="I40" s="38" t="s">
        <v>489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37"/>
      <c r="AE40" s="37">
        <f>0</f>
        <v>0</v>
      </c>
      <c r="AF40" s="37">
        <f>0</f>
        <v>0</v>
      </c>
      <c r="AG40" s="37">
        <f>0</f>
        <v>0</v>
      </c>
      <c r="AH40" s="37">
        <f>0</f>
        <v>0</v>
      </c>
      <c r="AI40" s="37">
        <f>0</f>
        <v>0</v>
      </c>
      <c r="AJ40" s="37">
        <f>0</f>
        <v>0</v>
      </c>
      <c r="AK40" s="37">
        <f>0</f>
        <v>0</v>
      </c>
      <c r="AL40" s="37">
        <f>0</f>
        <v>0</v>
      </c>
      <c r="AM40" s="37">
        <f>0</f>
        <v>0</v>
      </c>
      <c r="AN40" s="37">
        <f>0</f>
        <v>0</v>
      </c>
      <c r="AO40" s="37">
        <f>0</f>
        <v>0</v>
      </c>
      <c r="AP40" s="37">
        <f>0</f>
        <v>0</v>
      </c>
      <c r="AQ40" s="37">
        <f>0</f>
        <v>0</v>
      </c>
      <c r="AR40" s="37">
        <f>0</f>
        <v>0</v>
      </c>
      <c r="AS40" s="37">
        <f>0</f>
        <v>0</v>
      </c>
      <c r="AT40" s="37">
        <f>0</f>
        <v>0</v>
      </c>
      <c r="AU40" s="37">
        <f>0</f>
        <v>0</v>
      </c>
      <c r="AV40" s="37">
        <f>0</f>
        <v>0</v>
      </c>
      <c r="AW40" s="37">
        <f>0</f>
        <v>0</v>
      </c>
      <c r="AX40" s="37">
        <f>0</f>
        <v>0</v>
      </c>
      <c r="AY40" s="37"/>
    </row>
    <row r="41" spans="1:51" ht="6" customHeight="1" x14ac:dyDescent="0.3">
      <c r="A41" s="38"/>
      <c r="B41" s="38"/>
      <c r="C41" s="38"/>
      <c r="D41" s="38"/>
      <c r="E41" s="38"/>
      <c r="F41" s="38"/>
      <c r="G41" s="38"/>
      <c r="H41" s="38"/>
      <c r="I41" s="38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</row>
    <row r="42" spans="1:51" ht="6" customHeight="1" x14ac:dyDescent="0.3">
      <c r="A42" s="38"/>
      <c r="B42" s="38"/>
      <c r="C42" s="38"/>
      <c r="D42" s="38"/>
      <c r="E42" s="38"/>
      <c r="F42" s="38"/>
      <c r="G42" s="38"/>
      <c r="H42" s="38"/>
      <c r="I42" s="38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</row>
    <row r="43" spans="1:51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</row>
    <row r="44" spans="1:51" ht="33.950000000000003" customHeight="1" x14ac:dyDescent="0.3">
      <c r="A44" s="58" t="s">
        <v>502</v>
      </c>
      <c r="B44" s="55"/>
      <c r="C44" s="55"/>
      <c r="D44" s="55"/>
      <c r="E44" s="55"/>
      <c r="F44" s="55"/>
      <c r="G44" s="55"/>
      <c r="H44" s="55"/>
      <c r="I44" s="55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</row>
    <row r="45" spans="1:51" ht="95.1" customHeight="1" x14ac:dyDescent="0.3">
      <c r="A45" s="59" t="s">
        <v>503</v>
      </c>
      <c r="B45" s="55"/>
      <c r="C45" s="61" t="s">
        <v>504</v>
      </c>
      <c r="D45" s="55"/>
      <c r="E45" s="55"/>
      <c r="F45" s="55"/>
      <c r="G45" s="55"/>
      <c r="H45" s="55"/>
      <c r="I45" s="55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</row>
    <row r="46" spans="1:51" ht="95.1" customHeight="1" x14ac:dyDescent="0.3">
      <c r="A46" s="59" t="s">
        <v>505</v>
      </c>
      <c r="B46" s="55"/>
      <c r="C46" s="61" t="s">
        <v>506</v>
      </c>
      <c r="D46" s="55"/>
      <c r="E46" s="55"/>
      <c r="F46" s="55"/>
      <c r="G46" s="55"/>
      <c r="H46" s="55"/>
      <c r="I46" s="55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</row>
    <row r="47" spans="1:51" ht="95.1" customHeight="1" x14ac:dyDescent="0.3">
      <c r="A47" s="59" t="s">
        <v>507</v>
      </c>
      <c r="B47" s="55"/>
      <c r="C47" s="61" t="s">
        <v>508</v>
      </c>
      <c r="D47" s="55"/>
      <c r="E47" s="55"/>
      <c r="F47" s="55"/>
      <c r="G47" s="55"/>
      <c r="H47" s="55"/>
      <c r="I47" s="55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</row>
    <row r="48" spans="1:51" ht="60" customHeight="1" x14ac:dyDescent="0.3">
      <c r="A48" s="61" t="s">
        <v>509</v>
      </c>
      <c r="B48" s="55"/>
      <c r="C48" s="55"/>
      <c r="D48" s="55"/>
      <c r="E48" s="55"/>
      <c r="F48" s="55"/>
      <c r="G48" s="55"/>
      <c r="H48" s="55"/>
      <c r="I48" s="55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</row>
    <row r="49" spans="1:51" ht="54.95" customHeight="1" x14ac:dyDescent="0.3">
      <c r="A49" s="61" t="s">
        <v>510</v>
      </c>
      <c r="B49" s="55"/>
      <c r="C49" s="55"/>
      <c r="D49" s="55"/>
      <c r="E49" s="55"/>
      <c r="F49" s="55"/>
      <c r="G49" s="55"/>
      <c r="H49" s="55"/>
      <c r="I49" s="55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</row>
    <row r="50" spans="1:51" ht="54.95" customHeight="1" x14ac:dyDescent="0.3">
      <c r="A50" s="39" t="s">
        <v>382</v>
      </c>
      <c r="B50" s="39" t="s">
        <v>511</v>
      </c>
      <c r="C50" s="59" t="s">
        <v>512</v>
      </c>
      <c r="D50" s="55"/>
      <c r="E50" s="55"/>
      <c r="F50" s="55"/>
      <c r="G50" s="59" t="s">
        <v>513</v>
      </c>
      <c r="H50" s="55"/>
      <c r="I50" s="39" t="s">
        <v>386</v>
      </c>
      <c r="J50" s="40" t="s">
        <v>514</v>
      </c>
      <c r="K50" s="40" t="s">
        <v>515</v>
      </c>
      <c r="L50" s="40" t="s">
        <v>516</v>
      </c>
      <c r="M50" s="40" t="s">
        <v>517</v>
      </c>
      <c r="N50" s="40" t="s">
        <v>518</v>
      </c>
      <c r="O50" s="40" t="s">
        <v>519</v>
      </c>
      <c r="P50" s="40" t="s">
        <v>520</v>
      </c>
      <c r="Q50" s="40" t="s">
        <v>521</v>
      </c>
      <c r="R50" s="40" t="s">
        <v>522</v>
      </c>
      <c r="S50" s="40" t="s">
        <v>523</v>
      </c>
      <c r="T50" s="37" t="s">
        <v>524</v>
      </c>
      <c r="U50" s="37" t="s">
        <v>525</v>
      </c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</row>
    <row r="51" spans="1:51" ht="75.95" customHeight="1" x14ac:dyDescent="0.3">
      <c r="A51" s="38">
        <v>1</v>
      </c>
      <c r="B51" s="38"/>
      <c r="C51" s="61"/>
      <c r="D51" s="55"/>
      <c r="E51" s="55"/>
      <c r="F51" s="55"/>
      <c r="G51" s="61"/>
      <c r="H51" s="55"/>
      <c r="I51" s="38" t="str">
        <f t="shared" ref="I51:I70" si="0">IF(LEN(TRIM(B51&amp;""))=0,IF(S51="판정보류","자동 · 판정보류","자동 초안"),IF(NOT(OR(B51="허용형",B51="조율형",B51="통제형",B51="판정보류")),"유형 입력 확인",IF(LEN(TRIM(C51&amp;""))=0,IF(B51="판정보류","보류 사유 미기록","근거 미기록"),IF(LEN(TRIM(G51&amp;""))=0,"채점자·날짜 미기록",IF(B51="판정보류","판정보류 · 사유 기록","기록 완료")))))</f>
        <v>자동 · 판정보류</v>
      </c>
      <c r="J51" s="38">
        <f>SUM(J128:J132,J154)</f>
        <v>0</v>
      </c>
      <c r="K51" s="38">
        <f>COUNT(J136,J139,J142)</f>
        <v>0</v>
      </c>
      <c r="L51" s="12" t="str">
        <f>IF(J51=0,"",SUM(J136,J139,J142))</f>
        <v/>
      </c>
      <c r="M51" s="12" t="str">
        <f>IF(J51=0,"",SUM(J137,J140,J143))</f>
        <v/>
      </c>
      <c r="N51" s="12" t="str">
        <f>IF(J51=0,"",SUM(J138,J141,J144))</f>
        <v/>
      </c>
      <c r="O51" s="12" t="str">
        <f t="shared" ref="O51:O70" si="1">IF(J51=0,"",SUM(L51:N51))</f>
        <v/>
      </c>
      <c r="P51" s="13" t="str">
        <f t="shared" ref="P51:P70" si="2">IF(AND(J51&gt;=$C$77,K51&gt;=$C$78,O51&gt;0),L51/O51,"")</f>
        <v/>
      </c>
      <c r="Q51" s="13" t="str">
        <f t="shared" ref="Q51:Q70" si="3">IF(AND(J51&gt;=$C$77,K51&gt;=$C$78,O51&gt;0),M51/O51,"")</f>
        <v/>
      </c>
      <c r="R51" s="13" t="str">
        <f t="shared" ref="R51:R70" si="4">IF(AND(J51&gt;=$C$77,K51&gt;=$C$78,O51&gt;0),N51/O51,"")</f>
        <v/>
      </c>
      <c r="S51" s="38" t="str">
        <f t="shared" ref="S51:S70" si="5">IF(OR(J51&lt;$C$77,K51&lt;$C$78),"판정보류",IF(OR(MAX(P51:R51)&lt;$C$79,MAX(P51:R51)-LARGE(P51:R51,2)&lt;$C$80),"판정보류",IF(P51=MAX(P51:R51),"허용형",IF(Q51=MAX(P51:R51),"조율형","통제형"))))</f>
        <v>판정보류</v>
      </c>
      <c r="T51" s="37" t="str">
        <f t="shared" ref="T51:T70" si="6">IF(AND(LEN(TRIM(B51&amp;""))&gt;0,OR(B51="허용형",B51="조율형",B51="통제형",B51="판정보류"),LEN(TRIM(C51&amp;""))&gt;0,LEN(TRIM(G51&amp;""))&gt;0),B51,S51)</f>
        <v>판정보류</v>
      </c>
      <c r="U51" s="37" t="str">
        <f t="shared" ref="U51:U70" si="7">IF(LEN(TRIM(B51&amp;""))=0,"자동 초안",IF(NOT(OR(B51="허용형",B51="조율형",B51="통제형",B51="판정보류")),"자동 초안 · 유형 입력 확인",IF(AND(LEN(TRIM(B51&amp;""))&gt;0,OR(B51="허용형",B51="조율형",B51="통제형",B51="판정보류"),LEN(TRIM(C51&amp;""))&gt;0,LEN(TRIM(G51&amp;""))&gt;0),"채점자 선택","자동 초안 · 채점자 기록 미완")))</f>
        <v>자동 초안</v>
      </c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</row>
    <row r="52" spans="1:51" ht="75.95" customHeight="1" x14ac:dyDescent="0.3">
      <c r="A52" s="38">
        <v>2</v>
      </c>
      <c r="B52" s="38"/>
      <c r="C52" s="61"/>
      <c r="D52" s="55"/>
      <c r="E52" s="55"/>
      <c r="F52" s="55"/>
      <c r="G52" s="61"/>
      <c r="H52" s="55"/>
      <c r="I52" s="38" t="str">
        <f t="shared" si="0"/>
        <v>자동 · 판정보류</v>
      </c>
      <c r="J52" s="38">
        <f>SUM(K128:K132,K154)</f>
        <v>0</v>
      </c>
      <c r="K52" s="38">
        <f>COUNT(K136,K139,K142)</f>
        <v>0</v>
      </c>
      <c r="L52" s="12" t="str">
        <f>IF(J52=0,"",SUM(K136,K139,K142))</f>
        <v/>
      </c>
      <c r="M52" s="12" t="str">
        <f>IF(J52=0,"",SUM(K137,K140,K143))</f>
        <v/>
      </c>
      <c r="N52" s="12" t="str">
        <f>IF(J52=0,"",SUM(K138,K141,K144))</f>
        <v/>
      </c>
      <c r="O52" s="12" t="str">
        <f t="shared" si="1"/>
        <v/>
      </c>
      <c r="P52" s="13" t="str">
        <f t="shared" si="2"/>
        <v/>
      </c>
      <c r="Q52" s="13" t="str">
        <f t="shared" si="3"/>
        <v/>
      </c>
      <c r="R52" s="13" t="str">
        <f t="shared" si="4"/>
        <v/>
      </c>
      <c r="S52" s="38" t="str">
        <f t="shared" si="5"/>
        <v>판정보류</v>
      </c>
      <c r="T52" s="37" t="str">
        <f t="shared" si="6"/>
        <v>판정보류</v>
      </c>
      <c r="U52" s="37" t="str">
        <f t="shared" si="7"/>
        <v>자동 초안</v>
      </c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</row>
    <row r="53" spans="1:51" ht="75.95" customHeight="1" x14ac:dyDescent="0.3">
      <c r="A53" s="38">
        <v>3</v>
      </c>
      <c r="B53" s="38"/>
      <c r="C53" s="61"/>
      <c r="D53" s="55"/>
      <c r="E53" s="55"/>
      <c r="F53" s="55"/>
      <c r="G53" s="61"/>
      <c r="H53" s="55"/>
      <c r="I53" s="38" t="str">
        <f t="shared" si="0"/>
        <v>자동 · 판정보류</v>
      </c>
      <c r="J53" s="38">
        <f>SUM(L128:L132,L154)</f>
        <v>0</v>
      </c>
      <c r="K53" s="38">
        <f>COUNT(L136,L139,L142)</f>
        <v>0</v>
      </c>
      <c r="L53" s="12" t="str">
        <f>IF(J53=0,"",SUM(L136,L139,L142))</f>
        <v/>
      </c>
      <c r="M53" s="12" t="str">
        <f>IF(J53=0,"",SUM(L137,L140,L143))</f>
        <v/>
      </c>
      <c r="N53" s="12" t="str">
        <f>IF(J53=0,"",SUM(L138,L141,L144))</f>
        <v/>
      </c>
      <c r="O53" s="12" t="str">
        <f t="shared" si="1"/>
        <v/>
      </c>
      <c r="P53" s="13" t="str">
        <f t="shared" si="2"/>
        <v/>
      </c>
      <c r="Q53" s="13" t="str">
        <f t="shared" si="3"/>
        <v/>
      </c>
      <c r="R53" s="13" t="str">
        <f t="shared" si="4"/>
        <v/>
      </c>
      <c r="S53" s="38" t="str">
        <f t="shared" si="5"/>
        <v>판정보류</v>
      </c>
      <c r="T53" s="37" t="str">
        <f t="shared" si="6"/>
        <v>판정보류</v>
      </c>
      <c r="U53" s="37" t="str">
        <f t="shared" si="7"/>
        <v>자동 초안</v>
      </c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</row>
    <row r="54" spans="1:51" ht="75.95" customHeight="1" x14ac:dyDescent="0.3">
      <c r="A54" s="38">
        <v>4</v>
      </c>
      <c r="B54" s="38"/>
      <c r="C54" s="61"/>
      <c r="D54" s="55"/>
      <c r="E54" s="55"/>
      <c r="F54" s="55"/>
      <c r="G54" s="61"/>
      <c r="H54" s="55"/>
      <c r="I54" s="38" t="str">
        <f t="shared" si="0"/>
        <v>자동 · 판정보류</v>
      </c>
      <c r="J54" s="38">
        <f>SUM(M128:M132,M154)</f>
        <v>0</v>
      </c>
      <c r="K54" s="38">
        <f>COUNT(M136,M139,M142)</f>
        <v>0</v>
      </c>
      <c r="L54" s="12" t="str">
        <f>IF(J54=0,"",SUM(M136,M139,M142))</f>
        <v/>
      </c>
      <c r="M54" s="12" t="str">
        <f>IF(J54=0,"",SUM(M137,M140,M143))</f>
        <v/>
      </c>
      <c r="N54" s="12" t="str">
        <f>IF(J54=0,"",SUM(M138,M141,M144))</f>
        <v/>
      </c>
      <c r="O54" s="12" t="str">
        <f t="shared" si="1"/>
        <v/>
      </c>
      <c r="P54" s="13" t="str">
        <f t="shared" si="2"/>
        <v/>
      </c>
      <c r="Q54" s="13" t="str">
        <f t="shared" si="3"/>
        <v/>
      </c>
      <c r="R54" s="13" t="str">
        <f t="shared" si="4"/>
        <v/>
      </c>
      <c r="S54" s="38" t="str">
        <f t="shared" si="5"/>
        <v>판정보류</v>
      </c>
      <c r="T54" s="37" t="str">
        <f t="shared" si="6"/>
        <v>판정보류</v>
      </c>
      <c r="U54" s="37" t="str">
        <f t="shared" si="7"/>
        <v>자동 초안</v>
      </c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</row>
    <row r="55" spans="1:51" ht="75.95" customHeight="1" x14ac:dyDescent="0.3">
      <c r="A55" s="38">
        <v>5</v>
      </c>
      <c r="B55" s="38"/>
      <c r="C55" s="61"/>
      <c r="D55" s="55"/>
      <c r="E55" s="55"/>
      <c r="F55" s="55"/>
      <c r="G55" s="61"/>
      <c r="H55" s="55"/>
      <c r="I55" s="38" t="str">
        <f t="shared" si="0"/>
        <v>자동 · 판정보류</v>
      </c>
      <c r="J55" s="38">
        <f>SUM(N128:N132,N154)</f>
        <v>0</v>
      </c>
      <c r="K55" s="38">
        <f>COUNT(N136,N139,N142)</f>
        <v>0</v>
      </c>
      <c r="L55" s="12" t="str">
        <f>IF(J55=0,"",SUM(N136,N139,N142))</f>
        <v/>
      </c>
      <c r="M55" s="12" t="str">
        <f>IF(J55=0,"",SUM(N137,N140,N143))</f>
        <v/>
      </c>
      <c r="N55" s="12" t="str">
        <f>IF(J55=0,"",SUM(N138,N141,N144))</f>
        <v/>
      </c>
      <c r="O55" s="12" t="str">
        <f t="shared" si="1"/>
        <v/>
      </c>
      <c r="P55" s="13" t="str">
        <f t="shared" si="2"/>
        <v/>
      </c>
      <c r="Q55" s="13" t="str">
        <f t="shared" si="3"/>
        <v/>
      </c>
      <c r="R55" s="13" t="str">
        <f t="shared" si="4"/>
        <v/>
      </c>
      <c r="S55" s="38" t="str">
        <f t="shared" si="5"/>
        <v>판정보류</v>
      </c>
      <c r="T55" s="37" t="str">
        <f t="shared" si="6"/>
        <v>판정보류</v>
      </c>
      <c r="U55" s="37" t="str">
        <f t="shared" si="7"/>
        <v>자동 초안</v>
      </c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</row>
    <row r="56" spans="1:51" ht="75.95" customHeight="1" x14ac:dyDescent="0.3">
      <c r="A56" s="38">
        <v>6</v>
      </c>
      <c r="B56" s="38"/>
      <c r="C56" s="61"/>
      <c r="D56" s="55"/>
      <c r="E56" s="55"/>
      <c r="F56" s="55"/>
      <c r="G56" s="61"/>
      <c r="H56" s="55"/>
      <c r="I56" s="38" t="str">
        <f t="shared" si="0"/>
        <v>자동 · 판정보류</v>
      </c>
      <c r="J56" s="38">
        <f>SUM(O128:O132,O154)</f>
        <v>0</v>
      </c>
      <c r="K56" s="38">
        <f>COUNT(O136,O139,O142)</f>
        <v>0</v>
      </c>
      <c r="L56" s="12" t="str">
        <f>IF(J56=0,"",SUM(O136,O139,O142))</f>
        <v/>
      </c>
      <c r="M56" s="12" t="str">
        <f>IF(J56=0,"",SUM(O137,O140,O143))</f>
        <v/>
      </c>
      <c r="N56" s="12" t="str">
        <f>IF(J56=0,"",SUM(O138,O141,O144))</f>
        <v/>
      </c>
      <c r="O56" s="12" t="str">
        <f t="shared" si="1"/>
        <v/>
      </c>
      <c r="P56" s="13" t="str">
        <f t="shared" si="2"/>
        <v/>
      </c>
      <c r="Q56" s="13" t="str">
        <f t="shared" si="3"/>
        <v/>
      </c>
      <c r="R56" s="13" t="str">
        <f t="shared" si="4"/>
        <v/>
      </c>
      <c r="S56" s="38" t="str">
        <f t="shared" si="5"/>
        <v>판정보류</v>
      </c>
      <c r="T56" s="37" t="str">
        <f t="shared" si="6"/>
        <v>판정보류</v>
      </c>
      <c r="U56" s="37" t="str">
        <f t="shared" si="7"/>
        <v>자동 초안</v>
      </c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</row>
    <row r="57" spans="1:51" ht="75.95" customHeight="1" x14ac:dyDescent="0.3">
      <c r="A57" s="38">
        <v>7</v>
      </c>
      <c r="B57" s="38"/>
      <c r="C57" s="61"/>
      <c r="D57" s="55"/>
      <c r="E57" s="55"/>
      <c r="F57" s="55"/>
      <c r="G57" s="61"/>
      <c r="H57" s="55"/>
      <c r="I57" s="38" t="str">
        <f t="shared" si="0"/>
        <v>자동 · 판정보류</v>
      </c>
      <c r="J57" s="38">
        <f>SUM(P128:P132,P154)</f>
        <v>0</v>
      </c>
      <c r="K57" s="38">
        <f>COUNT(P136,P139,P142)</f>
        <v>0</v>
      </c>
      <c r="L57" s="12" t="str">
        <f>IF(J57=0,"",SUM(P136,P139,P142))</f>
        <v/>
      </c>
      <c r="M57" s="12" t="str">
        <f>IF(J57=0,"",SUM(P137,P140,P143))</f>
        <v/>
      </c>
      <c r="N57" s="12" t="str">
        <f>IF(J57=0,"",SUM(P138,P141,P144))</f>
        <v/>
      </c>
      <c r="O57" s="12" t="str">
        <f t="shared" si="1"/>
        <v/>
      </c>
      <c r="P57" s="13" t="str">
        <f t="shared" si="2"/>
        <v/>
      </c>
      <c r="Q57" s="13" t="str">
        <f t="shared" si="3"/>
        <v/>
      </c>
      <c r="R57" s="13" t="str">
        <f t="shared" si="4"/>
        <v/>
      </c>
      <c r="S57" s="38" t="str">
        <f t="shared" si="5"/>
        <v>판정보류</v>
      </c>
      <c r="T57" s="37" t="str">
        <f t="shared" si="6"/>
        <v>판정보류</v>
      </c>
      <c r="U57" s="37" t="str">
        <f t="shared" si="7"/>
        <v>자동 초안</v>
      </c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</row>
    <row r="58" spans="1:51" ht="75.95" customHeight="1" x14ac:dyDescent="0.3">
      <c r="A58" s="38">
        <v>8</v>
      </c>
      <c r="B58" s="38"/>
      <c r="C58" s="61"/>
      <c r="D58" s="55"/>
      <c r="E58" s="55"/>
      <c r="F58" s="55"/>
      <c r="G58" s="61"/>
      <c r="H58" s="55"/>
      <c r="I58" s="38" t="str">
        <f t="shared" si="0"/>
        <v>자동 · 판정보류</v>
      </c>
      <c r="J58" s="38">
        <f>SUM(Q128:Q132,Q154)</f>
        <v>0</v>
      </c>
      <c r="K58" s="38">
        <f>COUNT(Q136,Q139,Q142)</f>
        <v>0</v>
      </c>
      <c r="L58" s="12" t="str">
        <f>IF(J58=0,"",SUM(Q136,Q139,Q142))</f>
        <v/>
      </c>
      <c r="M58" s="12" t="str">
        <f>IF(J58=0,"",SUM(Q137,Q140,Q143))</f>
        <v/>
      </c>
      <c r="N58" s="12" t="str">
        <f>IF(J58=0,"",SUM(Q138,Q141,Q144))</f>
        <v/>
      </c>
      <c r="O58" s="12" t="str">
        <f t="shared" si="1"/>
        <v/>
      </c>
      <c r="P58" s="13" t="str">
        <f t="shared" si="2"/>
        <v/>
      </c>
      <c r="Q58" s="13" t="str">
        <f t="shared" si="3"/>
        <v/>
      </c>
      <c r="R58" s="13" t="str">
        <f t="shared" si="4"/>
        <v/>
      </c>
      <c r="S58" s="38" t="str">
        <f t="shared" si="5"/>
        <v>판정보류</v>
      </c>
      <c r="T58" s="37" t="str">
        <f t="shared" si="6"/>
        <v>판정보류</v>
      </c>
      <c r="U58" s="37" t="str">
        <f t="shared" si="7"/>
        <v>자동 초안</v>
      </c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</row>
    <row r="59" spans="1:51" ht="75.95" customHeight="1" x14ac:dyDescent="0.3">
      <c r="A59" s="38">
        <v>9</v>
      </c>
      <c r="B59" s="38"/>
      <c r="C59" s="61"/>
      <c r="D59" s="55"/>
      <c r="E59" s="55"/>
      <c r="F59" s="55"/>
      <c r="G59" s="61"/>
      <c r="H59" s="55"/>
      <c r="I59" s="38" t="str">
        <f t="shared" si="0"/>
        <v>자동 · 판정보류</v>
      </c>
      <c r="J59" s="38">
        <f>SUM(R128:R132,R154)</f>
        <v>0</v>
      </c>
      <c r="K59" s="38">
        <f>COUNT(R136,R139,R142)</f>
        <v>0</v>
      </c>
      <c r="L59" s="12" t="str">
        <f>IF(J59=0,"",SUM(R136,R139,R142))</f>
        <v/>
      </c>
      <c r="M59" s="12" t="str">
        <f>IF(J59=0,"",SUM(R137,R140,R143))</f>
        <v/>
      </c>
      <c r="N59" s="12" t="str">
        <f>IF(J59=0,"",SUM(R138,R141,R144))</f>
        <v/>
      </c>
      <c r="O59" s="12" t="str">
        <f t="shared" si="1"/>
        <v/>
      </c>
      <c r="P59" s="13" t="str">
        <f t="shared" si="2"/>
        <v/>
      </c>
      <c r="Q59" s="13" t="str">
        <f t="shared" si="3"/>
        <v/>
      </c>
      <c r="R59" s="13" t="str">
        <f t="shared" si="4"/>
        <v/>
      </c>
      <c r="S59" s="38" t="str">
        <f t="shared" si="5"/>
        <v>판정보류</v>
      </c>
      <c r="T59" s="37" t="str">
        <f t="shared" si="6"/>
        <v>판정보류</v>
      </c>
      <c r="U59" s="37" t="str">
        <f t="shared" si="7"/>
        <v>자동 초안</v>
      </c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</row>
    <row r="60" spans="1:51" ht="75.95" customHeight="1" x14ac:dyDescent="0.3">
      <c r="A60" s="38">
        <v>10</v>
      </c>
      <c r="B60" s="38"/>
      <c r="C60" s="61"/>
      <c r="D60" s="55"/>
      <c r="E60" s="55"/>
      <c r="F60" s="55"/>
      <c r="G60" s="61"/>
      <c r="H60" s="55"/>
      <c r="I60" s="38" t="str">
        <f t="shared" si="0"/>
        <v>자동 · 판정보류</v>
      </c>
      <c r="J60" s="38">
        <f>SUM(S128:S132,S154)</f>
        <v>0</v>
      </c>
      <c r="K60" s="38">
        <f>COUNT(S136,S139,S142)</f>
        <v>0</v>
      </c>
      <c r="L60" s="12" t="str">
        <f>IF(J60=0,"",SUM(S136,S139,S142))</f>
        <v/>
      </c>
      <c r="M60" s="12" t="str">
        <f>IF(J60=0,"",SUM(S137,S140,S143))</f>
        <v/>
      </c>
      <c r="N60" s="12" t="str">
        <f>IF(J60=0,"",SUM(S138,S141,S144))</f>
        <v/>
      </c>
      <c r="O60" s="12" t="str">
        <f t="shared" si="1"/>
        <v/>
      </c>
      <c r="P60" s="13" t="str">
        <f t="shared" si="2"/>
        <v/>
      </c>
      <c r="Q60" s="13" t="str">
        <f t="shared" si="3"/>
        <v/>
      </c>
      <c r="R60" s="13" t="str">
        <f t="shared" si="4"/>
        <v/>
      </c>
      <c r="S60" s="38" t="str">
        <f t="shared" si="5"/>
        <v>판정보류</v>
      </c>
      <c r="T60" s="37" t="str">
        <f t="shared" si="6"/>
        <v>판정보류</v>
      </c>
      <c r="U60" s="37" t="str">
        <f t="shared" si="7"/>
        <v>자동 초안</v>
      </c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</row>
    <row r="61" spans="1:51" ht="75.95" customHeight="1" x14ac:dyDescent="0.3">
      <c r="A61" s="38">
        <v>11</v>
      </c>
      <c r="B61" s="38"/>
      <c r="C61" s="61"/>
      <c r="D61" s="55"/>
      <c r="E61" s="55"/>
      <c r="F61" s="55"/>
      <c r="G61" s="61"/>
      <c r="H61" s="55"/>
      <c r="I61" s="38" t="str">
        <f t="shared" si="0"/>
        <v>자동 · 판정보류</v>
      </c>
      <c r="J61" s="38">
        <f>SUM(T128:T132,T154)</f>
        <v>0</v>
      </c>
      <c r="K61" s="38">
        <f>COUNT(T136,T139,T142)</f>
        <v>0</v>
      </c>
      <c r="L61" s="12" t="str">
        <f>IF(J61=0,"",SUM(T136,T139,T142))</f>
        <v/>
      </c>
      <c r="M61" s="12" t="str">
        <f>IF(J61=0,"",SUM(T137,T140,T143))</f>
        <v/>
      </c>
      <c r="N61" s="12" t="str">
        <f>IF(J61=0,"",SUM(T138,T141,T144))</f>
        <v/>
      </c>
      <c r="O61" s="12" t="str">
        <f t="shared" si="1"/>
        <v/>
      </c>
      <c r="P61" s="13" t="str">
        <f t="shared" si="2"/>
        <v/>
      </c>
      <c r="Q61" s="13" t="str">
        <f t="shared" si="3"/>
        <v/>
      </c>
      <c r="R61" s="13" t="str">
        <f t="shared" si="4"/>
        <v/>
      </c>
      <c r="S61" s="38" t="str">
        <f t="shared" si="5"/>
        <v>판정보류</v>
      </c>
      <c r="T61" s="37" t="str">
        <f t="shared" si="6"/>
        <v>판정보류</v>
      </c>
      <c r="U61" s="37" t="str">
        <f t="shared" si="7"/>
        <v>자동 초안</v>
      </c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</row>
    <row r="62" spans="1:51" ht="75.95" customHeight="1" x14ac:dyDescent="0.3">
      <c r="A62" s="38">
        <v>12</v>
      </c>
      <c r="B62" s="38"/>
      <c r="C62" s="61"/>
      <c r="D62" s="55"/>
      <c r="E62" s="55"/>
      <c r="F62" s="55"/>
      <c r="G62" s="61"/>
      <c r="H62" s="55"/>
      <c r="I62" s="38" t="str">
        <f t="shared" si="0"/>
        <v>자동 · 판정보류</v>
      </c>
      <c r="J62" s="38">
        <f>SUM(U128:U132,U154)</f>
        <v>0</v>
      </c>
      <c r="K62" s="38">
        <f>COUNT(U136,U139,U142)</f>
        <v>0</v>
      </c>
      <c r="L62" s="12" t="str">
        <f>IF(J62=0,"",SUM(U136,U139,U142))</f>
        <v/>
      </c>
      <c r="M62" s="12" t="str">
        <f>IF(J62=0,"",SUM(U137,U140,U143))</f>
        <v/>
      </c>
      <c r="N62" s="12" t="str">
        <f>IF(J62=0,"",SUM(U138,U141,U144))</f>
        <v/>
      </c>
      <c r="O62" s="12" t="str">
        <f t="shared" si="1"/>
        <v/>
      </c>
      <c r="P62" s="13" t="str">
        <f t="shared" si="2"/>
        <v/>
      </c>
      <c r="Q62" s="13" t="str">
        <f t="shared" si="3"/>
        <v/>
      </c>
      <c r="R62" s="13" t="str">
        <f t="shared" si="4"/>
        <v/>
      </c>
      <c r="S62" s="38" t="str">
        <f t="shared" si="5"/>
        <v>판정보류</v>
      </c>
      <c r="T62" s="37" t="str">
        <f t="shared" si="6"/>
        <v>판정보류</v>
      </c>
      <c r="U62" s="37" t="str">
        <f t="shared" si="7"/>
        <v>자동 초안</v>
      </c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</row>
    <row r="63" spans="1:51" ht="75.95" customHeight="1" x14ac:dyDescent="0.3">
      <c r="A63" s="38">
        <v>13</v>
      </c>
      <c r="B63" s="38"/>
      <c r="C63" s="61"/>
      <c r="D63" s="55"/>
      <c r="E63" s="55"/>
      <c r="F63" s="55"/>
      <c r="G63" s="61"/>
      <c r="H63" s="55"/>
      <c r="I63" s="38" t="str">
        <f t="shared" si="0"/>
        <v>자동 · 판정보류</v>
      </c>
      <c r="J63" s="38">
        <f>SUM(V128:V132,V154)</f>
        <v>0</v>
      </c>
      <c r="K63" s="38">
        <f>COUNT(V136,V139,V142)</f>
        <v>0</v>
      </c>
      <c r="L63" s="12" t="str">
        <f>IF(J63=0,"",SUM(V136,V139,V142))</f>
        <v/>
      </c>
      <c r="M63" s="12" t="str">
        <f>IF(J63=0,"",SUM(V137,V140,V143))</f>
        <v/>
      </c>
      <c r="N63" s="12" t="str">
        <f>IF(J63=0,"",SUM(V138,V141,V144))</f>
        <v/>
      </c>
      <c r="O63" s="12" t="str">
        <f t="shared" si="1"/>
        <v/>
      </c>
      <c r="P63" s="13" t="str">
        <f t="shared" si="2"/>
        <v/>
      </c>
      <c r="Q63" s="13" t="str">
        <f t="shared" si="3"/>
        <v/>
      </c>
      <c r="R63" s="13" t="str">
        <f t="shared" si="4"/>
        <v/>
      </c>
      <c r="S63" s="38" t="str">
        <f t="shared" si="5"/>
        <v>판정보류</v>
      </c>
      <c r="T63" s="37" t="str">
        <f t="shared" si="6"/>
        <v>판정보류</v>
      </c>
      <c r="U63" s="37" t="str">
        <f t="shared" si="7"/>
        <v>자동 초안</v>
      </c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</row>
    <row r="64" spans="1:51" ht="75.95" customHeight="1" x14ac:dyDescent="0.3">
      <c r="A64" s="38">
        <v>14</v>
      </c>
      <c r="B64" s="38"/>
      <c r="C64" s="61"/>
      <c r="D64" s="55"/>
      <c r="E64" s="55"/>
      <c r="F64" s="55"/>
      <c r="G64" s="61"/>
      <c r="H64" s="55"/>
      <c r="I64" s="38" t="str">
        <f t="shared" si="0"/>
        <v>자동 · 판정보류</v>
      </c>
      <c r="J64" s="38">
        <f>SUM(W128:W132,W154)</f>
        <v>0</v>
      </c>
      <c r="K64" s="38">
        <f>COUNT(W136,W139,W142)</f>
        <v>0</v>
      </c>
      <c r="L64" s="12" t="str">
        <f>IF(J64=0,"",SUM(W136,W139,W142))</f>
        <v/>
      </c>
      <c r="M64" s="12" t="str">
        <f>IF(J64=0,"",SUM(W137,W140,W143))</f>
        <v/>
      </c>
      <c r="N64" s="12" t="str">
        <f>IF(J64=0,"",SUM(W138,W141,W144))</f>
        <v/>
      </c>
      <c r="O64" s="12" t="str">
        <f t="shared" si="1"/>
        <v/>
      </c>
      <c r="P64" s="13" t="str">
        <f t="shared" si="2"/>
        <v/>
      </c>
      <c r="Q64" s="13" t="str">
        <f t="shared" si="3"/>
        <v/>
      </c>
      <c r="R64" s="13" t="str">
        <f t="shared" si="4"/>
        <v/>
      </c>
      <c r="S64" s="38" t="str">
        <f t="shared" si="5"/>
        <v>판정보류</v>
      </c>
      <c r="T64" s="37" t="str">
        <f t="shared" si="6"/>
        <v>판정보류</v>
      </c>
      <c r="U64" s="37" t="str">
        <f t="shared" si="7"/>
        <v>자동 초안</v>
      </c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</row>
    <row r="65" spans="1:51" ht="75.95" customHeight="1" x14ac:dyDescent="0.3">
      <c r="A65" s="38">
        <v>15</v>
      </c>
      <c r="B65" s="38"/>
      <c r="C65" s="61"/>
      <c r="D65" s="55"/>
      <c r="E65" s="55"/>
      <c r="F65" s="55"/>
      <c r="G65" s="61"/>
      <c r="H65" s="55"/>
      <c r="I65" s="38" t="str">
        <f t="shared" si="0"/>
        <v>자동 · 판정보류</v>
      </c>
      <c r="J65" s="38">
        <f>SUM(X128:X132,X154)</f>
        <v>0</v>
      </c>
      <c r="K65" s="38">
        <f>COUNT(X136,X139,X142)</f>
        <v>0</v>
      </c>
      <c r="L65" s="12" t="str">
        <f>IF(J65=0,"",SUM(X136,X139,X142))</f>
        <v/>
      </c>
      <c r="M65" s="12" t="str">
        <f>IF(J65=0,"",SUM(X137,X140,X143))</f>
        <v/>
      </c>
      <c r="N65" s="12" t="str">
        <f>IF(J65=0,"",SUM(X138,X141,X144))</f>
        <v/>
      </c>
      <c r="O65" s="12" t="str">
        <f t="shared" si="1"/>
        <v/>
      </c>
      <c r="P65" s="13" t="str">
        <f t="shared" si="2"/>
        <v/>
      </c>
      <c r="Q65" s="13" t="str">
        <f t="shared" si="3"/>
        <v/>
      </c>
      <c r="R65" s="13" t="str">
        <f t="shared" si="4"/>
        <v/>
      </c>
      <c r="S65" s="38" t="str">
        <f t="shared" si="5"/>
        <v>판정보류</v>
      </c>
      <c r="T65" s="37" t="str">
        <f t="shared" si="6"/>
        <v>판정보류</v>
      </c>
      <c r="U65" s="37" t="str">
        <f t="shared" si="7"/>
        <v>자동 초안</v>
      </c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</row>
    <row r="66" spans="1:51" ht="75.95" customHeight="1" x14ac:dyDescent="0.3">
      <c r="A66" s="38">
        <v>16</v>
      </c>
      <c r="B66" s="38"/>
      <c r="C66" s="61"/>
      <c r="D66" s="55"/>
      <c r="E66" s="55"/>
      <c r="F66" s="55"/>
      <c r="G66" s="61"/>
      <c r="H66" s="55"/>
      <c r="I66" s="38" t="str">
        <f t="shared" si="0"/>
        <v>자동 · 판정보류</v>
      </c>
      <c r="J66" s="38">
        <f>SUM(Y128:Y132,Y154)</f>
        <v>0</v>
      </c>
      <c r="K66" s="38">
        <f>COUNT(Y136,Y139,Y142)</f>
        <v>0</v>
      </c>
      <c r="L66" s="12" t="str">
        <f>IF(J66=0,"",SUM(Y136,Y139,Y142))</f>
        <v/>
      </c>
      <c r="M66" s="12" t="str">
        <f>IF(J66=0,"",SUM(Y137,Y140,Y143))</f>
        <v/>
      </c>
      <c r="N66" s="12" t="str">
        <f>IF(J66=0,"",SUM(Y138,Y141,Y144))</f>
        <v/>
      </c>
      <c r="O66" s="12" t="str">
        <f t="shared" si="1"/>
        <v/>
      </c>
      <c r="P66" s="13" t="str">
        <f t="shared" si="2"/>
        <v/>
      </c>
      <c r="Q66" s="13" t="str">
        <f t="shared" si="3"/>
        <v/>
      </c>
      <c r="R66" s="13" t="str">
        <f t="shared" si="4"/>
        <v/>
      </c>
      <c r="S66" s="38" t="str">
        <f t="shared" si="5"/>
        <v>판정보류</v>
      </c>
      <c r="T66" s="37" t="str">
        <f t="shared" si="6"/>
        <v>판정보류</v>
      </c>
      <c r="U66" s="37" t="str">
        <f t="shared" si="7"/>
        <v>자동 초안</v>
      </c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</row>
    <row r="67" spans="1:51" ht="75.95" customHeight="1" x14ac:dyDescent="0.3">
      <c r="A67" s="38">
        <v>17</v>
      </c>
      <c r="B67" s="38"/>
      <c r="C67" s="61"/>
      <c r="D67" s="55"/>
      <c r="E67" s="55"/>
      <c r="F67" s="55"/>
      <c r="G67" s="61"/>
      <c r="H67" s="55"/>
      <c r="I67" s="38" t="str">
        <f t="shared" si="0"/>
        <v>자동 · 판정보류</v>
      </c>
      <c r="J67" s="38">
        <f>SUM(Z128:Z132,Z154)</f>
        <v>0</v>
      </c>
      <c r="K67" s="38">
        <f>COUNT(Z136,Z139,Z142)</f>
        <v>0</v>
      </c>
      <c r="L67" s="12" t="str">
        <f>IF(J67=0,"",SUM(Z136,Z139,Z142))</f>
        <v/>
      </c>
      <c r="M67" s="12" t="str">
        <f>IF(J67=0,"",SUM(Z137,Z140,Z143))</f>
        <v/>
      </c>
      <c r="N67" s="12" t="str">
        <f>IF(J67=0,"",SUM(Z138,Z141,Z144))</f>
        <v/>
      </c>
      <c r="O67" s="12" t="str">
        <f t="shared" si="1"/>
        <v/>
      </c>
      <c r="P67" s="13" t="str">
        <f t="shared" si="2"/>
        <v/>
      </c>
      <c r="Q67" s="13" t="str">
        <f t="shared" si="3"/>
        <v/>
      </c>
      <c r="R67" s="13" t="str">
        <f t="shared" si="4"/>
        <v/>
      </c>
      <c r="S67" s="38" t="str">
        <f t="shared" si="5"/>
        <v>판정보류</v>
      </c>
      <c r="T67" s="37" t="str">
        <f t="shared" si="6"/>
        <v>판정보류</v>
      </c>
      <c r="U67" s="37" t="str">
        <f t="shared" si="7"/>
        <v>자동 초안</v>
      </c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</row>
    <row r="68" spans="1:51" ht="75.95" customHeight="1" x14ac:dyDescent="0.3">
      <c r="A68" s="38">
        <v>18</v>
      </c>
      <c r="B68" s="38"/>
      <c r="C68" s="61"/>
      <c r="D68" s="55"/>
      <c r="E68" s="55"/>
      <c r="F68" s="55"/>
      <c r="G68" s="61"/>
      <c r="H68" s="55"/>
      <c r="I68" s="38" t="str">
        <f t="shared" si="0"/>
        <v>자동 · 판정보류</v>
      </c>
      <c r="J68" s="38">
        <f>SUM(AA128:AA132,AA154)</f>
        <v>0</v>
      </c>
      <c r="K68" s="38">
        <f>COUNT(AA136,AA139,AA142)</f>
        <v>0</v>
      </c>
      <c r="L68" s="12" t="str">
        <f>IF(J68=0,"",SUM(AA136,AA139,AA142))</f>
        <v/>
      </c>
      <c r="M68" s="12" t="str">
        <f>IF(J68=0,"",SUM(AA137,AA140,AA143))</f>
        <v/>
      </c>
      <c r="N68" s="12" t="str">
        <f>IF(J68=0,"",SUM(AA138,AA141,AA144))</f>
        <v/>
      </c>
      <c r="O68" s="12" t="str">
        <f t="shared" si="1"/>
        <v/>
      </c>
      <c r="P68" s="13" t="str">
        <f t="shared" si="2"/>
        <v/>
      </c>
      <c r="Q68" s="13" t="str">
        <f t="shared" si="3"/>
        <v/>
      </c>
      <c r="R68" s="13" t="str">
        <f t="shared" si="4"/>
        <v/>
      </c>
      <c r="S68" s="38" t="str">
        <f t="shared" si="5"/>
        <v>판정보류</v>
      </c>
      <c r="T68" s="37" t="str">
        <f t="shared" si="6"/>
        <v>판정보류</v>
      </c>
      <c r="U68" s="37" t="str">
        <f t="shared" si="7"/>
        <v>자동 초안</v>
      </c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</row>
    <row r="69" spans="1:51" ht="75.95" customHeight="1" x14ac:dyDescent="0.3">
      <c r="A69" s="38">
        <v>19</v>
      </c>
      <c r="B69" s="38"/>
      <c r="C69" s="58"/>
      <c r="D69" s="55"/>
      <c r="E69" s="55"/>
      <c r="F69" s="55"/>
      <c r="G69" s="58"/>
      <c r="H69" s="55"/>
      <c r="I69" s="38" t="str">
        <f t="shared" si="0"/>
        <v>자동 · 판정보류</v>
      </c>
      <c r="J69" s="38">
        <f>SUM(AB128:AB132,AB154)</f>
        <v>0</v>
      </c>
      <c r="K69" s="38">
        <f>COUNT(AB136,AB139,AB142)</f>
        <v>0</v>
      </c>
      <c r="L69" s="12" t="str">
        <f>IF(J69=0,"",SUM(AB136,AB139,AB142))</f>
        <v/>
      </c>
      <c r="M69" s="12" t="str">
        <f>IF(J69=0,"",SUM(AB137,AB140,AB143))</f>
        <v/>
      </c>
      <c r="N69" s="12" t="str">
        <f>IF(J69=0,"",SUM(AB138,AB141,AB144))</f>
        <v/>
      </c>
      <c r="O69" s="12" t="str">
        <f t="shared" si="1"/>
        <v/>
      </c>
      <c r="P69" s="13" t="str">
        <f t="shared" si="2"/>
        <v/>
      </c>
      <c r="Q69" s="13" t="str">
        <f t="shared" si="3"/>
        <v/>
      </c>
      <c r="R69" s="13" t="str">
        <f t="shared" si="4"/>
        <v/>
      </c>
      <c r="S69" s="38" t="str">
        <f t="shared" si="5"/>
        <v>판정보류</v>
      </c>
      <c r="T69" s="37" t="str">
        <f t="shared" si="6"/>
        <v>판정보류</v>
      </c>
      <c r="U69" s="37" t="str">
        <f t="shared" si="7"/>
        <v>자동 초안</v>
      </c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</row>
    <row r="70" spans="1:51" ht="75.95" customHeight="1" x14ac:dyDescent="0.3">
      <c r="A70" s="38">
        <v>20</v>
      </c>
      <c r="B70" s="38"/>
      <c r="C70" s="58"/>
      <c r="D70" s="55"/>
      <c r="E70" s="55"/>
      <c r="F70" s="55"/>
      <c r="G70" s="58"/>
      <c r="H70" s="55"/>
      <c r="I70" s="38" t="str">
        <f t="shared" si="0"/>
        <v>자동 · 판정보류</v>
      </c>
      <c r="J70" s="38">
        <f>SUM(AC128:AC132,AC154)</f>
        <v>0</v>
      </c>
      <c r="K70" s="38">
        <f>COUNT(AC136,AC139,AC142)</f>
        <v>0</v>
      </c>
      <c r="L70" s="12" t="str">
        <f>IF(J70=0,"",SUM(AC136,AC139,AC142))</f>
        <v/>
      </c>
      <c r="M70" s="12" t="str">
        <f>IF(J70=0,"",SUM(AC137,AC140,AC143))</f>
        <v/>
      </c>
      <c r="N70" s="12" t="str">
        <f>IF(J70=0,"",SUM(AC138,AC141,AC144))</f>
        <v/>
      </c>
      <c r="O70" s="12" t="str">
        <f t="shared" si="1"/>
        <v/>
      </c>
      <c r="P70" s="13" t="str">
        <f t="shared" si="2"/>
        <v/>
      </c>
      <c r="Q70" s="13" t="str">
        <f t="shared" si="3"/>
        <v/>
      </c>
      <c r="R70" s="13" t="str">
        <f t="shared" si="4"/>
        <v/>
      </c>
      <c r="S70" s="38" t="str">
        <f t="shared" si="5"/>
        <v>판정보류</v>
      </c>
      <c r="T70" s="37" t="str">
        <f t="shared" si="6"/>
        <v>판정보류</v>
      </c>
      <c r="U70" s="37" t="str">
        <f t="shared" si="7"/>
        <v>자동 초안</v>
      </c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</row>
    <row r="71" spans="1:51" x14ac:dyDescent="0.3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</row>
    <row r="72" spans="1:51" ht="56.1" customHeight="1" x14ac:dyDescent="0.3">
      <c r="A72" s="63" t="s">
        <v>526</v>
      </c>
      <c r="B72" s="55"/>
      <c r="C72" s="55"/>
      <c r="D72" s="55"/>
      <c r="E72" s="55"/>
      <c r="F72" s="55"/>
      <c r="G72" s="55"/>
      <c r="H72" s="55"/>
      <c r="I72" s="55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</row>
    <row r="73" spans="1:51" x14ac:dyDescent="0.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</row>
    <row r="74" spans="1:51" x14ac:dyDescent="0.3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</row>
    <row r="75" spans="1:51" ht="45" customHeight="1" x14ac:dyDescent="0.3">
      <c r="A75" s="37"/>
      <c r="B75" s="60" t="s">
        <v>527</v>
      </c>
      <c r="C75" s="55"/>
      <c r="D75" s="55"/>
      <c r="E75" s="55"/>
      <c r="F75" s="55"/>
      <c r="G75" s="55"/>
      <c r="H75" s="55"/>
      <c r="I75" s="55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</row>
    <row r="76" spans="1:51" ht="45" customHeight="1" x14ac:dyDescent="0.3">
      <c r="A76" s="37"/>
      <c r="B76" s="60" t="s">
        <v>528</v>
      </c>
      <c r="C76" s="55"/>
      <c r="D76" s="55"/>
      <c r="E76" s="55"/>
      <c r="F76" s="55"/>
      <c r="G76" s="55"/>
      <c r="H76" s="55"/>
      <c r="I76" s="55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</row>
    <row r="77" spans="1:51" x14ac:dyDescent="0.3">
      <c r="A77" s="37"/>
      <c r="B77" s="37" t="s">
        <v>529</v>
      </c>
      <c r="C77" s="37">
        <v>3</v>
      </c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</row>
    <row r="78" spans="1:51" x14ac:dyDescent="0.3">
      <c r="A78" s="37"/>
      <c r="B78" s="37" t="s">
        <v>530</v>
      </c>
      <c r="C78" s="37">
        <v>2</v>
      </c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</row>
    <row r="79" spans="1:51" x14ac:dyDescent="0.3">
      <c r="A79" s="37"/>
      <c r="B79" s="37" t="s">
        <v>531</v>
      </c>
      <c r="C79" s="14">
        <v>0.6</v>
      </c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</row>
    <row r="80" spans="1:51" x14ac:dyDescent="0.3">
      <c r="A80" s="37"/>
      <c r="B80" s="37" t="s">
        <v>532</v>
      </c>
      <c r="C80" s="14">
        <v>0.15</v>
      </c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</row>
    <row r="81" spans="1:51" x14ac:dyDescent="0.3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</row>
    <row r="82" spans="1:51" x14ac:dyDescent="0.3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</row>
    <row r="83" spans="1:51" x14ac:dyDescent="0.3">
      <c r="A83" s="37"/>
      <c r="B83" s="37" t="s">
        <v>533</v>
      </c>
      <c r="C83" s="37" t="s">
        <v>534</v>
      </c>
      <c r="D83" s="37" t="s">
        <v>503</v>
      </c>
      <c r="E83" s="37" t="s">
        <v>505</v>
      </c>
      <c r="F83" s="37" t="s">
        <v>535</v>
      </c>
      <c r="G83" s="37" t="s">
        <v>536</v>
      </c>
      <c r="H83" s="37" t="s">
        <v>537</v>
      </c>
      <c r="I83" s="37" t="s">
        <v>538</v>
      </c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</row>
    <row r="84" spans="1:51" ht="35.1" customHeight="1" x14ac:dyDescent="0.3">
      <c r="A84" s="37"/>
      <c r="B84" s="37">
        <v>6</v>
      </c>
      <c r="C84" s="37">
        <v>-2</v>
      </c>
      <c r="D84" s="37">
        <v>2</v>
      </c>
      <c r="E84" s="37">
        <v>0</v>
      </c>
      <c r="F84" s="37">
        <v>0</v>
      </c>
      <c r="G84" s="37" t="s">
        <v>539</v>
      </c>
      <c r="H84" s="37" t="s">
        <v>540</v>
      </c>
      <c r="I84" s="37">
        <f t="shared" ref="I84:I108" si="8">IF(SUM(D84:F84)&gt;0,1,0)</f>
        <v>1</v>
      </c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</row>
    <row r="85" spans="1:51" ht="35.1" customHeight="1" x14ac:dyDescent="0.3">
      <c r="A85" s="37"/>
      <c r="B85" s="37">
        <v>6</v>
      </c>
      <c r="C85" s="37">
        <v>-1</v>
      </c>
      <c r="D85" s="37">
        <v>0</v>
      </c>
      <c r="E85" s="37">
        <v>2</v>
      </c>
      <c r="F85" s="37">
        <v>0</v>
      </c>
      <c r="G85" s="37" t="s">
        <v>539</v>
      </c>
      <c r="H85" s="37" t="s">
        <v>541</v>
      </c>
      <c r="I85" s="37">
        <f t="shared" si="8"/>
        <v>1</v>
      </c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</row>
    <row r="86" spans="1:51" ht="35.1" customHeight="1" x14ac:dyDescent="0.3">
      <c r="A86" s="37"/>
      <c r="B86" s="37">
        <v>6</v>
      </c>
      <c r="C86" s="37">
        <v>0</v>
      </c>
      <c r="D86" s="37">
        <v>0</v>
      </c>
      <c r="E86" s="37">
        <v>2</v>
      </c>
      <c r="F86" s="37">
        <v>0</v>
      </c>
      <c r="G86" s="37" t="s">
        <v>539</v>
      </c>
      <c r="H86" s="37" t="s">
        <v>542</v>
      </c>
      <c r="I86" s="37">
        <f t="shared" si="8"/>
        <v>1</v>
      </c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</row>
    <row r="87" spans="1:51" ht="35.1" customHeight="1" x14ac:dyDescent="0.3">
      <c r="A87" s="37"/>
      <c r="B87" s="37">
        <v>6</v>
      </c>
      <c r="C87" s="37">
        <v>1</v>
      </c>
      <c r="D87" s="37">
        <v>0</v>
      </c>
      <c r="E87" s="37">
        <v>0</v>
      </c>
      <c r="F87" s="37">
        <v>1</v>
      </c>
      <c r="G87" s="37" t="s">
        <v>539</v>
      </c>
      <c r="H87" s="37" t="s">
        <v>543</v>
      </c>
      <c r="I87" s="37">
        <f t="shared" si="8"/>
        <v>1</v>
      </c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</row>
    <row r="88" spans="1:51" ht="35.1" customHeight="1" x14ac:dyDescent="0.3">
      <c r="A88" s="37"/>
      <c r="B88" s="37">
        <v>6</v>
      </c>
      <c r="C88" s="37">
        <v>2</v>
      </c>
      <c r="D88" s="37">
        <v>0</v>
      </c>
      <c r="E88" s="37">
        <v>0</v>
      </c>
      <c r="F88" s="37">
        <v>2</v>
      </c>
      <c r="G88" s="37" t="s">
        <v>539</v>
      </c>
      <c r="H88" s="37" t="s">
        <v>544</v>
      </c>
      <c r="I88" s="37">
        <f t="shared" si="8"/>
        <v>1</v>
      </c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</row>
    <row r="89" spans="1:51" ht="35.1" customHeight="1" x14ac:dyDescent="0.3">
      <c r="A89" s="37"/>
      <c r="B89" s="37">
        <v>9</v>
      </c>
      <c r="C89" s="37">
        <v>-2</v>
      </c>
      <c r="D89" s="37">
        <v>2</v>
      </c>
      <c r="E89" s="37">
        <v>0</v>
      </c>
      <c r="F89" s="37">
        <v>0</v>
      </c>
      <c r="G89" s="37" t="s">
        <v>539</v>
      </c>
      <c r="H89" s="37" t="s">
        <v>545</v>
      </c>
      <c r="I89" s="37">
        <f t="shared" si="8"/>
        <v>1</v>
      </c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</row>
    <row r="90" spans="1:51" ht="35.1" customHeight="1" x14ac:dyDescent="0.3">
      <c r="A90" s="37"/>
      <c r="B90" s="37">
        <v>9</v>
      </c>
      <c r="C90" s="37">
        <v>-1</v>
      </c>
      <c r="D90" s="37">
        <v>0</v>
      </c>
      <c r="E90" s="37">
        <v>2</v>
      </c>
      <c r="F90" s="37">
        <v>0</v>
      </c>
      <c r="G90" s="37" t="s">
        <v>539</v>
      </c>
      <c r="H90" s="37" t="s">
        <v>546</v>
      </c>
      <c r="I90" s="37">
        <f t="shared" si="8"/>
        <v>1</v>
      </c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</row>
    <row r="91" spans="1:51" ht="35.1" customHeight="1" x14ac:dyDescent="0.3">
      <c r="A91" s="37"/>
      <c r="B91" s="37">
        <v>9</v>
      </c>
      <c r="C91" s="37">
        <v>0</v>
      </c>
      <c r="D91" s="37">
        <v>0</v>
      </c>
      <c r="E91" s="37">
        <v>1</v>
      </c>
      <c r="F91" s="37">
        <v>0</v>
      </c>
      <c r="G91" s="37" t="s">
        <v>539</v>
      </c>
      <c r="H91" s="37" t="s">
        <v>547</v>
      </c>
      <c r="I91" s="37">
        <f t="shared" si="8"/>
        <v>1</v>
      </c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</row>
    <row r="92" spans="1:51" ht="35.1" customHeight="1" x14ac:dyDescent="0.3">
      <c r="A92" s="37"/>
      <c r="B92" s="37">
        <v>9</v>
      </c>
      <c r="C92" s="37">
        <v>1</v>
      </c>
      <c r="D92" s="37">
        <v>0</v>
      </c>
      <c r="E92" s="37">
        <v>0</v>
      </c>
      <c r="F92" s="37">
        <v>1</v>
      </c>
      <c r="G92" s="37" t="s">
        <v>539</v>
      </c>
      <c r="H92" s="37" t="s">
        <v>543</v>
      </c>
      <c r="I92" s="37">
        <f t="shared" si="8"/>
        <v>1</v>
      </c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</row>
    <row r="93" spans="1:51" ht="35.1" customHeight="1" x14ac:dyDescent="0.3">
      <c r="A93" s="37"/>
      <c r="B93" s="37">
        <v>9</v>
      </c>
      <c r="C93" s="37">
        <v>2</v>
      </c>
      <c r="D93" s="37">
        <v>0</v>
      </c>
      <c r="E93" s="37">
        <v>0</v>
      </c>
      <c r="F93" s="37">
        <v>2</v>
      </c>
      <c r="G93" s="37" t="s">
        <v>539</v>
      </c>
      <c r="H93" s="37" t="s">
        <v>548</v>
      </c>
      <c r="I93" s="37">
        <f t="shared" si="8"/>
        <v>1</v>
      </c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</row>
    <row r="94" spans="1:51" ht="35.1" customHeight="1" x14ac:dyDescent="0.3">
      <c r="A94" s="37"/>
      <c r="B94" s="37">
        <v>22</v>
      </c>
      <c r="C94" s="37">
        <v>-2</v>
      </c>
      <c r="D94" s="37">
        <v>0</v>
      </c>
      <c r="E94" s="37">
        <v>2</v>
      </c>
      <c r="F94" s="37">
        <v>0</v>
      </c>
      <c r="G94" s="37" t="s">
        <v>129</v>
      </c>
      <c r="H94" s="37" t="s">
        <v>549</v>
      </c>
      <c r="I94" s="37">
        <f t="shared" si="8"/>
        <v>1</v>
      </c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</row>
    <row r="95" spans="1:51" ht="35.1" customHeight="1" x14ac:dyDescent="0.3">
      <c r="A95" s="37"/>
      <c r="B95" s="37">
        <v>22</v>
      </c>
      <c r="C95" s="37">
        <v>-1</v>
      </c>
      <c r="D95" s="37">
        <v>0</v>
      </c>
      <c r="E95" s="37">
        <v>2</v>
      </c>
      <c r="F95" s="37">
        <v>0</v>
      </c>
      <c r="G95" s="37" t="s">
        <v>129</v>
      </c>
      <c r="H95" s="37" t="s">
        <v>550</v>
      </c>
      <c r="I95" s="37">
        <f t="shared" si="8"/>
        <v>1</v>
      </c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</row>
    <row r="96" spans="1:51" ht="35.1" customHeight="1" x14ac:dyDescent="0.3">
      <c r="A96" s="37"/>
      <c r="B96" s="37">
        <v>22</v>
      </c>
      <c r="C96" s="37">
        <v>0</v>
      </c>
      <c r="D96" s="37">
        <v>0</v>
      </c>
      <c r="E96" s="37">
        <v>0</v>
      </c>
      <c r="F96" s="37">
        <v>0</v>
      </c>
      <c r="G96" s="37" t="s">
        <v>129</v>
      </c>
      <c r="H96" s="37" t="s">
        <v>551</v>
      </c>
      <c r="I96" s="37">
        <f t="shared" si="8"/>
        <v>0</v>
      </c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</row>
    <row r="97" spans="1:51" ht="35.1" customHeight="1" x14ac:dyDescent="0.3">
      <c r="A97" s="37"/>
      <c r="B97" s="37">
        <v>22</v>
      </c>
      <c r="C97" s="37">
        <v>1</v>
      </c>
      <c r="D97" s="37">
        <v>0</v>
      </c>
      <c r="E97" s="37">
        <v>0</v>
      </c>
      <c r="F97" s="37">
        <v>1</v>
      </c>
      <c r="G97" s="37" t="s">
        <v>129</v>
      </c>
      <c r="H97" s="37" t="s">
        <v>552</v>
      </c>
      <c r="I97" s="37">
        <f t="shared" si="8"/>
        <v>1</v>
      </c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</row>
    <row r="98" spans="1:51" ht="35.1" customHeight="1" x14ac:dyDescent="0.3">
      <c r="A98" s="37"/>
      <c r="B98" s="37">
        <v>22</v>
      </c>
      <c r="C98" s="37">
        <v>2</v>
      </c>
      <c r="D98" s="37">
        <v>0</v>
      </c>
      <c r="E98" s="37">
        <v>0</v>
      </c>
      <c r="F98" s="37">
        <v>2</v>
      </c>
      <c r="G98" s="37" t="s">
        <v>129</v>
      </c>
      <c r="H98" s="37" t="s">
        <v>553</v>
      </c>
      <c r="I98" s="37">
        <f t="shared" si="8"/>
        <v>1</v>
      </c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</row>
    <row r="99" spans="1:51" ht="35.1" customHeight="1" x14ac:dyDescent="0.3">
      <c r="A99" s="37"/>
      <c r="B99" s="37">
        <v>23</v>
      </c>
      <c r="C99" s="37">
        <v>-2</v>
      </c>
      <c r="D99" s="37">
        <v>0</v>
      </c>
      <c r="E99" s="37">
        <v>0</v>
      </c>
      <c r="F99" s="37">
        <v>0</v>
      </c>
      <c r="G99" s="37" t="s">
        <v>554</v>
      </c>
      <c r="H99" s="37" t="s">
        <v>555</v>
      </c>
      <c r="I99" s="37">
        <f t="shared" si="8"/>
        <v>0</v>
      </c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</row>
    <row r="100" spans="1:51" ht="35.1" customHeight="1" x14ac:dyDescent="0.3">
      <c r="A100" s="37"/>
      <c r="B100" s="37">
        <v>23</v>
      </c>
      <c r="C100" s="37">
        <v>-1</v>
      </c>
      <c r="D100" s="37">
        <v>0</v>
      </c>
      <c r="E100" s="37">
        <v>0</v>
      </c>
      <c r="F100" s="37">
        <v>0</v>
      </c>
      <c r="G100" s="37" t="s">
        <v>554</v>
      </c>
      <c r="H100" s="37" t="s">
        <v>556</v>
      </c>
      <c r="I100" s="37">
        <f t="shared" si="8"/>
        <v>0</v>
      </c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</row>
    <row r="101" spans="1:51" ht="35.1" customHeight="1" x14ac:dyDescent="0.3">
      <c r="A101" s="37"/>
      <c r="B101" s="37">
        <v>23</v>
      </c>
      <c r="C101" s="37">
        <v>0</v>
      </c>
      <c r="D101" s="37">
        <v>0</v>
      </c>
      <c r="E101" s="37">
        <v>0</v>
      </c>
      <c r="F101" s="37">
        <v>0</v>
      </c>
      <c r="G101" s="37" t="s">
        <v>554</v>
      </c>
      <c r="H101" s="37" t="s">
        <v>557</v>
      </c>
      <c r="I101" s="37">
        <f t="shared" si="8"/>
        <v>0</v>
      </c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</row>
    <row r="102" spans="1:51" ht="35.1" customHeight="1" x14ac:dyDescent="0.3">
      <c r="A102" s="37"/>
      <c r="B102" s="37">
        <v>23</v>
      </c>
      <c r="C102" s="37">
        <v>1</v>
      </c>
      <c r="D102" s="37">
        <v>0</v>
      </c>
      <c r="E102" s="37">
        <v>0</v>
      </c>
      <c r="F102" s="37">
        <v>1</v>
      </c>
      <c r="G102" s="37" t="s">
        <v>554</v>
      </c>
      <c r="H102" s="37" t="s">
        <v>558</v>
      </c>
      <c r="I102" s="37">
        <f t="shared" si="8"/>
        <v>1</v>
      </c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</row>
    <row r="103" spans="1:51" ht="35.1" customHeight="1" x14ac:dyDescent="0.3">
      <c r="A103" s="37"/>
      <c r="B103" s="37">
        <v>23</v>
      </c>
      <c r="C103" s="37">
        <v>2</v>
      </c>
      <c r="D103" s="37">
        <v>0</v>
      </c>
      <c r="E103" s="37">
        <v>0</v>
      </c>
      <c r="F103" s="37">
        <v>2</v>
      </c>
      <c r="G103" s="37" t="s">
        <v>554</v>
      </c>
      <c r="H103" s="37" t="s">
        <v>559</v>
      </c>
      <c r="I103" s="37">
        <f t="shared" si="8"/>
        <v>1</v>
      </c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</row>
    <row r="104" spans="1:51" ht="35.1" customHeight="1" x14ac:dyDescent="0.3">
      <c r="A104" s="37"/>
      <c r="B104" s="37">
        <v>24</v>
      </c>
      <c r="C104" s="37">
        <v>-2</v>
      </c>
      <c r="D104" s="37">
        <v>0</v>
      </c>
      <c r="E104" s="37">
        <v>0</v>
      </c>
      <c r="F104" s="37">
        <v>1</v>
      </c>
      <c r="G104" s="37" t="s">
        <v>554</v>
      </c>
      <c r="H104" s="37" t="s">
        <v>560</v>
      </c>
      <c r="I104" s="37">
        <f t="shared" si="8"/>
        <v>1</v>
      </c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</row>
    <row r="105" spans="1:51" ht="35.1" customHeight="1" x14ac:dyDescent="0.3">
      <c r="A105" s="37"/>
      <c r="B105" s="37">
        <v>24</v>
      </c>
      <c r="C105" s="37">
        <v>-1</v>
      </c>
      <c r="D105" s="37">
        <v>2</v>
      </c>
      <c r="E105" s="37">
        <v>0</v>
      </c>
      <c r="F105" s="37">
        <v>0</v>
      </c>
      <c r="G105" s="37" t="s">
        <v>554</v>
      </c>
      <c r="H105" s="37" t="s">
        <v>561</v>
      </c>
      <c r="I105" s="37">
        <f t="shared" si="8"/>
        <v>1</v>
      </c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</row>
    <row r="106" spans="1:51" ht="35.1" customHeight="1" x14ac:dyDescent="0.3">
      <c r="A106" s="37"/>
      <c r="B106" s="37">
        <v>24</v>
      </c>
      <c r="C106" s="37">
        <v>0</v>
      </c>
      <c r="D106" s="37">
        <v>0</v>
      </c>
      <c r="E106" s="37">
        <v>2</v>
      </c>
      <c r="F106" s="37">
        <v>0</v>
      </c>
      <c r="G106" s="37" t="s">
        <v>554</v>
      </c>
      <c r="H106" s="37" t="s">
        <v>562</v>
      </c>
      <c r="I106" s="37">
        <f t="shared" si="8"/>
        <v>1</v>
      </c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</row>
    <row r="107" spans="1:51" ht="35.1" customHeight="1" x14ac:dyDescent="0.3">
      <c r="A107" s="37"/>
      <c r="B107" s="37">
        <v>24</v>
      </c>
      <c r="C107" s="37">
        <v>1</v>
      </c>
      <c r="D107" s="37">
        <v>0</v>
      </c>
      <c r="E107" s="37">
        <v>0</v>
      </c>
      <c r="F107" s="37">
        <v>0</v>
      </c>
      <c r="G107" s="37" t="s">
        <v>554</v>
      </c>
      <c r="H107" s="37" t="s">
        <v>563</v>
      </c>
      <c r="I107" s="37">
        <f t="shared" si="8"/>
        <v>0</v>
      </c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</row>
    <row r="108" spans="1:51" ht="35.1" customHeight="1" x14ac:dyDescent="0.3">
      <c r="A108" s="37"/>
      <c r="B108" s="37">
        <v>24</v>
      </c>
      <c r="C108" s="37">
        <v>2</v>
      </c>
      <c r="D108" s="37">
        <v>0</v>
      </c>
      <c r="E108" s="37">
        <v>0</v>
      </c>
      <c r="F108" s="37">
        <v>2</v>
      </c>
      <c r="G108" s="37" t="s">
        <v>554</v>
      </c>
      <c r="H108" s="37" t="s">
        <v>564</v>
      </c>
      <c r="I108" s="37">
        <f t="shared" si="8"/>
        <v>1</v>
      </c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</row>
    <row r="109" spans="1:51" x14ac:dyDescent="0.3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</row>
    <row r="110" spans="1:51" ht="45" customHeight="1" x14ac:dyDescent="0.3">
      <c r="A110" s="37"/>
      <c r="B110" s="60" t="s">
        <v>565</v>
      </c>
      <c r="C110" s="55"/>
      <c r="D110" s="55"/>
      <c r="E110" s="55"/>
      <c r="F110" s="55"/>
      <c r="G110" s="55"/>
      <c r="H110" s="55"/>
      <c r="I110" s="55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</row>
    <row r="111" spans="1:51" x14ac:dyDescent="0.3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</row>
    <row r="112" spans="1:51" x14ac:dyDescent="0.3">
      <c r="A112" s="37"/>
      <c r="B112" s="58" t="s">
        <v>566</v>
      </c>
      <c r="C112" s="55"/>
      <c r="D112" s="55"/>
      <c r="E112" s="55"/>
      <c r="F112" s="55"/>
      <c r="G112" s="55"/>
      <c r="H112" s="55"/>
      <c r="I112" s="55"/>
      <c r="J112" s="37" t="str">
        <f t="shared" ref="J112:AC112" si="9">IF(J128=1,SUMIFS($D$84:$D$108,$B$84:$B$108,6,$C$84:$C$108,J6),"")</f>
        <v/>
      </c>
      <c r="K112" s="37" t="str">
        <f t="shared" si="9"/>
        <v/>
      </c>
      <c r="L112" s="37" t="str">
        <f t="shared" si="9"/>
        <v/>
      </c>
      <c r="M112" s="37" t="str">
        <f t="shared" si="9"/>
        <v/>
      </c>
      <c r="N112" s="37" t="str">
        <f t="shared" si="9"/>
        <v/>
      </c>
      <c r="O112" s="37" t="str">
        <f t="shared" si="9"/>
        <v/>
      </c>
      <c r="P112" s="37" t="str">
        <f t="shared" si="9"/>
        <v/>
      </c>
      <c r="Q112" s="37" t="str">
        <f t="shared" si="9"/>
        <v/>
      </c>
      <c r="R112" s="37" t="str">
        <f t="shared" si="9"/>
        <v/>
      </c>
      <c r="S112" s="37" t="str">
        <f t="shared" si="9"/>
        <v/>
      </c>
      <c r="T112" s="37" t="str">
        <f t="shared" si="9"/>
        <v/>
      </c>
      <c r="U112" s="37" t="str">
        <f t="shared" si="9"/>
        <v/>
      </c>
      <c r="V112" s="37" t="str">
        <f t="shared" si="9"/>
        <v/>
      </c>
      <c r="W112" s="37" t="str">
        <f t="shared" si="9"/>
        <v/>
      </c>
      <c r="X112" s="37" t="str">
        <f t="shared" si="9"/>
        <v/>
      </c>
      <c r="Y112" s="37" t="str">
        <f t="shared" si="9"/>
        <v/>
      </c>
      <c r="Z112" s="37" t="str">
        <f t="shared" si="9"/>
        <v/>
      </c>
      <c r="AA112" s="37" t="str">
        <f t="shared" si="9"/>
        <v/>
      </c>
      <c r="AB112" s="37" t="str">
        <f t="shared" si="9"/>
        <v/>
      </c>
      <c r="AC112" s="37" t="str">
        <f t="shared" si="9"/>
        <v/>
      </c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</row>
    <row r="113" spans="1:51" x14ac:dyDescent="0.3">
      <c r="A113" s="37"/>
      <c r="B113" s="58" t="s">
        <v>567</v>
      </c>
      <c r="C113" s="55"/>
      <c r="D113" s="55"/>
      <c r="E113" s="55"/>
      <c r="F113" s="55"/>
      <c r="G113" s="55"/>
      <c r="H113" s="55"/>
      <c r="I113" s="55"/>
      <c r="J113" s="37" t="str">
        <f t="shared" ref="J113:AC113" si="10">IF(J128=1,SUMIFS($E$84:$E$108,$B$84:$B$108,6,$C$84:$C$108,J6),"")</f>
        <v/>
      </c>
      <c r="K113" s="37" t="str">
        <f t="shared" si="10"/>
        <v/>
      </c>
      <c r="L113" s="37" t="str">
        <f t="shared" si="10"/>
        <v/>
      </c>
      <c r="M113" s="37" t="str">
        <f t="shared" si="10"/>
        <v/>
      </c>
      <c r="N113" s="37" t="str">
        <f t="shared" si="10"/>
        <v/>
      </c>
      <c r="O113" s="37" t="str">
        <f t="shared" si="10"/>
        <v/>
      </c>
      <c r="P113" s="37" t="str">
        <f t="shared" si="10"/>
        <v/>
      </c>
      <c r="Q113" s="37" t="str">
        <f t="shared" si="10"/>
        <v/>
      </c>
      <c r="R113" s="37" t="str">
        <f t="shared" si="10"/>
        <v/>
      </c>
      <c r="S113" s="37" t="str">
        <f t="shared" si="10"/>
        <v/>
      </c>
      <c r="T113" s="37" t="str">
        <f t="shared" si="10"/>
        <v/>
      </c>
      <c r="U113" s="37" t="str">
        <f t="shared" si="10"/>
        <v/>
      </c>
      <c r="V113" s="37" t="str">
        <f t="shared" si="10"/>
        <v/>
      </c>
      <c r="W113" s="37" t="str">
        <f t="shared" si="10"/>
        <v/>
      </c>
      <c r="X113" s="37" t="str">
        <f t="shared" si="10"/>
        <v/>
      </c>
      <c r="Y113" s="37" t="str">
        <f t="shared" si="10"/>
        <v/>
      </c>
      <c r="Z113" s="37" t="str">
        <f t="shared" si="10"/>
        <v/>
      </c>
      <c r="AA113" s="37" t="str">
        <f t="shared" si="10"/>
        <v/>
      </c>
      <c r="AB113" s="37" t="str">
        <f t="shared" si="10"/>
        <v/>
      </c>
      <c r="AC113" s="37" t="str">
        <f t="shared" si="10"/>
        <v/>
      </c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</row>
    <row r="114" spans="1:51" x14ac:dyDescent="0.3">
      <c r="A114" s="37"/>
      <c r="B114" s="58" t="s">
        <v>568</v>
      </c>
      <c r="C114" s="55"/>
      <c r="D114" s="55"/>
      <c r="E114" s="55"/>
      <c r="F114" s="55"/>
      <c r="G114" s="55"/>
      <c r="H114" s="55"/>
      <c r="I114" s="55"/>
      <c r="J114" s="37" t="str">
        <f t="shared" ref="J114:AC114" si="11">IF(J128=1,SUMIFS($F$84:$F$108,$B$84:$B$108,6,$C$84:$C$108,J6),"")</f>
        <v/>
      </c>
      <c r="K114" s="37" t="str">
        <f t="shared" si="11"/>
        <v/>
      </c>
      <c r="L114" s="37" t="str">
        <f t="shared" si="11"/>
        <v/>
      </c>
      <c r="M114" s="37" t="str">
        <f t="shared" si="11"/>
        <v/>
      </c>
      <c r="N114" s="37" t="str">
        <f t="shared" si="11"/>
        <v/>
      </c>
      <c r="O114" s="37" t="str">
        <f t="shared" si="11"/>
        <v/>
      </c>
      <c r="P114" s="37" t="str">
        <f t="shared" si="11"/>
        <v/>
      </c>
      <c r="Q114" s="37" t="str">
        <f t="shared" si="11"/>
        <v/>
      </c>
      <c r="R114" s="37" t="str">
        <f t="shared" si="11"/>
        <v/>
      </c>
      <c r="S114" s="37" t="str">
        <f t="shared" si="11"/>
        <v/>
      </c>
      <c r="T114" s="37" t="str">
        <f t="shared" si="11"/>
        <v/>
      </c>
      <c r="U114" s="37" t="str">
        <f t="shared" si="11"/>
        <v/>
      </c>
      <c r="V114" s="37" t="str">
        <f t="shared" si="11"/>
        <v/>
      </c>
      <c r="W114" s="37" t="str">
        <f t="shared" si="11"/>
        <v/>
      </c>
      <c r="X114" s="37" t="str">
        <f t="shared" si="11"/>
        <v/>
      </c>
      <c r="Y114" s="37" t="str">
        <f t="shared" si="11"/>
        <v/>
      </c>
      <c r="Z114" s="37" t="str">
        <f t="shared" si="11"/>
        <v/>
      </c>
      <c r="AA114" s="37" t="str">
        <f t="shared" si="11"/>
        <v/>
      </c>
      <c r="AB114" s="37" t="str">
        <f t="shared" si="11"/>
        <v/>
      </c>
      <c r="AC114" s="37" t="str">
        <f t="shared" si="11"/>
        <v/>
      </c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</row>
    <row r="115" spans="1:51" x14ac:dyDescent="0.3">
      <c r="A115" s="37"/>
      <c r="B115" s="58" t="s">
        <v>569</v>
      </c>
      <c r="C115" s="55"/>
      <c r="D115" s="55"/>
      <c r="E115" s="55"/>
      <c r="F115" s="55"/>
      <c r="G115" s="55"/>
      <c r="H115" s="55"/>
      <c r="I115" s="55"/>
      <c r="J115" s="37" t="str">
        <f t="shared" ref="J115:AC115" si="12">IF(J129=1,SUMIFS($D$84:$D$108,$B$84:$B$108,9,$C$84:$C$108,J9),"")</f>
        <v/>
      </c>
      <c r="K115" s="37" t="str">
        <f t="shared" si="12"/>
        <v/>
      </c>
      <c r="L115" s="37" t="str">
        <f t="shared" si="12"/>
        <v/>
      </c>
      <c r="M115" s="37" t="str">
        <f t="shared" si="12"/>
        <v/>
      </c>
      <c r="N115" s="37" t="str">
        <f t="shared" si="12"/>
        <v/>
      </c>
      <c r="O115" s="37" t="str">
        <f t="shared" si="12"/>
        <v/>
      </c>
      <c r="P115" s="37" t="str">
        <f t="shared" si="12"/>
        <v/>
      </c>
      <c r="Q115" s="37" t="str">
        <f t="shared" si="12"/>
        <v/>
      </c>
      <c r="R115" s="37" t="str">
        <f t="shared" si="12"/>
        <v/>
      </c>
      <c r="S115" s="37" t="str">
        <f t="shared" si="12"/>
        <v/>
      </c>
      <c r="T115" s="37" t="str">
        <f t="shared" si="12"/>
        <v/>
      </c>
      <c r="U115" s="37" t="str">
        <f t="shared" si="12"/>
        <v/>
      </c>
      <c r="V115" s="37" t="str">
        <f t="shared" si="12"/>
        <v/>
      </c>
      <c r="W115" s="37" t="str">
        <f t="shared" si="12"/>
        <v/>
      </c>
      <c r="X115" s="37" t="str">
        <f t="shared" si="12"/>
        <v/>
      </c>
      <c r="Y115" s="37" t="str">
        <f t="shared" si="12"/>
        <v/>
      </c>
      <c r="Z115" s="37" t="str">
        <f t="shared" si="12"/>
        <v/>
      </c>
      <c r="AA115" s="37" t="str">
        <f t="shared" si="12"/>
        <v/>
      </c>
      <c r="AB115" s="37" t="str">
        <f t="shared" si="12"/>
        <v/>
      </c>
      <c r="AC115" s="37" t="str">
        <f t="shared" si="12"/>
        <v/>
      </c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</row>
    <row r="116" spans="1:51" x14ac:dyDescent="0.3">
      <c r="A116" s="37"/>
      <c r="B116" s="58" t="s">
        <v>570</v>
      </c>
      <c r="C116" s="55"/>
      <c r="D116" s="55"/>
      <c r="E116" s="55"/>
      <c r="F116" s="55"/>
      <c r="G116" s="55"/>
      <c r="H116" s="55"/>
      <c r="I116" s="55"/>
      <c r="J116" s="37" t="str">
        <f t="shared" ref="J116:AC116" si="13">IF(J129=1,SUMIFS($E$84:$E$108,$B$84:$B$108,9,$C$84:$C$108,J9),"")</f>
        <v/>
      </c>
      <c r="K116" s="37" t="str">
        <f t="shared" si="13"/>
        <v/>
      </c>
      <c r="L116" s="37" t="str">
        <f t="shared" si="13"/>
        <v/>
      </c>
      <c r="M116" s="37" t="str">
        <f t="shared" si="13"/>
        <v/>
      </c>
      <c r="N116" s="37" t="str">
        <f t="shared" si="13"/>
        <v/>
      </c>
      <c r="O116" s="37" t="str">
        <f t="shared" si="13"/>
        <v/>
      </c>
      <c r="P116" s="37" t="str">
        <f t="shared" si="13"/>
        <v/>
      </c>
      <c r="Q116" s="37" t="str">
        <f t="shared" si="13"/>
        <v/>
      </c>
      <c r="R116" s="37" t="str">
        <f t="shared" si="13"/>
        <v/>
      </c>
      <c r="S116" s="37" t="str">
        <f t="shared" si="13"/>
        <v/>
      </c>
      <c r="T116" s="37" t="str">
        <f t="shared" si="13"/>
        <v/>
      </c>
      <c r="U116" s="37" t="str">
        <f t="shared" si="13"/>
        <v/>
      </c>
      <c r="V116" s="37" t="str">
        <f t="shared" si="13"/>
        <v/>
      </c>
      <c r="W116" s="37" t="str">
        <f t="shared" si="13"/>
        <v/>
      </c>
      <c r="X116" s="37" t="str">
        <f t="shared" si="13"/>
        <v/>
      </c>
      <c r="Y116" s="37" t="str">
        <f t="shared" si="13"/>
        <v/>
      </c>
      <c r="Z116" s="37" t="str">
        <f t="shared" si="13"/>
        <v/>
      </c>
      <c r="AA116" s="37" t="str">
        <f t="shared" si="13"/>
        <v/>
      </c>
      <c r="AB116" s="37" t="str">
        <f t="shared" si="13"/>
        <v/>
      </c>
      <c r="AC116" s="37" t="str">
        <f t="shared" si="13"/>
        <v/>
      </c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</row>
    <row r="117" spans="1:51" x14ac:dyDescent="0.3">
      <c r="A117" s="37"/>
      <c r="B117" s="58" t="s">
        <v>571</v>
      </c>
      <c r="C117" s="55"/>
      <c r="D117" s="55"/>
      <c r="E117" s="55"/>
      <c r="F117" s="55"/>
      <c r="G117" s="55"/>
      <c r="H117" s="55"/>
      <c r="I117" s="55"/>
      <c r="J117" s="37" t="str">
        <f t="shared" ref="J117:AC117" si="14">IF(J129=1,SUMIFS($F$84:$F$108,$B$84:$B$108,9,$C$84:$C$108,J9),"")</f>
        <v/>
      </c>
      <c r="K117" s="37" t="str">
        <f t="shared" si="14"/>
        <v/>
      </c>
      <c r="L117" s="37" t="str">
        <f t="shared" si="14"/>
        <v/>
      </c>
      <c r="M117" s="37" t="str">
        <f t="shared" si="14"/>
        <v/>
      </c>
      <c r="N117" s="37" t="str">
        <f t="shared" si="14"/>
        <v/>
      </c>
      <c r="O117" s="37" t="str">
        <f t="shared" si="14"/>
        <v/>
      </c>
      <c r="P117" s="37" t="str">
        <f t="shared" si="14"/>
        <v/>
      </c>
      <c r="Q117" s="37" t="str">
        <f t="shared" si="14"/>
        <v/>
      </c>
      <c r="R117" s="37" t="str">
        <f t="shared" si="14"/>
        <v/>
      </c>
      <c r="S117" s="37" t="str">
        <f t="shared" si="14"/>
        <v/>
      </c>
      <c r="T117" s="37" t="str">
        <f t="shared" si="14"/>
        <v/>
      </c>
      <c r="U117" s="37" t="str">
        <f t="shared" si="14"/>
        <v/>
      </c>
      <c r="V117" s="37" t="str">
        <f t="shared" si="14"/>
        <v/>
      </c>
      <c r="W117" s="37" t="str">
        <f t="shared" si="14"/>
        <v/>
      </c>
      <c r="X117" s="37" t="str">
        <f t="shared" si="14"/>
        <v/>
      </c>
      <c r="Y117" s="37" t="str">
        <f t="shared" si="14"/>
        <v/>
      </c>
      <c r="Z117" s="37" t="str">
        <f t="shared" si="14"/>
        <v/>
      </c>
      <c r="AA117" s="37" t="str">
        <f t="shared" si="14"/>
        <v/>
      </c>
      <c r="AB117" s="37" t="str">
        <f t="shared" si="14"/>
        <v/>
      </c>
      <c r="AC117" s="37" t="str">
        <f t="shared" si="14"/>
        <v/>
      </c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</row>
    <row r="118" spans="1:51" x14ac:dyDescent="0.3">
      <c r="A118" s="37"/>
      <c r="B118" s="58" t="s">
        <v>572</v>
      </c>
      <c r="C118" s="55"/>
      <c r="D118" s="55"/>
      <c r="E118" s="55"/>
      <c r="F118" s="55"/>
      <c r="G118" s="55"/>
      <c r="H118" s="55"/>
      <c r="I118" s="55"/>
      <c r="J118" s="37" t="str">
        <f t="shared" ref="J118:AC118" si="15">IF(J130=1,SUMIFS($D$84:$D$108,$B$84:$B$108,22,$C$84:$C$108,J22),"")</f>
        <v/>
      </c>
      <c r="K118" s="37" t="str">
        <f t="shared" si="15"/>
        <v/>
      </c>
      <c r="L118" s="37" t="str">
        <f t="shared" si="15"/>
        <v/>
      </c>
      <c r="M118" s="37" t="str">
        <f t="shared" si="15"/>
        <v/>
      </c>
      <c r="N118" s="37" t="str">
        <f t="shared" si="15"/>
        <v/>
      </c>
      <c r="O118" s="37" t="str">
        <f t="shared" si="15"/>
        <v/>
      </c>
      <c r="P118" s="37" t="str">
        <f t="shared" si="15"/>
        <v/>
      </c>
      <c r="Q118" s="37" t="str">
        <f t="shared" si="15"/>
        <v/>
      </c>
      <c r="R118" s="37" t="str">
        <f t="shared" si="15"/>
        <v/>
      </c>
      <c r="S118" s="37" t="str">
        <f t="shared" si="15"/>
        <v/>
      </c>
      <c r="T118" s="37" t="str">
        <f t="shared" si="15"/>
        <v/>
      </c>
      <c r="U118" s="37" t="str">
        <f t="shared" si="15"/>
        <v/>
      </c>
      <c r="V118" s="37" t="str">
        <f t="shared" si="15"/>
        <v/>
      </c>
      <c r="W118" s="37" t="str">
        <f t="shared" si="15"/>
        <v/>
      </c>
      <c r="X118" s="37" t="str">
        <f t="shared" si="15"/>
        <v/>
      </c>
      <c r="Y118" s="37" t="str">
        <f t="shared" si="15"/>
        <v/>
      </c>
      <c r="Z118" s="37" t="str">
        <f t="shared" si="15"/>
        <v/>
      </c>
      <c r="AA118" s="37" t="str">
        <f t="shared" si="15"/>
        <v/>
      </c>
      <c r="AB118" s="37" t="str">
        <f t="shared" si="15"/>
        <v/>
      </c>
      <c r="AC118" s="37" t="str">
        <f t="shared" si="15"/>
        <v/>
      </c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</row>
    <row r="119" spans="1:51" x14ac:dyDescent="0.3">
      <c r="A119" s="37"/>
      <c r="B119" s="58" t="s">
        <v>573</v>
      </c>
      <c r="C119" s="55"/>
      <c r="D119" s="55"/>
      <c r="E119" s="55"/>
      <c r="F119" s="55"/>
      <c r="G119" s="55"/>
      <c r="H119" s="55"/>
      <c r="I119" s="55"/>
      <c r="J119" s="37" t="str">
        <f t="shared" ref="J119:AC119" si="16">IF(J130=1,SUMIFS($E$84:$E$108,$B$84:$B$108,22,$C$84:$C$108,J22),"")</f>
        <v/>
      </c>
      <c r="K119" s="37" t="str">
        <f t="shared" si="16"/>
        <v/>
      </c>
      <c r="L119" s="37" t="str">
        <f t="shared" si="16"/>
        <v/>
      </c>
      <c r="M119" s="37" t="str">
        <f t="shared" si="16"/>
        <v/>
      </c>
      <c r="N119" s="37" t="str">
        <f t="shared" si="16"/>
        <v/>
      </c>
      <c r="O119" s="37" t="str">
        <f t="shared" si="16"/>
        <v/>
      </c>
      <c r="P119" s="37" t="str">
        <f t="shared" si="16"/>
        <v/>
      </c>
      <c r="Q119" s="37" t="str">
        <f t="shared" si="16"/>
        <v/>
      </c>
      <c r="R119" s="37" t="str">
        <f t="shared" si="16"/>
        <v/>
      </c>
      <c r="S119" s="37" t="str">
        <f t="shared" si="16"/>
        <v/>
      </c>
      <c r="T119" s="37" t="str">
        <f t="shared" si="16"/>
        <v/>
      </c>
      <c r="U119" s="37" t="str">
        <f t="shared" si="16"/>
        <v/>
      </c>
      <c r="V119" s="37" t="str">
        <f t="shared" si="16"/>
        <v/>
      </c>
      <c r="W119" s="37" t="str">
        <f t="shared" si="16"/>
        <v/>
      </c>
      <c r="X119" s="37" t="str">
        <f t="shared" si="16"/>
        <v/>
      </c>
      <c r="Y119" s="37" t="str">
        <f t="shared" si="16"/>
        <v/>
      </c>
      <c r="Z119" s="37" t="str">
        <f t="shared" si="16"/>
        <v/>
      </c>
      <c r="AA119" s="37" t="str">
        <f t="shared" si="16"/>
        <v/>
      </c>
      <c r="AB119" s="37" t="str">
        <f t="shared" si="16"/>
        <v/>
      </c>
      <c r="AC119" s="37" t="str">
        <f t="shared" si="16"/>
        <v/>
      </c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</row>
    <row r="120" spans="1:51" x14ac:dyDescent="0.3">
      <c r="A120" s="37"/>
      <c r="B120" s="58" t="s">
        <v>574</v>
      </c>
      <c r="C120" s="55"/>
      <c r="D120" s="55"/>
      <c r="E120" s="55"/>
      <c r="F120" s="55"/>
      <c r="G120" s="55"/>
      <c r="H120" s="55"/>
      <c r="I120" s="55"/>
      <c r="J120" s="37" t="str">
        <f t="shared" ref="J120:AC120" si="17">IF(J130=1,SUMIFS($F$84:$F$108,$B$84:$B$108,22,$C$84:$C$108,J22),"")</f>
        <v/>
      </c>
      <c r="K120" s="37" t="str">
        <f t="shared" si="17"/>
        <v/>
      </c>
      <c r="L120" s="37" t="str">
        <f t="shared" si="17"/>
        <v/>
      </c>
      <c r="M120" s="37" t="str">
        <f t="shared" si="17"/>
        <v/>
      </c>
      <c r="N120" s="37" t="str">
        <f t="shared" si="17"/>
        <v/>
      </c>
      <c r="O120" s="37" t="str">
        <f t="shared" si="17"/>
        <v/>
      </c>
      <c r="P120" s="37" t="str">
        <f t="shared" si="17"/>
        <v/>
      </c>
      <c r="Q120" s="37" t="str">
        <f t="shared" si="17"/>
        <v/>
      </c>
      <c r="R120" s="37" t="str">
        <f t="shared" si="17"/>
        <v/>
      </c>
      <c r="S120" s="37" t="str">
        <f t="shared" si="17"/>
        <v/>
      </c>
      <c r="T120" s="37" t="str">
        <f t="shared" si="17"/>
        <v/>
      </c>
      <c r="U120" s="37" t="str">
        <f t="shared" si="17"/>
        <v/>
      </c>
      <c r="V120" s="37" t="str">
        <f t="shared" si="17"/>
        <v/>
      </c>
      <c r="W120" s="37" t="str">
        <f t="shared" si="17"/>
        <v/>
      </c>
      <c r="X120" s="37" t="str">
        <f t="shared" si="17"/>
        <v/>
      </c>
      <c r="Y120" s="37" t="str">
        <f t="shared" si="17"/>
        <v/>
      </c>
      <c r="Z120" s="37" t="str">
        <f t="shared" si="17"/>
        <v/>
      </c>
      <c r="AA120" s="37" t="str">
        <f t="shared" si="17"/>
        <v/>
      </c>
      <c r="AB120" s="37" t="str">
        <f t="shared" si="17"/>
        <v/>
      </c>
      <c r="AC120" s="37" t="str">
        <f t="shared" si="17"/>
        <v/>
      </c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</row>
    <row r="121" spans="1:51" x14ac:dyDescent="0.3">
      <c r="A121" s="37"/>
      <c r="B121" s="58" t="s">
        <v>575</v>
      </c>
      <c r="C121" s="55"/>
      <c r="D121" s="55"/>
      <c r="E121" s="55"/>
      <c r="F121" s="55"/>
      <c r="G121" s="55"/>
      <c r="H121" s="55"/>
      <c r="I121" s="55"/>
      <c r="J121" s="37" t="str">
        <f t="shared" ref="J121:AC121" si="18">IF(J131=1,SUMIFS($D$84:$D$108,$B$84:$B$108,23,$C$84:$C$108,J23),"")</f>
        <v/>
      </c>
      <c r="K121" s="37" t="str">
        <f t="shared" si="18"/>
        <v/>
      </c>
      <c r="L121" s="37" t="str">
        <f t="shared" si="18"/>
        <v/>
      </c>
      <c r="M121" s="37" t="str">
        <f t="shared" si="18"/>
        <v/>
      </c>
      <c r="N121" s="37" t="str">
        <f t="shared" si="18"/>
        <v/>
      </c>
      <c r="O121" s="37" t="str">
        <f t="shared" si="18"/>
        <v/>
      </c>
      <c r="P121" s="37" t="str">
        <f t="shared" si="18"/>
        <v/>
      </c>
      <c r="Q121" s="37" t="str">
        <f t="shared" si="18"/>
        <v/>
      </c>
      <c r="R121" s="37" t="str">
        <f t="shared" si="18"/>
        <v/>
      </c>
      <c r="S121" s="37" t="str">
        <f t="shared" si="18"/>
        <v/>
      </c>
      <c r="T121" s="37" t="str">
        <f t="shared" si="18"/>
        <v/>
      </c>
      <c r="U121" s="37" t="str">
        <f t="shared" si="18"/>
        <v/>
      </c>
      <c r="V121" s="37" t="str">
        <f t="shared" si="18"/>
        <v/>
      </c>
      <c r="W121" s="37" t="str">
        <f t="shared" si="18"/>
        <v/>
      </c>
      <c r="X121" s="37" t="str">
        <f t="shared" si="18"/>
        <v/>
      </c>
      <c r="Y121" s="37" t="str">
        <f t="shared" si="18"/>
        <v/>
      </c>
      <c r="Z121" s="37" t="str">
        <f t="shared" si="18"/>
        <v/>
      </c>
      <c r="AA121" s="37" t="str">
        <f t="shared" si="18"/>
        <v/>
      </c>
      <c r="AB121" s="37" t="str">
        <f t="shared" si="18"/>
        <v/>
      </c>
      <c r="AC121" s="37" t="str">
        <f t="shared" si="18"/>
        <v/>
      </c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</row>
    <row r="122" spans="1:51" x14ac:dyDescent="0.3">
      <c r="A122" s="37"/>
      <c r="B122" s="58" t="s">
        <v>576</v>
      </c>
      <c r="C122" s="55"/>
      <c r="D122" s="55"/>
      <c r="E122" s="55"/>
      <c r="F122" s="55"/>
      <c r="G122" s="55"/>
      <c r="H122" s="55"/>
      <c r="I122" s="55"/>
      <c r="J122" s="37" t="str">
        <f t="shared" ref="J122:AC122" si="19">IF(J131=1,SUMIFS($E$84:$E$108,$B$84:$B$108,23,$C$84:$C$108,J23),"")</f>
        <v/>
      </c>
      <c r="K122" s="37" t="str">
        <f t="shared" si="19"/>
        <v/>
      </c>
      <c r="L122" s="37" t="str">
        <f t="shared" si="19"/>
        <v/>
      </c>
      <c r="M122" s="37" t="str">
        <f t="shared" si="19"/>
        <v/>
      </c>
      <c r="N122" s="37" t="str">
        <f t="shared" si="19"/>
        <v/>
      </c>
      <c r="O122" s="37" t="str">
        <f t="shared" si="19"/>
        <v/>
      </c>
      <c r="P122" s="37" t="str">
        <f t="shared" si="19"/>
        <v/>
      </c>
      <c r="Q122" s="37" t="str">
        <f t="shared" si="19"/>
        <v/>
      </c>
      <c r="R122" s="37" t="str">
        <f t="shared" si="19"/>
        <v/>
      </c>
      <c r="S122" s="37" t="str">
        <f t="shared" si="19"/>
        <v/>
      </c>
      <c r="T122" s="37" t="str">
        <f t="shared" si="19"/>
        <v/>
      </c>
      <c r="U122" s="37" t="str">
        <f t="shared" si="19"/>
        <v/>
      </c>
      <c r="V122" s="37" t="str">
        <f t="shared" si="19"/>
        <v/>
      </c>
      <c r="W122" s="37" t="str">
        <f t="shared" si="19"/>
        <v/>
      </c>
      <c r="X122" s="37" t="str">
        <f t="shared" si="19"/>
        <v/>
      </c>
      <c r="Y122" s="37" t="str">
        <f t="shared" si="19"/>
        <v/>
      </c>
      <c r="Z122" s="37" t="str">
        <f t="shared" si="19"/>
        <v/>
      </c>
      <c r="AA122" s="37" t="str">
        <f t="shared" si="19"/>
        <v/>
      </c>
      <c r="AB122" s="37" t="str">
        <f t="shared" si="19"/>
        <v/>
      </c>
      <c r="AC122" s="37" t="str">
        <f t="shared" si="19"/>
        <v/>
      </c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</row>
    <row r="123" spans="1:51" x14ac:dyDescent="0.3">
      <c r="A123" s="37"/>
      <c r="B123" s="58" t="s">
        <v>577</v>
      </c>
      <c r="C123" s="55"/>
      <c r="D123" s="55"/>
      <c r="E123" s="55"/>
      <c r="F123" s="55"/>
      <c r="G123" s="55"/>
      <c r="H123" s="55"/>
      <c r="I123" s="55"/>
      <c r="J123" s="37" t="str">
        <f t="shared" ref="J123:AC123" si="20">IF(J131=1,SUMIFS($F$84:$F$108,$B$84:$B$108,23,$C$84:$C$108,J23),"")</f>
        <v/>
      </c>
      <c r="K123" s="37" t="str">
        <f t="shared" si="20"/>
        <v/>
      </c>
      <c r="L123" s="37" t="str">
        <f t="shared" si="20"/>
        <v/>
      </c>
      <c r="M123" s="37" t="str">
        <f t="shared" si="20"/>
        <v/>
      </c>
      <c r="N123" s="37" t="str">
        <f t="shared" si="20"/>
        <v/>
      </c>
      <c r="O123" s="37" t="str">
        <f t="shared" si="20"/>
        <v/>
      </c>
      <c r="P123" s="37" t="str">
        <f t="shared" si="20"/>
        <v/>
      </c>
      <c r="Q123" s="37" t="str">
        <f t="shared" si="20"/>
        <v/>
      </c>
      <c r="R123" s="37" t="str">
        <f t="shared" si="20"/>
        <v/>
      </c>
      <c r="S123" s="37" t="str">
        <f t="shared" si="20"/>
        <v/>
      </c>
      <c r="T123" s="37" t="str">
        <f t="shared" si="20"/>
        <v/>
      </c>
      <c r="U123" s="37" t="str">
        <f t="shared" si="20"/>
        <v/>
      </c>
      <c r="V123" s="37" t="str">
        <f t="shared" si="20"/>
        <v/>
      </c>
      <c r="W123" s="37" t="str">
        <f t="shared" si="20"/>
        <v/>
      </c>
      <c r="X123" s="37" t="str">
        <f t="shared" si="20"/>
        <v/>
      </c>
      <c r="Y123" s="37" t="str">
        <f t="shared" si="20"/>
        <v/>
      </c>
      <c r="Z123" s="37" t="str">
        <f t="shared" si="20"/>
        <v/>
      </c>
      <c r="AA123" s="37" t="str">
        <f t="shared" si="20"/>
        <v/>
      </c>
      <c r="AB123" s="37" t="str">
        <f t="shared" si="20"/>
        <v/>
      </c>
      <c r="AC123" s="37" t="str">
        <f t="shared" si="20"/>
        <v/>
      </c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</row>
    <row r="124" spans="1:51" x14ac:dyDescent="0.3">
      <c r="A124" s="37"/>
      <c r="B124" s="58" t="s">
        <v>578</v>
      </c>
      <c r="C124" s="55"/>
      <c r="D124" s="55"/>
      <c r="E124" s="55"/>
      <c r="F124" s="55"/>
      <c r="G124" s="55"/>
      <c r="H124" s="55"/>
      <c r="I124" s="55"/>
      <c r="J124" s="37" t="str">
        <f t="shared" ref="J124:AC124" si="21">IF(J132=1,SUMIFS($D$84:$D$108,$B$84:$B$108,24,$C$84:$C$108,J24),"")</f>
        <v/>
      </c>
      <c r="K124" s="37" t="str">
        <f t="shared" si="21"/>
        <v/>
      </c>
      <c r="L124" s="37" t="str">
        <f t="shared" si="21"/>
        <v/>
      </c>
      <c r="M124" s="37" t="str">
        <f t="shared" si="21"/>
        <v/>
      </c>
      <c r="N124" s="37" t="str">
        <f t="shared" si="21"/>
        <v/>
      </c>
      <c r="O124" s="37" t="str">
        <f t="shared" si="21"/>
        <v/>
      </c>
      <c r="P124" s="37" t="str">
        <f t="shared" si="21"/>
        <v/>
      </c>
      <c r="Q124" s="37" t="str">
        <f t="shared" si="21"/>
        <v/>
      </c>
      <c r="R124" s="37" t="str">
        <f t="shared" si="21"/>
        <v/>
      </c>
      <c r="S124" s="37" t="str">
        <f t="shared" si="21"/>
        <v/>
      </c>
      <c r="T124" s="37" t="str">
        <f t="shared" si="21"/>
        <v/>
      </c>
      <c r="U124" s="37" t="str">
        <f t="shared" si="21"/>
        <v/>
      </c>
      <c r="V124" s="37" t="str">
        <f t="shared" si="21"/>
        <v/>
      </c>
      <c r="W124" s="37" t="str">
        <f t="shared" si="21"/>
        <v/>
      </c>
      <c r="X124" s="37" t="str">
        <f t="shared" si="21"/>
        <v/>
      </c>
      <c r="Y124" s="37" t="str">
        <f t="shared" si="21"/>
        <v/>
      </c>
      <c r="Z124" s="37" t="str">
        <f t="shared" si="21"/>
        <v/>
      </c>
      <c r="AA124" s="37" t="str">
        <f t="shared" si="21"/>
        <v/>
      </c>
      <c r="AB124" s="37" t="str">
        <f t="shared" si="21"/>
        <v/>
      </c>
      <c r="AC124" s="37" t="str">
        <f t="shared" si="21"/>
        <v/>
      </c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</row>
    <row r="125" spans="1:51" x14ac:dyDescent="0.3">
      <c r="A125" s="37"/>
      <c r="B125" s="58" t="s">
        <v>579</v>
      </c>
      <c r="C125" s="55"/>
      <c r="D125" s="55"/>
      <c r="E125" s="55"/>
      <c r="F125" s="55"/>
      <c r="G125" s="55"/>
      <c r="H125" s="55"/>
      <c r="I125" s="55"/>
      <c r="J125" s="37" t="str">
        <f t="shared" ref="J125:AC125" si="22">IF(J132=1,SUMIFS($E$84:$E$108,$B$84:$B$108,24,$C$84:$C$108,J24),"")</f>
        <v/>
      </c>
      <c r="K125" s="37" t="str">
        <f t="shared" si="22"/>
        <v/>
      </c>
      <c r="L125" s="37" t="str">
        <f t="shared" si="22"/>
        <v/>
      </c>
      <c r="M125" s="37" t="str">
        <f t="shared" si="22"/>
        <v/>
      </c>
      <c r="N125" s="37" t="str">
        <f t="shared" si="22"/>
        <v/>
      </c>
      <c r="O125" s="37" t="str">
        <f t="shared" si="22"/>
        <v/>
      </c>
      <c r="P125" s="37" t="str">
        <f t="shared" si="22"/>
        <v/>
      </c>
      <c r="Q125" s="37" t="str">
        <f t="shared" si="22"/>
        <v/>
      </c>
      <c r="R125" s="37" t="str">
        <f t="shared" si="22"/>
        <v/>
      </c>
      <c r="S125" s="37" t="str">
        <f t="shared" si="22"/>
        <v/>
      </c>
      <c r="T125" s="37" t="str">
        <f t="shared" si="22"/>
        <v/>
      </c>
      <c r="U125" s="37" t="str">
        <f t="shared" si="22"/>
        <v/>
      </c>
      <c r="V125" s="37" t="str">
        <f t="shared" si="22"/>
        <v/>
      </c>
      <c r="W125" s="37" t="str">
        <f t="shared" si="22"/>
        <v/>
      </c>
      <c r="X125" s="37" t="str">
        <f t="shared" si="22"/>
        <v/>
      </c>
      <c r="Y125" s="37" t="str">
        <f t="shared" si="22"/>
        <v/>
      </c>
      <c r="Z125" s="37" t="str">
        <f t="shared" si="22"/>
        <v/>
      </c>
      <c r="AA125" s="37" t="str">
        <f t="shared" si="22"/>
        <v/>
      </c>
      <c r="AB125" s="37" t="str">
        <f t="shared" si="22"/>
        <v/>
      </c>
      <c r="AC125" s="37" t="str">
        <f t="shared" si="22"/>
        <v/>
      </c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</row>
    <row r="126" spans="1:51" x14ac:dyDescent="0.3">
      <c r="A126" s="37"/>
      <c r="B126" s="58" t="s">
        <v>580</v>
      </c>
      <c r="C126" s="55"/>
      <c r="D126" s="55"/>
      <c r="E126" s="55"/>
      <c r="F126" s="55"/>
      <c r="G126" s="55"/>
      <c r="H126" s="55"/>
      <c r="I126" s="55"/>
      <c r="J126" s="37" t="str">
        <f t="shared" ref="J126:AC126" si="23">IF(J132=1,SUMIFS($F$84:$F$108,$B$84:$B$108,24,$C$84:$C$108,J24),"")</f>
        <v/>
      </c>
      <c r="K126" s="37" t="str">
        <f t="shared" si="23"/>
        <v/>
      </c>
      <c r="L126" s="37" t="str">
        <f t="shared" si="23"/>
        <v/>
      </c>
      <c r="M126" s="37" t="str">
        <f t="shared" si="23"/>
        <v/>
      </c>
      <c r="N126" s="37" t="str">
        <f t="shared" si="23"/>
        <v/>
      </c>
      <c r="O126" s="37" t="str">
        <f t="shared" si="23"/>
        <v/>
      </c>
      <c r="P126" s="37" t="str">
        <f t="shared" si="23"/>
        <v/>
      </c>
      <c r="Q126" s="37" t="str">
        <f t="shared" si="23"/>
        <v/>
      </c>
      <c r="R126" s="37" t="str">
        <f t="shared" si="23"/>
        <v/>
      </c>
      <c r="S126" s="37" t="str">
        <f t="shared" si="23"/>
        <v/>
      </c>
      <c r="T126" s="37" t="str">
        <f t="shared" si="23"/>
        <v/>
      </c>
      <c r="U126" s="37" t="str">
        <f t="shared" si="23"/>
        <v/>
      </c>
      <c r="V126" s="37" t="str">
        <f t="shared" si="23"/>
        <v/>
      </c>
      <c r="W126" s="37" t="str">
        <f t="shared" si="23"/>
        <v/>
      </c>
      <c r="X126" s="37" t="str">
        <f t="shared" si="23"/>
        <v/>
      </c>
      <c r="Y126" s="37" t="str">
        <f t="shared" si="23"/>
        <v/>
      </c>
      <c r="Z126" s="37" t="str">
        <f t="shared" si="23"/>
        <v/>
      </c>
      <c r="AA126" s="37" t="str">
        <f t="shared" si="23"/>
        <v/>
      </c>
      <c r="AB126" s="37" t="str">
        <f t="shared" si="23"/>
        <v/>
      </c>
      <c r="AC126" s="37" t="str">
        <f t="shared" si="23"/>
        <v/>
      </c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</row>
    <row r="127" spans="1:51" x14ac:dyDescent="0.3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</row>
    <row r="128" spans="1:51" x14ac:dyDescent="0.3">
      <c r="A128" s="37"/>
      <c r="B128" s="58" t="s">
        <v>581</v>
      </c>
      <c r="C128" s="55"/>
      <c r="D128" s="55"/>
      <c r="E128" s="55"/>
      <c r="F128" s="55"/>
      <c r="G128" s="55"/>
      <c r="H128" s="55"/>
      <c r="I128" s="55"/>
      <c r="J128" s="37">
        <f t="shared" ref="J128:AC128" si="24">IF(COUNT(J6)=0,0,IF(AND(COUNT(J6)=1,J6&gt;=-2,J6&lt;=2,MOD(J6,1)=0,TRUE),SUMIFS($I$84:$I$108,$B$84:$B$108,6,$C$84:$C$108,J6),0))</f>
        <v>0</v>
      </c>
      <c r="K128" s="37">
        <f t="shared" si="24"/>
        <v>0</v>
      </c>
      <c r="L128" s="37">
        <f t="shared" si="24"/>
        <v>0</v>
      </c>
      <c r="M128" s="37">
        <f t="shared" si="24"/>
        <v>0</v>
      </c>
      <c r="N128" s="37">
        <f t="shared" si="24"/>
        <v>0</v>
      </c>
      <c r="O128" s="37">
        <f t="shared" si="24"/>
        <v>0</v>
      </c>
      <c r="P128" s="37">
        <f t="shared" si="24"/>
        <v>0</v>
      </c>
      <c r="Q128" s="37">
        <f t="shared" si="24"/>
        <v>0</v>
      </c>
      <c r="R128" s="37">
        <f t="shared" si="24"/>
        <v>0</v>
      </c>
      <c r="S128" s="37">
        <f t="shared" si="24"/>
        <v>0</v>
      </c>
      <c r="T128" s="37">
        <f t="shared" si="24"/>
        <v>0</v>
      </c>
      <c r="U128" s="37">
        <f t="shared" si="24"/>
        <v>0</v>
      </c>
      <c r="V128" s="37">
        <f t="shared" si="24"/>
        <v>0</v>
      </c>
      <c r="W128" s="37">
        <f t="shared" si="24"/>
        <v>0</v>
      </c>
      <c r="X128" s="37">
        <f t="shared" si="24"/>
        <v>0</v>
      </c>
      <c r="Y128" s="37">
        <f t="shared" si="24"/>
        <v>0</v>
      </c>
      <c r="Z128" s="37">
        <f t="shared" si="24"/>
        <v>0</v>
      </c>
      <c r="AA128" s="37">
        <f t="shared" si="24"/>
        <v>0</v>
      </c>
      <c r="AB128" s="37">
        <f t="shared" si="24"/>
        <v>0</v>
      </c>
      <c r="AC128" s="37">
        <f t="shared" si="24"/>
        <v>0</v>
      </c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</row>
    <row r="129" spans="1:51" x14ac:dyDescent="0.3">
      <c r="A129" s="37"/>
      <c r="B129" s="58" t="s">
        <v>582</v>
      </c>
      <c r="C129" s="55"/>
      <c r="D129" s="55"/>
      <c r="E129" s="55"/>
      <c r="F129" s="55"/>
      <c r="G129" s="55"/>
      <c r="H129" s="55"/>
      <c r="I129" s="55"/>
      <c r="J129" s="37">
        <f t="shared" ref="J129:AC129" si="25">IF(COUNT(J9)=0,0,IF(AND(COUNT(J9)=1,J9&gt;=-2,J9&lt;=2,MOD(J9,1)=0,TRUE),SUMIFS($I$84:$I$108,$B$84:$B$108,9,$C$84:$C$108,J9),0))</f>
        <v>0</v>
      </c>
      <c r="K129" s="37">
        <f t="shared" si="25"/>
        <v>0</v>
      </c>
      <c r="L129" s="37">
        <f t="shared" si="25"/>
        <v>0</v>
      </c>
      <c r="M129" s="37">
        <f t="shared" si="25"/>
        <v>0</v>
      </c>
      <c r="N129" s="37">
        <f t="shared" si="25"/>
        <v>0</v>
      </c>
      <c r="O129" s="37">
        <f t="shared" si="25"/>
        <v>0</v>
      </c>
      <c r="P129" s="37">
        <f t="shared" si="25"/>
        <v>0</v>
      </c>
      <c r="Q129" s="37">
        <f t="shared" si="25"/>
        <v>0</v>
      </c>
      <c r="R129" s="37">
        <f t="shared" si="25"/>
        <v>0</v>
      </c>
      <c r="S129" s="37">
        <f t="shared" si="25"/>
        <v>0</v>
      </c>
      <c r="T129" s="37">
        <f t="shared" si="25"/>
        <v>0</v>
      </c>
      <c r="U129" s="37">
        <f t="shared" si="25"/>
        <v>0</v>
      </c>
      <c r="V129" s="37">
        <f t="shared" si="25"/>
        <v>0</v>
      </c>
      <c r="W129" s="37">
        <f t="shared" si="25"/>
        <v>0</v>
      </c>
      <c r="X129" s="37">
        <f t="shared" si="25"/>
        <v>0</v>
      </c>
      <c r="Y129" s="37">
        <f t="shared" si="25"/>
        <v>0</v>
      </c>
      <c r="Z129" s="37">
        <f t="shared" si="25"/>
        <v>0</v>
      </c>
      <c r="AA129" s="37">
        <f t="shared" si="25"/>
        <v>0</v>
      </c>
      <c r="AB129" s="37">
        <f t="shared" si="25"/>
        <v>0</v>
      </c>
      <c r="AC129" s="37">
        <f t="shared" si="25"/>
        <v>0</v>
      </c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</row>
    <row r="130" spans="1:51" x14ac:dyDescent="0.3">
      <c r="A130" s="37"/>
      <c r="B130" s="58" t="s">
        <v>583</v>
      </c>
      <c r="C130" s="55"/>
      <c r="D130" s="55"/>
      <c r="E130" s="55"/>
      <c r="F130" s="55"/>
      <c r="G130" s="55"/>
      <c r="H130" s="55"/>
      <c r="I130" s="55"/>
      <c r="J130" s="37">
        <f t="shared" ref="J130:AC130" si="26">IF(COUNT(J22)=0,0,IF(AND(COUNT(J22)=1,J22&gt;=-2,J22&lt;=2,MOD(J22,1)=0,AND(COUNT(J38)=1,OR(J38=2,J38=3))),SUMIFS($I$84:$I$108,$B$84:$B$108,22,$C$84:$C$108,J22),0))</f>
        <v>0</v>
      </c>
      <c r="K130" s="37">
        <f t="shared" si="26"/>
        <v>0</v>
      </c>
      <c r="L130" s="37">
        <f t="shared" si="26"/>
        <v>0</v>
      </c>
      <c r="M130" s="37">
        <f t="shared" si="26"/>
        <v>0</v>
      </c>
      <c r="N130" s="37">
        <f t="shared" si="26"/>
        <v>0</v>
      </c>
      <c r="O130" s="37">
        <f t="shared" si="26"/>
        <v>0</v>
      </c>
      <c r="P130" s="37">
        <f t="shared" si="26"/>
        <v>0</v>
      </c>
      <c r="Q130" s="37">
        <f t="shared" si="26"/>
        <v>0</v>
      </c>
      <c r="R130" s="37">
        <f t="shared" si="26"/>
        <v>0</v>
      </c>
      <c r="S130" s="37">
        <f t="shared" si="26"/>
        <v>0</v>
      </c>
      <c r="T130" s="37">
        <f t="shared" si="26"/>
        <v>0</v>
      </c>
      <c r="U130" s="37">
        <f t="shared" si="26"/>
        <v>0</v>
      </c>
      <c r="V130" s="37">
        <f t="shared" si="26"/>
        <v>0</v>
      </c>
      <c r="W130" s="37">
        <f t="shared" si="26"/>
        <v>0</v>
      </c>
      <c r="X130" s="37">
        <f t="shared" si="26"/>
        <v>0</v>
      </c>
      <c r="Y130" s="37">
        <f t="shared" si="26"/>
        <v>0</v>
      </c>
      <c r="Z130" s="37">
        <f t="shared" si="26"/>
        <v>0</v>
      </c>
      <c r="AA130" s="37">
        <f t="shared" si="26"/>
        <v>0</v>
      </c>
      <c r="AB130" s="37">
        <f t="shared" si="26"/>
        <v>0</v>
      </c>
      <c r="AC130" s="37">
        <f t="shared" si="26"/>
        <v>0</v>
      </c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</row>
    <row r="131" spans="1:51" x14ac:dyDescent="0.3">
      <c r="A131" s="37"/>
      <c r="B131" s="58" t="s">
        <v>584</v>
      </c>
      <c r="C131" s="55"/>
      <c r="D131" s="55"/>
      <c r="E131" s="55"/>
      <c r="F131" s="55"/>
      <c r="G131" s="55"/>
      <c r="H131" s="55"/>
      <c r="I131" s="55"/>
      <c r="J131" s="37">
        <f t="shared" ref="J131:AC131" si="27">IF(COUNT(J23)=0,0,IF(AND(COUNT(J23)=1,J23&gt;=-2,J23&lt;=2,MOD(J23,1)=0,TRUE),SUMIFS($I$84:$I$108,$B$84:$B$108,23,$C$84:$C$108,J23),0))</f>
        <v>0</v>
      </c>
      <c r="K131" s="37">
        <f t="shared" si="27"/>
        <v>0</v>
      </c>
      <c r="L131" s="37">
        <f t="shared" si="27"/>
        <v>0</v>
      </c>
      <c r="M131" s="37">
        <f t="shared" si="27"/>
        <v>0</v>
      </c>
      <c r="N131" s="37">
        <f t="shared" si="27"/>
        <v>0</v>
      </c>
      <c r="O131" s="37">
        <f t="shared" si="27"/>
        <v>0</v>
      </c>
      <c r="P131" s="37">
        <f t="shared" si="27"/>
        <v>0</v>
      </c>
      <c r="Q131" s="37">
        <f t="shared" si="27"/>
        <v>0</v>
      </c>
      <c r="R131" s="37">
        <f t="shared" si="27"/>
        <v>0</v>
      </c>
      <c r="S131" s="37">
        <f t="shared" si="27"/>
        <v>0</v>
      </c>
      <c r="T131" s="37">
        <f t="shared" si="27"/>
        <v>0</v>
      </c>
      <c r="U131" s="37">
        <f t="shared" si="27"/>
        <v>0</v>
      </c>
      <c r="V131" s="37">
        <f t="shared" si="27"/>
        <v>0</v>
      </c>
      <c r="W131" s="37">
        <f t="shared" si="27"/>
        <v>0</v>
      </c>
      <c r="X131" s="37">
        <f t="shared" si="27"/>
        <v>0</v>
      </c>
      <c r="Y131" s="37">
        <f t="shared" si="27"/>
        <v>0</v>
      </c>
      <c r="Z131" s="37">
        <f t="shared" si="27"/>
        <v>0</v>
      </c>
      <c r="AA131" s="37">
        <f t="shared" si="27"/>
        <v>0</v>
      </c>
      <c r="AB131" s="37">
        <f t="shared" si="27"/>
        <v>0</v>
      </c>
      <c r="AC131" s="37">
        <f t="shared" si="27"/>
        <v>0</v>
      </c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</row>
    <row r="132" spans="1:51" x14ac:dyDescent="0.3">
      <c r="A132" s="37"/>
      <c r="B132" s="58" t="s">
        <v>585</v>
      </c>
      <c r="C132" s="55"/>
      <c r="D132" s="55"/>
      <c r="E132" s="55"/>
      <c r="F132" s="55"/>
      <c r="G132" s="55"/>
      <c r="H132" s="55"/>
      <c r="I132" s="55"/>
      <c r="J132" s="37">
        <f t="shared" ref="J132:AC132" si="28">IF(COUNT(J24)=0,0,IF(AND(COUNT(J24)=1,J24&gt;=-2,J24&lt;=2,MOD(J24,1)=0,AND(COUNT(J40)=1,OR(J40=1,J40=2))),SUMIFS($I$84:$I$108,$B$84:$B$108,24,$C$84:$C$108,J24),0))</f>
        <v>0</v>
      </c>
      <c r="K132" s="37">
        <f t="shared" si="28"/>
        <v>0</v>
      </c>
      <c r="L132" s="37">
        <f t="shared" si="28"/>
        <v>0</v>
      </c>
      <c r="M132" s="37">
        <f t="shared" si="28"/>
        <v>0</v>
      </c>
      <c r="N132" s="37">
        <f t="shared" si="28"/>
        <v>0</v>
      </c>
      <c r="O132" s="37">
        <f t="shared" si="28"/>
        <v>0</v>
      </c>
      <c r="P132" s="37">
        <f t="shared" si="28"/>
        <v>0</v>
      </c>
      <c r="Q132" s="37">
        <f t="shared" si="28"/>
        <v>0</v>
      </c>
      <c r="R132" s="37">
        <f t="shared" si="28"/>
        <v>0</v>
      </c>
      <c r="S132" s="37">
        <f t="shared" si="28"/>
        <v>0</v>
      </c>
      <c r="T132" s="37">
        <f t="shared" si="28"/>
        <v>0</v>
      </c>
      <c r="U132" s="37">
        <f t="shared" si="28"/>
        <v>0</v>
      </c>
      <c r="V132" s="37">
        <f t="shared" si="28"/>
        <v>0</v>
      </c>
      <c r="W132" s="37">
        <f t="shared" si="28"/>
        <v>0</v>
      </c>
      <c r="X132" s="37">
        <f t="shared" si="28"/>
        <v>0</v>
      </c>
      <c r="Y132" s="37">
        <f t="shared" si="28"/>
        <v>0</v>
      </c>
      <c r="Z132" s="37">
        <f t="shared" si="28"/>
        <v>0</v>
      </c>
      <c r="AA132" s="37">
        <f t="shared" si="28"/>
        <v>0</v>
      </c>
      <c r="AB132" s="37">
        <f t="shared" si="28"/>
        <v>0</v>
      </c>
      <c r="AC132" s="37">
        <f t="shared" si="28"/>
        <v>0</v>
      </c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</row>
    <row r="133" spans="1:51" x14ac:dyDescent="0.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</row>
    <row r="134" spans="1:51" x14ac:dyDescent="0.3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</row>
    <row r="135" spans="1:51" x14ac:dyDescent="0.3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</row>
    <row r="136" spans="1:51" x14ac:dyDescent="0.3">
      <c r="A136" s="37"/>
      <c r="B136" s="58" t="s">
        <v>586</v>
      </c>
      <c r="C136" s="55"/>
      <c r="D136" s="55"/>
      <c r="E136" s="55"/>
      <c r="F136" s="55"/>
      <c r="G136" s="55"/>
      <c r="H136" s="55"/>
      <c r="I136" s="55"/>
      <c r="J136" s="37" t="str">
        <f t="shared" ref="J136:AC136" si="29">IF(COUNT(J112,J115)=0,"",AVERAGE(J112,J115))</f>
        <v/>
      </c>
      <c r="K136" s="37" t="str">
        <f t="shared" si="29"/>
        <v/>
      </c>
      <c r="L136" s="37" t="str">
        <f t="shared" si="29"/>
        <v/>
      </c>
      <c r="M136" s="37" t="str">
        <f t="shared" si="29"/>
        <v/>
      </c>
      <c r="N136" s="37" t="str">
        <f t="shared" si="29"/>
        <v/>
      </c>
      <c r="O136" s="37" t="str">
        <f t="shared" si="29"/>
        <v/>
      </c>
      <c r="P136" s="37" t="str">
        <f t="shared" si="29"/>
        <v/>
      </c>
      <c r="Q136" s="37" t="str">
        <f t="shared" si="29"/>
        <v/>
      </c>
      <c r="R136" s="37" t="str">
        <f t="shared" si="29"/>
        <v/>
      </c>
      <c r="S136" s="37" t="str">
        <f t="shared" si="29"/>
        <v/>
      </c>
      <c r="T136" s="37" t="str">
        <f t="shared" si="29"/>
        <v/>
      </c>
      <c r="U136" s="37" t="str">
        <f t="shared" si="29"/>
        <v/>
      </c>
      <c r="V136" s="37" t="str">
        <f t="shared" si="29"/>
        <v/>
      </c>
      <c r="W136" s="37" t="str">
        <f t="shared" si="29"/>
        <v/>
      </c>
      <c r="X136" s="37" t="str">
        <f t="shared" si="29"/>
        <v/>
      </c>
      <c r="Y136" s="37" t="str">
        <f t="shared" si="29"/>
        <v/>
      </c>
      <c r="Z136" s="37" t="str">
        <f t="shared" si="29"/>
        <v/>
      </c>
      <c r="AA136" s="37" t="str">
        <f t="shared" si="29"/>
        <v/>
      </c>
      <c r="AB136" s="37" t="str">
        <f t="shared" si="29"/>
        <v/>
      </c>
      <c r="AC136" s="37" t="str">
        <f t="shared" si="29"/>
        <v/>
      </c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</row>
    <row r="137" spans="1:51" x14ac:dyDescent="0.3">
      <c r="A137" s="37"/>
      <c r="B137" s="58" t="s">
        <v>587</v>
      </c>
      <c r="C137" s="55"/>
      <c r="D137" s="55"/>
      <c r="E137" s="55"/>
      <c r="F137" s="55"/>
      <c r="G137" s="55"/>
      <c r="H137" s="55"/>
      <c r="I137" s="55"/>
      <c r="J137" s="37" t="str">
        <f t="shared" ref="J137:AC137" si="30">IF(COUNT(J113,J116)=0,"",AVERAGE(J113,J116))</f>
        <v/>
      </c>
      <c r="K137" s="37" t="str">
        <f t="shared" si="30"/>
        <v/>
      </c>
      <c r="L137" s="37" t="str">
        <f t="shared" si="30"/>
        <v/>
      </c>
      <c r="M137" s="37" t="str">
        <f t="shared" si="30"/>
        <v/>
      </c>
      <c r="N137" s="37" t="str">
        <f t="shared" si="30"/>
        <v/>
      </c>
      <c r="O137" s="37" t="str">
        <f t="shared" si="30"/>
        <v/>
      </c>
      <c r="P137" s="37" t="str">
        <f t="shared" si="30"/>
        <v/>
      </c>
      <c r="Q137" s="37" t="str">
        <f t="shared" si="30"/>
        <v/>
      </c>
      <c r="R137" s="37" t="str">
        <f t="shared" si="30"/>
        <v/>
      </c>
      <c r="S137" s="37" t="str">
        <f t="shared" si="30"/>
        <v/>
      </c>
      <c r="T137" s="37" t="str">
        <f t="shared" si="30"/>
        <v/>
      </c>
      <c r="U137" s="37" t="str">
        <f t="shared" si="30"/>
        <v/>
      </c>
      <c r="V137" s="37" t="str">
        <f t="shared" si="30"/>
        <v/>
      </c>
      <c r="W137" s="37" t="str">
        <f t="shared" si="30"/>
        <v/>
      </c>
      <c r="X137" s="37" t="str">
        <f t="shared" si="30"/>
        <v/>
      </c>
      <c r="Y137" s="37" t="str">
        <f t="shared" si="30"/>
        <v/>
      </c>
      <c r="Z137" s="37" t="str">
        <f t="shared" si="30"/>
        <v/>
      </c>
      <c r="AA137" s="37" t="str">
        <f t="shared" si="30"/>
        <v/>
      </c>
      <c r="AB137" s="37" t="str">
        <f t="shared" si="30"/>
        <v/>
      </c>
      <c r="AC137" s="37" t="str">
        <f t="shared" si="30"/>
        <v/>
      </c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</row>
    <row r="138" spans="1:51" x14ac:dyDescent="0.3">
      <c r="A138" s="37"/>
      <c r="B138" s="58" t="s">
        <v>588</v>
      </c>
      <c r="C138" s="55"/>
      <c r="D138" s="55"/>
      <c r="E138" s="55"/>
      <c r="F138" s="55"/>
      <c r="G138" s="55"/>
      <c r="H138" s="55"/>
      <c r="I138" s="55"/>
      <c r="J138" s="37" t="str">
        <f t="shared" ref="J138:AC138" si="31">IF(COUNT(J114,J117)=0,"",AVERAGE(J114,J117))</f>
        <v/>
      </c>
      <c r="K138" s="37" t="str">
        <f t="shared" si="31"/>
        <v/>
      </c>
      <c r="L138" s="37" t="str">
        <f t="shared" si="31"/>
        <v/>
      </c>
      <c r="M138" s="37" t="str">
        <f t="shared" si="31"/>
        <v/>
      </c>
      <c r="N138" s="37" t="str">
        <f t="shared" si="31"/>
        <v/>
      </c>
      <c r="O138" s="37" t="str">
        <f t="shared" si="31"/>
        <v/>
      </c>
      <c r="P138" s="37" t="str">
        <f t="shared" si="31"/>
        <v/>
      </c>
      <c r="Q138" s="37" t="str">
        <f t="shared" si="31"/>
        <v/>
      </c>
      <c r="R138" s="37" t="str">
        <f t="shared" si="31"/>
        <v/>
      </c>
      <c r="S138" s="37" t="str">
        <f t="shared" si="31"/>
        <v/>
      </c>
      <c r="T138" s="37" t="str">
        <f t="shared" si="31"/>
        <v/>
      </c>
      <c r="U138" s="37" t="str">
        <f t="shared" si="31"/>
        <v/>
      </c>
      <c r="V138" s="37" t="str">
        <f t="shared" si="31"/>
        <v/>
      </c>
      <c r="W138" s="37" t="str">
        <f t="shared" si="31"/>
        <v/>
      </c>
      <c r="X138" s="37" t="str">
        <f t="shared" si="31"/>
        <v/>
      </c>
      <c r="Y138" s="37" t="str">
        <f t="shared" si="31"/>
        <v/>
      </c>
      <c r="Z138" s="37" t="str">
        <f t="shared" si="31"/>
        <v/>
      </c>
      <c r="AA138" s="37" t="str">
        <f t="shared" si="31"/>
        <v/>
      </c>
      <c r="AB138" s="37" t="str">
        <f t="shared" si="31"/>
        <v/>
      </c>
      <c r="AC138" s="37" t="str">
        <f t="shared" si="31"/>
        <v/>
      </c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</row>
    <row r="139" spans="1:51" x14ac:dyDescent="0.3">
      <c r="A139" s="37"/>
      <c r="B139" s="58" t="s">
        <v>589</v>
      </c>
      <c r="C139" s="55"/>
      <c r="D139" s="55"/>
      <c r="E139" s="55"/>
      <c r="F139" s="55"/>
      <c r="G139" s="55"/>
      <c r="H139" s="55"/>
      <c r="I139" s="55"/>
      <c r="J139" s="37" t="str">
        <f t="shared" ref="J139:AC139" si="32">IF(COUNT(J118,J151)=0,"",AVERAGE(J118,J151))</f>
        <v/>
      </c>
      <c r="K139" s="37" t="str">
        <f t="shared" si="32"/>
        <v/>
      </c>
      <c r="L139" s="37" t="str">
        <f t="shared" si="32"/>
        <v/>
      </c>
      <c r="M139" s="37" t="str">
        <f t="shared" si="32"/>
        <v/>
      </c>
      <c r="N139" s="37" t="str">
        <f t="shared" si="32"/>
        <v/>
      </c>
      <c r="O139" s="37" t="str">
        <f t="shared" si="32"/>
        <v/>
      </c>
      <c r="P139" s="37" t="str">
        <f t="shared" si="32"/>
        <v/>
      </c>
      <c r="Q139" s="37" t="str">
        <f t="shared" si="32"/>
        <v/>
      </c>
      <c r="R139" s="37" t="str">
        <f t="shared" si="32"/>
        <v/>
      </c>
      <c r="S139" s="37" t="str">
        <f t="shared" si="32"/>
        <v/>
      </c>
      <c r="T139" s="37" t="str">
        <f t="shared" si="32"/>
        <v/>
      </c>
      <c r="U139" s="37" t="str">
        <f t="shared" si="32"/>
        <v/>
      </c>
      <c r="V139" s="37" t="str">
        <f t="shared" si="32"/>
        <v/>
      </c>
      <c r="W139" s="37" t="str">
        <f t="shared" si="32"/>
        <v/>
      </c>
      <c r="X139" s="37" t="str">
        <f t="shared" si="32"/>
        <v/>
      </c>
      <c r="Y139" s="37" t="str">
        <f t="shared" si="32"/>
        <v/>
      </c>
      <c r="Z139" s="37" t="str">
        <f t="shared" si="32"/>
        <v/>
      </c>
      <c r="AA139" s="37" t="str">
        <f t="shared" si="32"/>
        <v/>
      </c>
      <c r="AB139" s="37" t="str">
        <f t="shared" si="32"/>
        <v/>
      </c>
      <c r="AC139" s="37" t="str">
        <f t="shared" si="32"/>
        <v/>
      </c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</row>
    <row r="140" spans="1:51" x14ac:dyDescent="0.3">
      <c r="A140" s="37"/>
      <c r="B140" s="58" t="s">
        <v>590</v>
      </c>
      <c r="C140" s="55"/>
      <c r="D140" s="55"/>
      <c r="E140" s="55"/>
      <c r="F140" s="55"/>
      <c r="G140" s="55"/>
      <c r="H140" s="55"/>
      <c r="I140" s="55"/>
      <c r="J140" s="37" t="str">
        <f t="shared" ref="J140:AC140" si="33">IF(COUNT(J119,J152)=0,"",AVERAGE(J119,J152))</f>
        <v/>
      </c>
      <c r="K140" s="37" t="str">
        <f t="shared" si="33"/>
        <v/>
      </c>
      <c r="L140" s="37" t="str">
        <f t="shared" si="33"/>
        <v/>
      </c>
      <c r="M140" s="37" t="str">
        <f t="shared" si="33"/>
        <v/>
      </c>
      <c r="N140" s="37" t="str">
        <f t="shared" si="33"/>
        <v/>
      </c>
      <c r="O140" s="37" t="str">
        <f t="shared" si="33"/>
        <v/>
      </c>
      <c r="P140" s="37" t="str">
        <f t="shared" si="33"/>
        <v/>
      </c>
      <c r="Q140" s="37" t="str">
        <f t="shared" si="33"/>
        <v/>
      </c>
      <c r="R140" s="37" t="str">
        <f t="shared" si="33"/>
        <v/>
      </c>
      <c r="S140" s="37" t="str">
        <f t="shared" si="33"/>
        <v/>
      </c>
      <c r="T140" s="37" t="str">
        <f t="shared" si="33"/>
        <v/>
      </c>
      <c r="U140" s="37" t="str">
        <f t="shared" si="33"/>
        <v/>
      </c>
      <c r="V140" s="37" t="str">
        <f t="shared" si="33"/>
        <v/>
      </c>
      <c r="W140" s="37" t="str">
        <f t="shared" si="33"/>
        <v/>
      </c>
      <c r="X140" s="37" t="str">
        <f t="shared" si="33"/>
        <v/>
      </c>
      <c r="Y140" s="37" t="str">
        <f t="shared" si="33"/>
        <v/>
      </c>
      <c r="Z140" s="37" t="str">
        <f t="shared" si="33"/>
        <v/>
      </c>
      <c r="AA140" s="37" t="str">
        <f t="shared" si="33"/>
        <v/>
      </c>
      <c r="AB140" s="37" t="str">
        <f t="shared" si="33"/>
        <v/>
      </c>
      <c r="AC140" s="37" t="str">
        <f t="shared" si="33"/>
        <v/>
      </c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</row>
    <row r="141" spans="1:51" x14ac:dyDescent="0.3">
      <c r="A141" s="37"/>
      <c r="B141" s="58" t="s">
        <v>591</v>
      </c>
      <c r="C141" s="55"/>
      <c r="D141" s="55"/>
      <c r="E141" s="55"/>
      <c r="F141" s="55"/>
      <c r="G141" s="55"/>
      <c r="H141" s="55"/>
      <c r="I141" s="55"/>
      <c r="J141" s="37" t="str">
        <f t="shared" ref="J141:AC141" si="34">IF(COUNT(J120,J153)=0,"",AVERAGE(J120,J153))</f>
        <v/>
      </c>
      <c r="K141" s="37" t="str">
        <f t="shared" si="34"/>
        <v/>
      </c>
      <c r="L141" s="37" t="str">
        <f t="shared" si="34"/>
        <v/>
      </c>
      <c r="M141" s="37" t="str">
        <f t="shared" si="34"/>
        <v/>
      </c>
      <c r="N141" s="37" t="str">
        <f t="shared" si="34"/>
        <v/>
      </c>
      <c r="O141" s="37" t="str">
        <f t="shared" si="34"/>
        <v/>
      </c>
      <c r="P141" s="37" t="str">
        <f t="shared" si="34"/>
        <v/>
      </c>
      <c r="Q141" s="37" t="str">
        <f t="shared" si="34"/>
        <v/>
      </c>
      <c r="R141" s="37" t="str">
        <f t="shared" si="34"/>
        <v/>
      </c>
      <c r="S141" s="37" t="str">
        <f t="shared" si="34"/>
        <v/>
      </c>
      <c r="T141" s="37" t="str">
        <f t="shared" si="34"/>
        <v/>
      </c>
      <c r="U141" s="37" t="str">
        <f t="shared" si="34"/>
        <v/>
      </c>
      <c r="V141" s="37" t="str">
        <f t="shared" si="34"/>
        <v/>
      </c>
      <c r="W141" s="37" t="str">
        <f t="shared" si="34"/>
        <v/>
      </c>
      <c r="X141" s="37" t="str">
        <f t="shared" si="34"/>
        <v/>
      </c>
      <c r="Y141" s="37" t="str">
        <f t="shared" si="34"/>
        <v/>
      </c>
      <c r="Z141" s="37" t="str">
        <f t="shared" si="34"/>
        <v/>
      </c>
      <c r="AA141" s="37" t="str">
        <f t="shared" si="34"/>
        <v/>
      </c>
      <c r="AB141" s="37" t="str">
        <f t="shared" si="34"/>
        <v/>
      </c>
      <c r="AC141" s="37" t="str">
        <f t="shared" si="34"/>
        <v/>
      </c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</row>
    <row r="142" spans="1:51" x14ac:dyDescent="0.3">
      <c r="A142" s="37"/>
      <c r="B142" s="58" t="s">
        <v>592</v>
      </c>
      <c r="C142" s="55"/>
      <c r="D142" s="55"/>
      <c r="E142" s="55"/>
      <c r="F142" s="55"/>
      <c r="G142" s="55"/>
      <c r="H142" s="55"/>
      <c r="I142" s="55"/>
      <c r="J142" s="37" t="str">
        <f t="shared" ref="J142:AC142" si="35">IF(COUNT(J121,J124)=0,"",AVERAGE(J121,J124))</f>
        <v/>
      </c>
      <c r="K142" s="37" t="str">
        <f t="shared" si="35"/>
        <v/>
      </c>
      <c r="L142" s="37" t="str">
        <f t="shared" si="35"/>
        <v/>
      </c>
      <c r="M142" s="37" t="str">
        <f t="shared" si="35"/>
        <v/>
      </c>
      <c r="N142" s="37" t="str">
        <f t="shared" si="35"/>
        <v/>
      </c>
      <c r="O142" s="37" t="str">
        <f t="shared" si="35"/>
        <v/>
      </c>
      <c r="P142" s="37" t="str">
        <f t="shared" si="35"/>
        <v/>
      </c>
      <c r="Q142" s="37" t="str">
        <f t="shared" si="35"/>
        <v/>
      </c>
      <c r="R142" s="37" t="str">
        <f t="shared" si="35"/>
        <v/>
      </c>
      <c r="S142" s="37" t="str">
        <f t="shared" si="35"/>
        <v/>
      </c>
      <c r="T142" s="37" t="str">
        <f t="shared" si="35"/>
        <v/>
      </c>
      <c r="U142" s="37" t="str">
        <f t="shared" si="35"/>
        <v/>
      </c>
      <c r="V142" s="37" t="str">
        <f t="shared" si="35"/>
        <v/>
      </c>
      <c r="W142" s="37" t="str">
        <f t="shared" si="35"/>
        <v/>
      </c>
      <c r="X142" s="37" t="str">
        <f t="shared" si="35"/>
        <v/>
      </c>
      <c r="Y142" s="37" t="str">
        <f t="shared" si="35"/>
        <v/>
      </c>
      <c r="Z142" s="37" t="str">
        <f t="shared" si="35"/>
        <v/>
      </c>
      <c r="AA142" s="37" t="str">
        <f t="shared" si="35"/>
        <v/>
      </c>
      <c r="AB142" s="37" t="str">
        <f t="shared" si="35"/>
        <v/>
      </c>
      <c r="AC142" s="37" t="str">
        <f t="shared" si="35"/>
        <v/>
      </c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</row>
    <row r="143" spans="1:51" x14ac:dyDescent="0.3">
      <c r="A143" s="37"/>
      <c r="B143" s="58" t="s">
        <v>593</v>
      </c>
      <c r="C143" s="55"/>
      <c r="D143" s="55"/>
      <c r="E143" s="55"/>
      <c r="F143" s="55"/>
      <c r="G143" s="55"/>
      <c r="H143" s="55"/>
      <c r="I143" s="55"/>
      <c r="J143" s="37" t="str">
        <f t="shared" ref="J143:AC143" si="36">IF(COUNT(J122,J125)=0,"",AVERAGE(J122,J125))</f>
        <v/>
      </c>
      <c r="K143" s="37" t="str">
        <f t="shared" si="36"/>
        <v/>
      </c>
      <c r="L143" s="37" t="str">
        <f t="shared" si="36"/>
        <v/>
      </c>
      <c r="M143" s="37" t="str">
        <f t="shared" si="36"/>
        <v/>
      </c>
      <c r="N143" s="37" t="str">
        <f t="shared" si="36"/>
        <v/>
      </c>
      <c r="O143" s="37" t="str">
        <f t="shared" si="36"/>
        <v/>
      </c>
      <c r="P143" s="37" t="str">
        <f t="shared" si="36"/>
        <v/>
      </c>
      <c r="Q143" s="37" t="str">
        <f t="shared" si="36"/>
        <v/>
      </c>
      <c r="R143" s="37" t="str">
        <f t="shared" si="36"/>
        <v/>
      </c>
      <c r="S143" s="37" t="str">
        <f t="shared" si="36"/>
        <v/>
      </c>
      <c r="T143" s="37" t="str">
        <f t="shared" si="36"/>
        <v/>
      </c>
      <c r="U143" s="37" t="str">
        <f t="shared" si="36"/>
        <v/>
      </c>
      <c r="V143" s="37" t="str">
        <f t="shared" si="36"/>
        <v/>
      </c>
      <c r="W143" s="37" t="str">
        <f t="shared" si="36"/>
        <v/>
      </c>
      <c r="X143" s="37" t="str">
        <f t="shared" si="36"/>
        <v/>
      </c>
      <c r="Y143" s="37" t="str">
        <f t="shared" si="36"/>
        <v/>
      </c>
      <c r="Z143" s="37" t="str">
        <f t="shared" si="36"/>
        <v/>
      </c>
      <c r="AA143" s="37" t="str">
        <f t="shared" si="36"/>
        <v/>
      </c>
      <c r="AB143" s="37" t="str">
        <f t="shared" si="36"/>
        <v/>
      </c>
      <c r="AC143" s="37" t="str">
        <f t="shared" si="36"/>
        <v/>
      </c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</row>
    <row r="144" spans="1:51" x14ac:dyDescent="0.3">
      <c r="A144" s="37"/>
      <c r="B144" s="58" t="s">
        <v>594</v>
      </c>
      <c r="C144" s="55"/>
      <c r="D144" s="55"/>
      <c r="E144" s="55"/>
      <c r="F144" s="55"/>
      <c r="G144" s="55"/>
      <c r="H144" s="55"/>
      <c r="I144" s="55"/>
      <c r="J144" s="37" t="str">
        <f t="shared" ref="J144:AC144" si="37">IF(COUNT(J123,J126)=0,"",AVERAGE(J123,J126))</f>
        <v/>
      </c>
      <c r="K144" s="37" t="str">
        <f t="shared" si="37"/>
        <v/>
      </c>
      <c r="L144" s="37" t="str">
        <f t="shared" si="37"/>
        <v/>
      </c>
      <c r="M144" s="37" t="str">
        <f t="shared" si="37"/>
        <v/>
      </c>
      <c r="N144" s="37" t="str">
        <f t="shared" si="37"/>
        <v/>
      </c>
      <c r="O144" s="37" t="str">
        <f t="shared" si="37"/>
        <v/>
      </c>
      <c r="P144" s="37" t="str">
        <f t="shared" si="37"/>
        <v/>
      </c>
      <c r="Q144" s="37" t="str">
        <f t="shared" si="37"/>
        <v/>
      </c>
      <c r="R144" s="37" t="str">
        <f t="shared" si="37"/>
        <v/>
      </c>
      <c r="S144" s="37" t="str">
        <f t="shared" si="37"/>
        <v/>
      </c>
      <c r="T144" s="37" t="str">
        <f t="shared" si="37"/>
        <v/>
      </c>
      <c r="U144" s="37" t="str">
        <f t="shared" si="37"/>
        <v/>
      </c>
      <c r="V144" s="37" t="str">
        <f t="shared" si="37"/>
        <v/>
      </c>
      <c r="W144" s="37" t="str">
        <f t="shared" si="37"/>
        <v/>
      </c>
      <c r="X144" s="37" t="str">
        <f t="shared" si="37"/>
        <v/>
      </c>
      <c r="Y144" s="37" t="str">
        <f t="shared" si="37"/>
        <v/>
      </c>
      <c r="Z144" s="37" t="str">
        <f t="shared" si="37"/>
        <v/>
      </c>
      <c r="AA144" s="37" t="str">
        <f t="shared" si="37"/>
        <v/>
      </c>
      <c r="AB144" s="37" t="str">
        <f t="shared" si="37"/>
        <v/>
      </c>
      <c r="AC144" s="37" t="str">
        <f t="shared" si="37"/>
        <v/>
      </c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</row>
    <row r="145" spans="1:51" x14ac:dyDescent="0.3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</row>
    <row r="146" spans="1:51" ht="39.950000000000003" customHeight="1" x14ac:dyDescent="0.3">
      <c r="A146" s="37"/>
      <c r="B146" s="60" t="s">
        <v>595</v>
      </c>
      <c r="C146" s="55"/>
      <c r="D146" s="55"/>
      <c r="E146" s="55"/>
      <c r="F146" s="55"/>
      <c r="G146" s="55"/>
      <c r="H146" s="55"/>
      <c r="I146" s="55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</row>
    <row r="147" spans="1:51" ht="45" customHeight="1" x14ac:dyDescent="0.3">
      <c r="A147" s="37"/>
      <c r="B147" s="40">
        <v>39</v>
      </c>
      <c r="C147" s="40">
        <v>0</v>
      </c>
      <c r="D147" s="40">
        <v>0</v>
      </c>
      <c r="E147" s="40">
        <v>0</v>
      </c>
      <c r="F147" s="40">
        <v>1</v>
      </c>
      <c r="G147" s="40" t="s">
        <v>129</v>
      </c>
      <c r="H147" s="40" t="s">
        <v>596</v>
      </c>
      <c r="I147" s="40">
        <f>IF(SUM(D147:F147)&gt;0,1,0)</f>
        <v>1</v>
      </c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</row>
    <row r="148" spans="1:51" ht="45" customHeight="1" x14ac:dyDescent="0.3">
      <c r="A148" s="37"/>
      <c r="B148" s="40">
        <v>39</v>
      </c>
      <c r="C148" s="40">
        <v>1</v>
      </c>
      <c r="D148" s="40">
        <v>2</v>
      </c>
      <c r="E148" s="40">
        <v>0</v>
      </c>
      <c r="F148" s="40">
        <v>0</v>
      </c>
      <c r="G148" s="40" t="s">
        <v>129</v>
      </c>
      <c r="H148" s="40" t="s">
        <v>597</v>
      </c>
      <c r="I148" s="40">
        <f>IF(SUM(D148:F148)&gt;0,1,0)</f>
        <v>1</v>
      </c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</row>
    <row r="149" spans="1:51" ht="45" customHeight="1" x14ac:dyDescent="0.3">
      <c r="A149" s="37"/>
      <c r="B149" s="40">
        <v>39</v>
      </c>
      <c r="C149" s="40">
        <v>2</v>
      </c>
      <c r="D149" s="40">
        <v>0</v>
      </c>
      <c r="E149" s="40">
        <v>2</v>
      </c>
      <c r="F149" s="40">
        <v>0</v>
      </c>
      <c r="G149" s="40" t="s">
        <v>129</v>
      </c>
      <c r="H149" s="40" t="s">
        <v>598</v>
      </c>
      <c r="I149" s="40">
        <f>IF(SUM(D149:F149)&gt;0,1,0)</f>
        <v>1</v>
      </c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</row>
    <row r="150" spans="1:51" ht="45" customHeight="1" x14ac:dyDescent="0.3">
      <c r="A150" s="37"/>
      <c r="B150" s="40">
        <v>39</v>
      </c>
      <c r="C150" s="40">
        <v>3</v>
      </c>
      <c r="D150" s="40">
        <v>0</v>
      </c>
      <c r="E150" s="40">
        <v>0</v>
      </c>
      <c r="F150" s="40">
        <v>2</v>
      </c>
      <c r="G150" s="40" t="s">
        <v>129</v>
      </c>
      <c r="H150" s="40" t="s">
        <v>599</v>
      </c>
      <c r="I150" s="40">
        <f>IF(SUM(D150:F150)&gt;0,1,0)</f>
        <v>1</v>
      </c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</row>
    <row r="151" spans="1:51" ht="39.950000000000003" customHeight="1" x14ac:dyDescent="0.3">
      <c r="A151" s="37"/>
      <c r="B151" s="60" t="s">
        <v>600</v>
      </c>
      <c r="C151" s="55"/>
      <c r="D151" s="55"/>
      <c r="E151" s="55"/>
      <c r="F151" s="55"/>
      <c r="G151" s="55"/>
      <c r="H151" s="55"/>
      <c r="I151" s="55"/>
      <c r="J151" s="37" t="str">
        <f t="shared" ref="J151:AC151" si="38">IF(J154=1,SUMIFS($D$147:$D$150,$B$147:$B$150,39,$C$147:$C$150,J39),"")</f>
        <v/>
      </c>
      <c r="K151" s="37" t="str">
        <f t="shared" si="38"/>
        <v/>
      </c>
      <c r="L151" s="37" t="str">
        <f t="shared" si="38"/>
        <v/>
      </c>
      <c r="M151" s="37" t="str">
        <f t="shared" si="38"/>
        <v/>
      </c>
      <c r="N151" s="37" t="str">
        <f t="shared" si="38"/>
        <v/>
      </c>
      <c r="O151" s="37" t="str">
        <f t="shared" si="38"/>
        <v/>
      </c>
      <c r="P151" s="37" t="str">
        <f t="shared" si="38"/>
        <v/>
      </c>
      <c r="Q151" s="37" t="str">
        <f t="shared" si="38"/>
        <v/>
      </c>
      <c r="R151" s="37" t="str">
        <f t="shared" si="38"/>
        <v/>
      </c>
      <c r="S151" s="37" t="str">
        <f t="shared" si="38"/>
        <v/>
      </c>
      <c r="T151" s="37" t="str">
        <f t="shared" si="38"/>
        <v/>
      </c>
      <c r="U151" s="37" t="str">
        <f t="shared" si="38"/>
        <v/>
      </c>
      <c r="V151" s="37" t="str">
        <f t="shared" si="38"/>
        <v/>
      </c>
      <c r="W151" s="37" t="str">
        <f t="shared" si="38"/>
        <v/>
      </c>
      <c r="X151" s="37" t="str">
        <f t="shared" si="38"/>
        <v/>
      </c>
      <c r="Y151" s="37" t="str">
        <f t="shared" si="38"/>
        <v/>
      </c>
      <c r="Z151" s="37" t="str">
        <f t="shared" si="38"/>
        <v/>
      </c>
      <c r="AA151" s="37" t="str">
        <f t="shared" si="38"/>
        <v/>
      </c>
      <c r="AB151" s="37" t="str">
        <f t="shared" si="38"/>
        <v/>
      </c>
      <c r="AC151" s="37" t="str">
        <f t="shared" si="38"/>
        <v/>
      </c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</row>
    <row r="152" spans="1:51" ht="39.950000000000003" customHeight="1" x14ac:dyDescent="0.3">
      <c r="A152" s="37"/>
      <c r="B152" s="60" t="s">
        <v>601</v>
      </c>
      <c r="C152" s="55"/>
      <c r="D152" s="55"/>
      <c r="E152" s="55"/>
      <c r="F152" s="55"/>
      <c r="G152" s="55"/>
      <c r="H152" s="55"/>
      <c r="I152" s="55"/>
      <c r="J152" s="37" t="str">
        <f t="shared" ref="J152:AC152" si="39">IF(J154=1,SUMIFS($E$147:$E$150,$B$147:$B$150,39,$C$147:$C$150,J39),"")</f>
        <v/>
      </c>
      <c r="K152" s="37" t="str">
        <f t="shared" si="39"/>
        <v/>
      </c>
      <c r="L152" s="37" t="str">
        <f t="shared" si="39"/>
        <v/>
      </c>
      <c r="M152" s="37" t="str">
        <f t="shared" si="39"/>
        <v/>
      </c>
      <c r="N152" s="37" t="str">
        <f t="shared" si="39"/>
        <v/>
      </c>
      <c r="O152" s="37" t="str">
        <f t="shared" si="39"/>
        <v/>
      </c>
      <c r="P152" s="37" t="str">
        <f t="shared" si="39"/>
        <v/>
      </c>
      <c r="Q152" s="37" t="str">
        <f t="shared" si="39"/>
        <v/>
      </c>
      <c r="R152" s="37" t="str">
        <f t="shared" si="39"/>
        <v/>
      </c>
      <c r="S152" s="37" t="str">
        <f t="shared" si="39"/>
        <v/>
      </c>
      <c r="T152" s="37" t="str">
        <f t="shared" si="39"/>
        <v/>
      </c>
      <c r="U152" s="37" t="str">
        <f t="shared" si="39"/>
        <v/>
      </c>
      <c r="V152" s="37" t="str">
        <f t="shared" si="39"/>
        <v/>
      </c>
      <c r="W152" s="37" t="str">
        <f t="shared" si="39"/>
        <v/>
      </c>
      <c r="X152" s="37" t="str">
        <f t="shared" si="39"/>
        <v/>
      </c>
      <c r="Y152" s="37" t="str">
        <f t="shared" si="39"/>
        <v/>
      </c>
      <c r="Z152" s="37" t="str">
        <f t="shared" si="39"/>
        <v/>
      </c>
      <c r="AA152" s="37" t="str">
        <f t="shared" si="39"/>
        <v/>
      </c>
      <c r="AB152" s="37" t="str">
        <f t="shared" si="39"/>
        <v/>
      </c>
      <c r="AC152" s="37" t="str">
        <f t="shared" si="39"/>
        <v/>
      </c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</row>
    <row r="153" spans="1:51" ht="39.950000000000003" customHeight="1" x14ac:dyDescent="0.3">
      <c r="A153" s="37"/>
      <c r="B153" s="60" t="s">
        <v>602</v>
      </c>
      <c r="C153" s="55"/>
      <c r="D153" s="55"/>
      <c r="E153" s="55"/>
      <c r="F153" s="55"/>
      <c r="G153" s="55"/>
      <c r="H153" s="55"/>
      <c r="I153" s="55"/>
      <c r="J153" s="37" t="str">
        <f t="shared" ref="J153:AC153" si="40">IF(J154=1,SUMIFS($F$147:$F$150,$B$147:$B$150,39,$C$147:$C$150,J39),"")</f>
        <v/>
      </c>
      <c r="K153" s="37" t="str">
        <f t="shared" si="40"/>
        <v/>
      </c>
      <c r="L153" s="37" t="str">
        <f t="shared" si="40"/>
        <v/>
      </c>
      <c r="M153" s="37" t="str">
        <f t="shared" si="40"/>
        <v/>
      </c>
      <c r="N153" s="37" t="str">
        <f t="shared" si="40"/>
        <v/>
      </c>
      <c r="O153" s="37" t="str">
        <f t="shared" si="40"/>
        <v/>
      </c>
      <c r="P153" s="37" t="str">
        <f t="shared" si="40"/>
        <v/>
      </c>
      <c r="Q153" s="37" t="str">
        <f t="shared" si="40"/>
        <v/>
      </c>
      <c r="R153" s="37" t="str">
        <f t="shared" si="40"/>
        <v/>
      </c>
      <c r="S153" s="37" t="str">
        <f t="shared" si="40"/>
        <v/>
      </c>
      <c r="T153" s="37" t="str">
        <f t="shared" si="40"/>
        <v/>
      </c>
      <c r="U153" s="37" t="str">
        <f t="shared" si="40"/>
        <v/>
      </c>
      <c r="V153" s="37" t="str">
        <f t="shared" si="40"/>
        <v/>
      </c>
      <c r="W153" s="37" t="str">
        <f t="shared" si="40"/>
        <v/>
      </c>
      <c r="X153" s="37" t="str">
        <f t="shared" si="40"/>
        <v/>
      </c>
      <c r="Y153" s="37" t="str">
        <f t="shared" si="40"/>
        <v/>
      </c>
      <c r="Z153" s="37" t="str">
        <f t="shared" si="40"/>
        <v/>
      </c>
      <c r="AA153" s="37" t="str">
        <f t="shared" si="40"/>
        <v/>
      </c>
      <c r="AB153" s="37" t="str">
        <f t="shared" si="40"/>
        <v/>
      </c>
      <c r="AC153" s="37" t="str">
        <f t="shared" si="40"/>
        <v/>
      </c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</row>
    <row r="154" spans="1:51" ht="39.950000000000003" customHeight="1" x14ac:dyDescent="0.3">
      <c r="A154" s="37"/>
      <c r="B154" s="60" t="s">
        <v>603</v>
      </c>
      <c r="C154" s="55"/>
      <c r="D154" s="55"/>
      <c r="E154" s="55"/>
      <c r="F154" s="55"/>
      <c r="G154" s="55"/>
      <c r="H154" s="55"/>
      <c r="I154" s="55"/>
      <c r="J154" s="37">
        <f t="shared" ref="J154:AC154" si="41">IF(COUNT(J39)=0,0,IF(AND(J39&gt;=0,J39&lt;=3,MOD(J39,1)=0,COUNT(J38)=1,OR(J38=1,J38=3)),SUMIFS($I$147:$I$150,$B$147:$B$150,39,$C$147:$C$150,J39),0))</f>
        <v>0</v>
      </c>
      <c r="K154" s="37">
        <f t="shared" si="41"/>
        <v>0</v>
      </c>
      <c r="L154" s="37">
        <f t="shared" si="41"/>
        <v>0</v>
      </c>
      <c r="M154" s="37">
        <f t="shared" si="41"/>
        <v>0</v>
      </c>
      <c r="N154" s="37">
        <f t="shared" si="41"/>
        <v>0</v>
      </c>
      <c r="O154" s="37">
        <f t="shared" si="41"/>
        <v>0</v>
      </c>
      <c r="P154" s="37">
        <f t="shared" si="41"/>
        <v>0</v>
      </c>
      <c r="Q154" s="37">
        <f t="shared" si="41"/>
        <v>0</v>
      </c>
      <c r="R154" s="37">
        <f t="shared" si="41"/>
        <v>0</v>
      </c>
      <c r="S154" s="37">
        <f t="shared" si="41"/>
        <v>0</v>
      </c>
      <c r="T154" s="37">
        <f t="shared" si="41"/>
        <v>0</v>
      </c>
      <c r="U154" s="37">
        <f t="shared" si="41"/>
        <v>0</v>
      </c>
      <c r="V154" s="37">
        <f t="shared" si="41"/>
        <v>0</v>
      </c>
      <c r="W154" s="37">
        <f t="shared" si="41"/>
        <v>0</v>
      </c>
      <c r="X154" s="37">
        <f t="shared" si="41"/>
        <v>0</v>
      </c>
      <c r="Y154" s="37">
        <f t="shared" si="41"/>
        <v>0</v>
      </c>
      <c r="Z154" s="37">
        <f t="shared" si="41"/>
        <v>0</v>
      </c>
      <c r="AA154" s="37">
        <f t="shared" si="41"/>
        <v>0</v>
      </c>
      <c r="AB154" s="37">
        <f t="shared" si="41"/>
        <v>0</v>
      </c>
      <c r="AC154" s="37">
        <f t="shared" si="41"/>
        <v>0</v>
      </c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</row>
  </sheetData>
  <mergeCells count="105">
    <mergeCell ref="B153:I153"/>
    <mergeCell ref="G52:H52"/>
    <mergeCell ref="B129:I129"/>
    <mergeCell ref="B121:I121"/>
    <mergeCell ref="B122:I122"/>
    <mergeCell ref="B131:I131"/>
    <mergeCell ref="G53:H53"/>
    <mergeCell ref="A72:I72"/>
    <mergeCell ref="A29:I29"/>
    <mergeCell ref="A44:I44"/>
    <mergeCell ref="A47:B47"/>
    <mergeCell ref="A31:I31"/>
    <mergeCell ref="C55:F55"/>
    <mergeCell ref="G55:H55"/>
    <mergeCell ref="B143:I143"/>
    <mergeCell ref="B124:I124"/>
    <mergeCell ref="B142:I142"/>
    <mergeCell ref="C59:F59"/>
    <mergeCell ref="B126:I126"/>
    <mergeCell ref="A1:I1"/>
    <mergeCell ref="C46:I46"/>
    <mergeCell ref="B114:I114"/>
    <mergeCell ref="G60:H60"/>
    <mergeCell ref="B154:I154"/>
    <mergeCell ref="B138:I138"/>
    <mergeCell ref="A3:I3"/>
    <mergeCell ref="B140:I140"/>
    <mergeCell ref="C57:F57"/>
    <mergeCell ref="C66:F66"/>
    <mergeCell ref="C53:F53"/>
    <mergeCell ref="B130:I130"/>
    <mergeCell ref="A32:I32"/>
    <mergeCell ref="B117:I117"/>
    <mergeCell ref="C68:F68"/>
    <mergeCell ref="B151:I151"/>
    <mergeCell ref="G69:H69"/>
    <mergeCell ref="B132:I132"/>
    <mergeCell ref="C58:F58"/>
    <mergeCell ref="B119:I119"/>
    <mergeCell ref="B116:I116"/>
    <mergeCell ref="C26:I26"/>
    <mergeCell ref="B112:I112"/>
    <mergeCell ref="C65:F65"/>
    <mergeCell ref="B152:I152"/>
    <mergeCell ref="C69:F69"/>
    <mergeCell ref="A46:B46"/>
    <mergeCell ref="B136:I136"/>
    <mergeCell ref="G62:H62"/>
    <mergeCell ref="G65:H65"/>
    <mergeCell ref="B128:I128"/>
    <mergeCell ref="A34:I34"/>
    <mergeCell ref="A49:I49"/>
    <mergeCell ref="A36:I36"/>
    <mergeCell ref="B118:I118"/>
    <mergeCell ref="G64:H64"/>
    <mergeCell ref="G51:H51"/>
    <mergeCell ref="G54:H54"/>
    <mergeCell ref="G63:H63"/>
    <mergeCell ref="G50:H50"/>
    <mergeCell ref="C51:F51"/>
    <mergeCell ref="C60:F60"/>
    <mergeCell ref="G56:H56"/>
    <mergeCell ref="C70:F70"/>
    <mergeCell ref="B146:I146"/>
    <mergeCell ref="C63:F63"/>
    <mergeCell ref="A48:I48"/>
    <mergeCell ref="C50:F50"/>
    <mergeCell ref="A30:I30"/>
    <mergeCell ref="B139:I139"/>
    <mergeCell ref="C56:F56"/>
    <mergeCell ref="B123:I123"/>
    <mergeCell ref="B76:I76"/>
    <mergeCell ref="B110:I110"/>
    <mergeCell ref="B113:I113"/>
    <mergeCell ref="G59:H59"/>
    <mergeCell ref="B75:I75"/>
    <mergeCell ref="A37:I37"/>
    <mergeCell ref="A45:B45"/>
    <mergeCell ref="B141:I141"/>
    <mergeCell ref="G67:H67"/>
    <mergeCell ref="B115:I115"/>
    <mergeCell ref="C67:F67"/>
    <mergeCell ref="G61:H61"/>
    <mergeCell ref="G70:H70"/>
    <mergeCell ref="C52:F52"/>
    <mergeCell ref="C61:F61"/>
    <mergeCell ref="B144:I144"/>
    <mergeCell ref="B125:I125"/>
    <mergeCell ref="A33:I33"/>
    <mergeCell ref="A2:I2"/>
    <mergeCell ref="G57:H57"/>
    <mergeCell ref="C62:F62"/>
    <mergeCell ref="B120:I120"/>
    <mergeCell ref="G66:H66"/>
    <mergeCell ref="A35:I35"/>
    <mergeCell ref="C45:I45"/>
    <mergeCell ref="C64:F64"/>
    <mergeCell ref="G68:H68"/>
    <mergeCell ref="G58:H58"/>
    <mergeCell ref="B137:I137"/>
    <mergeCell ref="C54:F54"/>
    <mergeCell ref="C47:I47"/>
    <mergeCell ref="C25:I25"/>
    <mergeCell ref="A15:I15"/>
    <mergeCell ref="C27:I27"/>
  </mergeCells>
  <phoneticPr fontId="9" type="noConversion"/>
  <dataValidations count="23">
    <dataValidation type="whole" allowBlank="1" showErrorMessage="1" errorTitle="보5 입력 확인" error="-1, 0, 1만 입력합니다. 미발화·판독 불가 등은 빈칸과 메모로 기록합니다." sqref="J5:AC5">
      <formula1>-1</formula1>
      <formula2>1</formula2>
    </dataValidation>
    <dataValidation type="whole" allowBlank="1" showErrorMessage="1" errorTitle="항목 눈금 확인" error="이 행에 지정된 범위의 값을 입력해 주세요." sqref="J6:AC6">
      <formula1>-2</formula1>
      <formula2>2</formula2>
    </dataValidation>
    <dataValidation type="whole" allowBlank="1" showErrorMessage="1" errorTitle="항목 눈금 확인" error="이 행에 지정된 범위의 값을 입력해 주세요." sqref="J9:AC9">
      <formula1>-2</formula1>
      <formula2>2</formula2>
    </dataValidation>
    <dataValidation type="whole" allowBlank="1" showErrorMessage="1" errorTitle="항목 눈금 확인" error="이 행에 지정된 범위의 값을 입력해 주세요." sqref="J10:AC10">
      <formula1>-2</formula1>
      <formula2>2</formula2>
    </dataValidation>
    <dataValidation type="whole" allowBlank="1" showErrorMessage="1" errorTitle="항목 눈금 확인" error="이 행에 지정된 범위의 값을 입력해 주세요." sqref="J11:AC11">
      <formula1>-2</formula1>
      <formula2>2</formula2>
    </dataValidation>
    <dataValidation type="whole" allowBlank="1" showErrorMessage="1" errorTitle="항목 눈금 확인" error="이 행에 지정된 범위의 값을 입력해 주세요." sqref="J22:AC22">
      <formula1>-2</formula1>
      <formula2>2</formula2>
    </dataValidation>
    <dataValidation type="whole" allowBlank="1" showErrorMessage="1" errorTitle="항목 눈금 확인" error="이 행에 지정된 범위의 값을 입력해 주세요." sqref="J24:AC24">
      <formula1>-2</formula1>
      <formula2>2</formula2>
    </dataValidation>
    <dataValidation type="whole" allowBlank="1" showErrorMessage="1" errorTitle="항목 눈금 확인" error="이 행에 지정된 범위의 값을 입력해 주세요." sqref="J12:AC12">
      <formula1>1</formula1>
      <formula2>3</formula2>
    </dataValidation>
    <dataValidation type="whole" allowBlank="1" showErrorMessage="1" errorTitle="항목 눈금 확인" error="이 행에 지정된 범위의 값을 입력해 주세요." sqref="J13:AC13">
      <formula1>1</formula1>
      <formula2>3</formula2>
    </dataValidation>
    <dataValidation type="whole" allowBlank="1" showErrorMessage="1" errorTitle="항목 눈금 확인" error="이 행에 지정된 범위의 값을 입력해 주세요." sqref="J14:AC14">
      <formula1>1</formula1>
      <formula2>3</formula2>
    </dataValidation>
    <dataValidation type="whole" allowBlank="1" showErrorMessage="1" errorTitle="항목 눈금 확인" error="이 행에 지정된 범위의 값을 입력해 주세요." sqref="J16:AC16">
      <formula1>0</formula1>
      <formula2>1</formula2>
    </dataValidation>
    <dataValidation type="whole" allowBlank="1" showErrorMessage="1" errorTitle="항목 눈금 확인" error="이 행에 지정된 범위의 값을 입력해 주세요." sqref="J17:AC17">
      <formula1>0</formula1>
      <formula2>1</formula2>
    </dataValidation>
    <dataValidation type="whole" allowBlank="1" showErrorMessage="1" errorTitle="항목 눈금 확인" error="이 행에 지정된 범위의 값을 입력해 주세요." sqref="J18:AC18">
      <formula1>0</formula1>
      <formula2>1</formula2>
    </dataValidation>
    <dataValidation type="whole" allowBlank="1" showErrorMessage="1" errorTitle="항목 눈금 확인" error="이 행에 지정된 범위의 값을 입력해 주세요." sqref="J38:AC38">
      <formula1>0</formula1>
      <formula2>3</formula2>
    </dataValidation>
    <dataValidation type="whole" allowBlank="1" showErrorMessage="1" errorTitle="항목 눈금 확인" error="이 행에 지정된 범위의 값을 입력해 주세요." sqref="J39:AC39">
      <formula1>0</formula1>
      <formula2>3</formula2>
    </dataValidation>
    <dataValidation type="whole" allowBlank="1" showErrorMessage="1" errorTitle="항목 눈금 확인" error="이 행에 지정된 범위의 값을 입력해 주세요." sqref="J40:AC40">
      <formula1>0</formula1>
      <formula2>3</formula2>
    </dataValidation>
    <dataValidation type="whole" allowBlank="1" showErrorMessage="1" sqref="J23:AC23">
      <formula1>-2</formula1>
      <formula2>2</formula2>
    </dataValidation>
    <dataValidation type="whole" allowBlank="1" showErrorMessage="1" sqref="D84:F108">
      <formula1>0</formula1>
      <formula2>2</formula2>
    </dataValidation>
    <dataValidation type="whole" allowBlank="1" showErrorMessage="1" sqref="C77">
      <formula1>1</formula1>
      <formula2>6</formula2>
    </dataValidation>
    <dataValidation type="whole" allowBlank="1" showErrorMessage="1" sqref="C78">
      <formula1>1</formula1>
      <formula2>3</formula2>
    </dataValidation>
    <dataValidation type="decimal" showErrorMessage="1" sqref="C79:C80">
      <formula1>0</formula1>
      <formula2>1</formula2>
    </dataValidation>
    <dataValidation type="whole" allowBlank="1" showErrorMessage="1" sqref="D147:F150">
      <formula1>0</formula1>
      <formula2>2</formula2>
    </dataValidation>
    <dataValidation type="list" allowBlank="1" showErrorMessage="1" error="목록에서 고르십시오." prompt="영상 근거를 보고 고릅니다. 비워 두면 자동 초안이 나갑니다." sqref="B51:B70">
      <formula1>"허용형,조율형,통제형,판정보류"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0"/>
  <sheetViews>
    <sheetView showGridLines="0" zoomScale="85" workbookViewId="0">
      <pane ySplit="5" topLeftCell="A6" activePane="bottomLeft" state="frozen"/>
      <selection pane="bottomLeft"/>
    </sheetView>
  </sheetViews>
  <sheetFormatPr defaultRowHeight="16.5" x14ac:dyDescent="0.3"/>
  <cols>
    <col min="1" max="1" width="25" style="2" customWidth="1"/>
    <col min="2" max="2" width="33" style="2" customWidth="1"/>
    <col min="3" max="3" width="23" style="2" customWidth="1"/>
    <col min="4" max="4" width="33" style="2" customWidth="1"/>
    <col min="5" max="5" width="25" style="2" customWidth="1"/>
    <col min="6" max="6" width="17" style="2" customWidth="1"/>
  </cols>
  <sheetData>
    <row r="1" spans="1:6" ht="24" customHeight="1" x14ac:dyDescent="0.3">
      <c r="A1" s="57" t="s">
        <v>604</v>
      </c>
      <c r="B1" s="55"/>
      <c r="C1" s="55"/>
      <c r="D1" s="55"/>
      <c r="E1" s="55"/>
      <c r="F1" s="55"/>
    </row>
    <row r="2" spans="1:6" ht="24" customHeight="1" x14ac:dyDescent="0.3">
      <c r="A2" s="54" t="s">
        <v>605</v>
      </c>
      <c r="B2" s="55"/>
      <c r="C2" s="55"/>
      <c r="D2" s="55"/>
      <c r="E2" s="55"/>
      <c r="F2" s="55"/>
    </row>
    <row r="3" spans="1:6" ht="24" customHeight="1" x14ac:dyDescent="0.3">
      <c r="A3" s="55"/>
      <c r="B3" s="55"/>
      <c r="C3" s="55"/>
      <c r="D3" s="55"/>
      <c r="E3" s="55"/>
      <c r="F3" s="55"/>
    </row>
    <row r="4" spans="1:6" ht="24" customHeight="1" x14ac:dyDescent="0.3">
      <c r="A4" s="36"/>
      <c r="B4" s="36"/>
      <c r="C4" s="36"/>
      <c r="D4" s="36"/>
      <c r="E4" s="36"/>
      <c r="F4" s="36"/>
    </row>
    <row r="5" spans="1:6" ht="24" customHeight="1" x14ac:dyDescent="0.3">
      <c r="A5" s="43" t="s">
        <v>382</v>
      </c>
      <c r="B5" s="43" t="s">
        <v>606</v>
      </c>
      <c r="C5" s="43" t="s">
        <v>607</v>
      </c>
      <c r="D5" s="43" t="s">
        <v>608</v>
      </c>
      <c r="E5" s="43" t="s">
        <v>609</v>
      </c>
      <c r="F5" s="43" t="s">
        <v>610</v>
      </c>
    </row>
    <row r="6" spans="1:6" ht="24" customHeight="1" x14ac:dyDescent="0.3">
      <c r="A6" s="36">
        <v>1</v>
      </c>
      <c r="B6" s="36" t="str">
        <f>IF(LEN(TRIM(여러쌍비교!B6&amp;""))=0,"",여러쌍비교!B6)</f>
        <v/>
      </c>
      <c r="C6" s="36" t="str">
        <f>E40</f>
        <v>미작성</v>
      </c>
      <c r="D6" s="36" t="str">
        <f>HYPERLINK("#'6_행사전문가의견'!A30","1번 작성")</f>
        <v>1번 작성</v>
      </c>
      <c r="E6" s="36" t="str">
        <f>IF(LEN(TRIM(C31&amp;""))=0,"",C31)</f>
        <v/>
      </c>
      <c r="F6" s="36" t="str">
        <f>IF(LEN(TRIM(B42&amp;""))=0,"미입력",IF(E40&lt;&gt;"완료","작성 중",IF(AND(OR(B42="주저함 · 거리를 벌림",B42="뚜렷한 치우침 없음",B42="살피지 않고 들이닥침",B42="자극에 따라 다름",B42="판단보류"),LEN(TRIM(B43&amp;""))&gt;0),"반영","입력 확인")))</f>
        <v>미입력</v>
      </c>
    </row>
    <row r="7" spans="1:6" ht="24" customHeight="1" x14ac:dyDescent="0.3">
      <c r="A7" s="36">
        <v>2</v>
      </c>
      <c r="B7" s="36" t="str">
        <f>IF(LEN(TRIM(여러쌍비교!B7&amp;""))=0,"",여러쌍비교!B7)</f>
        <v/>
      </c>
      <c r="C7" s="36" t="str">
        <f>E56</f>
        <v>미작성</v>
      </c>
      <c r="D7" s="36" t="str">
        <f>HYPERLINK("#'6_행사전문가의견'!A46","2번 작성")</f>
        <v>2번 작성</v>
      </c>
      <c r="E7" s="36" t="str">
        <f>IF(LEN(TRIM(C47&amp;""))=0,"",C47)</f>
        <v/>
      </c>
      <c r="F7" s="36" t="str">
        <f>IF(LEN(TRIM(B58&amp;""))=0,"미입력",IF(E56&lt;&gt;"완료","작성 중",IF(AND(OR(B58="주저함 · 거리를 벌림",B58="뚜렷한 치우침 없음",B58="살피지 않고 들이닥침",B58="자극에 따라 다름",B58="판단보류"),LEN(TRIM(B59&amp;""))&gt;0),"반영","입력 확인")))</f>
        <v>미입력</v>
      </c>
    </row>
    <row r="8" spans="1:6" ht="24" customHeight="1" x14ac:dyDescent="0.3">
      <c r="A8" s="36">
        <v>3</v>
      </c>
      <c r="B8" s="36" t="str">
        <f>IF(LEN(TRIM(여러쌍비교!B8&amp;""))=0,"",여러쌍비교!B8)</f>
        <v/>
      </c>
      <c r="C8" s="36" t="str">
        <f>E72</f>
        <v>미작성</v>
      </c>
      <c r="D8" s="36" t="str">
        <f>HYPERLINK("#'6_행사전문가의견'!A62","3번 작성")</f>
        <v>3번 작성</v>
      </c>
      <c r="E8" s="36" t="str">
        <f>IF(LEN(TRIM(C63&amp;""))=0,"",C63)</f>
        <v/>
      </c>
      <c r="F8" s="36" t="str">
        <f>IF(LEN(TRIM(B74&amp;""))=0,"미입력",IF(E72&lt;&gt;"완료","작성 중",IF(AND(OR(B74="주저함 · 거리를 벌림",B74="뚜렷한 치우침 없음",B74="살피지 않고 들이닥침",B74="자극에 따라 다름",B74="판단보류"),LEN(TRIM(B75&amp;""))&gt;0),"반영","입력 확인")))</f>
        <v>미입력</v>
      </c>
    </row>
    <row r="9" spans="1:6" ht="24" customHeight="1" x14ac:dyDescent="0.3">
      <c r="A9" s="36">
        <v>4</v>
      </c>
      <c r="B9" s="36" t="str">
        <f>IF(LEN(TRIM(여러쌍비교!B9&amp;""))=0,"",여러쌍비교!B9)</f>
        <v/>
      </c>
      <c r="C9" s="36" t="str">
        <f>E88</f>
        <v>미작성</v>
      </c>
      <c r="D9" s="36" t="str">
        <f>HYPERLINK("#'6_행사전문가의견'!A78","4번 작성")</f>
        <v>4번 작성</v>
      </c>
      <c r="E9" s="36" t="str">
        <f>IF(LEN(TRIM(C79&amp;""))=0,"",C79)</f>
        <v/>
      </c>
      <c r="F9" s="36" t="str">
        <f>IF(LEN(TRIM(B90&amp;""))=0,"미입력",IF(E88&lt;&gt;"완료","작성 중",IF(AND(OR(B90="주저함 · 거리를 벌림",B90="뚜렷한 치우침 없음",B90="살피지 않고 들이닥침",B90="자극에 따라 다름",B90="판단보류"),LEN(TRIM(B91&amp;""))&gt;0),"반영","입력 확인")))</f>
        <v>미입력</v>
      </c>
    </row>
    <row r="10" spans="1:6" ht="24" customHeight="1" x14ac:dyDescent="0.3">
      <c r="A10" s="36">
        <v>5</v>
      </c>
      <c r="B10" s="36" t="str">
        <f>IF(LEN(TRIM(여러쌍비교!B10&amp;""))=0,"",여러쌍비교!B10)</f>
        <v/>
      </c>
      <c r="C10" s="36" t="str">
        <f>E104</f>
        <v>미작성</v>
      </c>
      <c r="D10" s="36" t="str">
        <f>HYPERLINK("#'6_행사전문가의견'!A94","5번 작성")</f>
        <v>5번 작성</v>
      </c>
      <c r="E10" s="36" t="str">
        <f>IF(LEN(TRIM(C95&amp;""))=0,"",C95)</f>
        <v/>
      </c>
      <c r="F10" s="36" t="str">
        <f>IF(LEN(TRIM(B106&amp;""))=0,"미입력",IF(E104&lt;&gt;"완료","작성 중",IF(AND(OR(B106="주저함 · 거리를 벌림",B106="뚜렷한 치우침 없음",B106="살피지 않고 들이닥침",B106="자극에 따라 다름",B106="판단보류"),LEN(TRIM(B107&amp;""))&gt;0),"반영","입력 확인")))</f>
        <v>미입력</v>
      </c>
    </row>
    <row r="11" spans="1:6" ht="24" customHeight="1" x14ac:dyDescent="0.3">
      <c r="A11" s="36">
        <v>6</v>
      </c>
      <c r="B11" s="36" t="str">
        <f>IF(LEN(TRIM(여러쌍비교!B11&amp;""))=0,"",여러쌍비교!B11)</f>
        <v/>
      </c>
      <c r="C11" s="36" t="str">
        <f>E120</f>
        <v>미작성</v>
      </c>
      <c r="D11" s="36" t="str">
        <f>HYPERLINK("#'6_행사전문가의견'!A110","6번 작성")</f>
        <v>6번 작성</v>
      </c>
      <c r="E11" s="36" t="str">
        <f>IF(LEN(TRIM(C111&amp;""))=0,"",C111)</f>
        <v/>
      </c>
      <c r="F11" s="36" t="str">
        <f>IF(LEN(TRIM(B122&amp;""))=0,"미입력",IF(E120&lt;&gt;"완료","작성 중",IF(AND(OR(B122="주저함 · 거리를 벌림",B122="뚜렷한 치우침 없음",B122="살피지 않고 들이닥침",B122="자극에 따라 다름",B122="판단보류"),LEN(TRIM(B123&amp;""))&gt;0),"반영","입력 확인")))</f>
        <v>미입력</v>
      </c>
    </row>
    <row r="12" spans="1:6" ht="24" customHeight="1" x14ac:dyDescent="0.3">
      <c r="A12" s="36">
        <v>7</v>
      </c>
      <c r="B12" s="36" t="str">
        <f>IF(LEN(TRIM(여러쌍비교!B12&amp;""))=0,"",여러쌍비교!B12)</f>
        <v/>
      </c>
      <c r="C12" s="36" t="str">
        <f>E136</f>
        <v>미작성</v>
      </c>
      <c r="D12" s="36" t="str">
        <f>HYPERLINK("#'6_행사전문가의견'!A126","7번 작성")</f>
        <v>7번 작성</v>
      </c>
      <c r="E12" s="36" t="str">
        <f>IF(LEN(TRIM(C127&amp;""))=0,"",C127)</f>
        <v/>
      </c>
      <c r="F12" s="36" t="str">
        <f>IF(LEN(TRIM(B138&amp;""))=0,"미입력",IF(E136&lt;&gt;"완료","작성 중",IF(AND(OR(B138="주저함 · 거리를 벌림",B138="뚜렷한 치우침 없음",B138="살피지 않고 들이닥침",B138="자극에 따라 다름",B138="판단보류"),LEN(TRIM(B139&amp;""))&gt;0),"반영","입력 확인")))</f>
        <v>미입력</v>
      </c>
    </row>
    <row r="13" spans="1:6" ht="24" customHeight="1" x14ac:dyDescent="0.3">
      <c r="A13" s="36">
        <v>8</v>
      </c>
      <c r="B13" s="36" t="str">
        <f>IF(LEN(TRIM(여러쌍비교!B13&amp;""))=0,"",여러쌍비교!B13)</f>
        <v/>
      </c>
      <c r="C13" s="36" t="str">
        <f>E152</f>
        <v>미작성</v>
      </c>
      <c r="D13" s="36" t="str">
        <f>HYPERLINK("#'6_행사전문가의견'!A142","8번 작성")</f>
        <v>8번 작성</v>
      </c>
      <c r="E13" s="36" t="str">
        <f>IF(LEN(TRIM(C143&amp;""))=0,"",C143)</f>
        <v/>
      </c>
      <c r="F13" s="36" t="str">
        <f>IF(LEN(TRIM(B154&amp;""))=0,"미입력",IF(E152&lt;&gt;"완료","작성 중",IF(AND(OR(B154="주저함 · 거리를 벌림",B154="뚜렷한 치우침 없음",B154="살피지 않고 들이닥침",B154="자극에 따라 다름",B154="판단보류"),LEN(TRIM(B155&amp;""))&gt;0),"반영","입력 확인")))</f>
        <v>미입력</v>
      </c>
    </row>
    <row r="14" spans="1:6" ht="24" customHeight="1" x14ac:dyDescent="0.3">
      <c r="A14" s="36">
        <v>9</v>
      </c>
      <c r="B14" s="36" t="str">
        <f>IF(LEN(TRIM(여러쌍비교!B14&amp;""))=0,"",여러쌍비교!B14)</f>
        <v/>
      </c>
      <c r="C14" s="36" t="str">
        <f>E168</f>
        <v>미작성</v>
      </c>
      <c r="D14" s="36" t="str">
        <f>HYPERLINK("#'6_행사전문가의견'!A158","9번 작성")</f>
        <v>9번 작성</v>
      </c>
      <c r="E14" s="36" t="str">
        <f>IF(LEN(TRIM(C159&amp;""))=0,"",C159)</f>
        <v/>
      </c>
      <c r="F14" s="36" t="str">
        <f>IF(LEN(TRIM(B170&amp;""))=0,"미입력",IF(E168&lt;&gt;"완료","작성 중",IF(AND(OR(B170="주저함 · 거리를 벌림",B170="뚜렷한 치우침 없음",B170="살피지 않고 들이닥침",B170="자극에 따라 다름",B170="판단보류"),LEN(TRIM(B171&amp;""))&gt;0),"반영","입력 확인")))</f>
        <v>미입력</v>
      </c>
    </row>
    <row r="15" spans="1:6" ht="24" customHeight="1" x14ac:dyDescent="0.3">
      <c r="A15" s="36">
        <v>10</v>
      </c>
      <c r="B15" s="36" t="str">
        <f>IF(LEN(TRIM(여러쌍비교!B15&amp;""))=0,"",여러쌍비교!B15)</f>
        <v/>
      </c>
      <c r="C15" s="36" t="str">
        <f>E184</f>
        <v>미작성</v>
      </c>
      <c r="D15" s="36" t="str">
        <f>HYPERLINK("#'6_행사전문가의견'!A174","10번 작성")</f>
        <v>10번 작성</v>
      </c>
      <c r="E15" s="36" t="str">
        <f>IF(LEN(TRIM(C175&amp;""))=0,"",C175)</f>
        <v/>
      </c>
      <c r="F15" s="36" t="str">
        <f>IF(LEN(TRIM(B186&amp;""))=0,"미입력",IF(E184&lt;&gt;"완료","작성 중",IF(AND(OR(B186="주저함 · 거리를 벌림",B186="뚜렷한 치우침 없음",B186="살피지 않고 들이닥침",B186="자극에 따라 다름",B186="판단보류"),LEN(TRIM(B187&amp;""))&gt;0),"반영","입력 확인")))</f>
        <v>미입력</v>
      </c>
    </row>
    <row r="16" spans="1:6" ht="24" customHeight="1" x14ac:dyDescent="0.3">
      <c r="A16" s="36">
        <v>11</v>
      </c>
      <c r="B16" s="36" t="str">
        <f>IF(LEN(TRIM(여러쌍비교!B16&amp;""))=0,"",여러쌍비교!B16)</f>
        <v/>
      </c>
      <c r="C16" s="36" t="str">
        <f>E200</f>
        <v>미작성</v>
      </c>
      <c r="D16" s="36" t="str">
        <f>HYPERLINK("#'6_행사전문가의견'!A190","11번 작성")</f>
        <v>11번 작성</v>
      </c>
      <c r="E16" s="36" t="str">
        <f>IF(LEN(TRIM(C191&amp;""))=0,"",C191)</f>
        <v/>
      </c>
      <c r="F16" s="36" t="str">
        <f>IF(LEN(TRIM(B202&amp;""))=0,"미입력",IF(E200&lt;&gt;"완료","작성 중",IF(AND(OR(B202="주저함 · 거리를 벌림",B202="뚜렷한 치우침 없음",B202="살피지 않고 들이닥침",B202="자극에 따라 다름",B202="판단보류"),LEN(TRIM(B203&amp;""))&gt;0),"반영","입력 확인")))</f>
        <v>미입력</v>
      </c>
    </row>
    <row r="17" spans="1:6" ht="24" customHeight="1" x14ac:dyDescent="0.3">
      <c r="A17" s="36">
        <v>12</v>
      </c>
      <c r="B17" s="36" t="str">
        <f>IF(LEN(TRIM(여러쌍비교!B17&amp;""))=0,"",여러쌍비교!B17)</f>
        <v/>
      </c>
      <c r="C17" s="36" t="str">
        <f>E216</f>
        <v>미작성</v>
      </c>
      <c r="D17" s="36" t="str">
        <f>HYPERLINK("#'6_행사전문가의견'!A206","12번 작성")</f>
        <v>12번 작성</v>
      </c>
      <c r="E17" s="36" t="str">
        <f>IF(LEN(TRIM(C207&amp;""))=0,"",C207)</f>
        <v/>
      </c>
      <c r="F17" s="36" t="str">
        <f>IF(LEN(TRIM(B218&amp;""))=0,"미입력",IF(E216&lt;&gt;"완료","작성 중",IF(AND(OR(B218="주저함 · 거리를 벌림",B218="뚜렷한 치우침 없음",B218="살피지 않고 들이닥침",B218="자극에 따라 다름",B218="판단보류"),LEN(TRIM(B219&amp;""))&gt;0),"반영","입력 확인")))</f>
        <v>미입력</v>
      </c>
    </row>
    <row r="18" spans="1:6" ht="24" customHeight="1" x14ac:dyDescent="0.3">
      <c r="A18" s="36">
        <v>13</v>
      </c>
      <c r="B18" s="36" t="str">
        <f>IF(LEN(TRIM(여러쌍비교!B18&amp;""))=0,"",여러쌍비교!B18)</f>
        <v/>
      </c>
      <c r="C18" s="36" t="str">
        <f>E232</f>
        <v>미작성</v>
      </c>
      <c r="D18" s="36" t="str">
        <f>HYPERLINK("#'6_행사전문가의견'!A222","13번 작성")</f>
        <v>13번 작성</v>
      </c>
      <c r="E18" s="36" t="str">
        <f>IF(LEN(TRIM(C223&amp;""))=0,"",C223)</f>
        <v/>
      </c>
      <c r="F18" s="36" t="str">
        <f>IF(LEN(TRIM(B234&amp;""))=0,"미입력",IF(E232&lt;&gt;"완료","작성 중",IF(AND(OR(B234="주저함 · 거리를 벌림",B234="뚜렷한 치우침 없음",B234="살피지 않고 들이닥침",B234="자극에 따라 다름",B234="판단보류"),LEN(TRIM(B235&amp;""))&gt;0),"반영","입력 확인")))</f>
        <v>미입력</v>
      </c>
    </row>
    <row r="19" spans="1:6" ht="24" customHeight="1" x14ac:dyDescent="0.3">
      <c r="A19" s="36">
        <v>14</v>
      </c>
      <c r="B19" s="36" t="str">
        <f>IF(LEN(TRIM(여러쌍비교!B19&amp;""))=0,"",여러쌍비교!B19)</f>
        <v/>
      </c>
      <c r="C19" s="36" t="str">
        <f>E248</f>
        <v>미작성</v>
      </c>
      <c r="D19" s="36" t="str">
        <f>HYPERLINK("#'6_행사전문가의견'!A238","14번 작성")</f>
        <v>14번 작성</v>
      </c>
      <c r="E19" s="36" t="str">
        <f>IF(LEN(TRIM(C239&amp;""))=0,"",C239)</f>
        <v/>
      </c>
      <c r="F19" s="36" t="str">
        <f>IF(LEN(TRIM(B250&amp;""))=0,"미입력",IF(E248&lt;&gt;"완료","작성 중",IF(AND(OR(B250="주저함 · 거리를 벌림",B250="뚜렷한 치우침 없음",B250="살피지 않고 들이닥침",B250="자극에 따라 다름",B250="판단보류"),LEN(TRIM(B251&amp;""))&gt;0),"반영","입력 확인")))</f>
        <v>미입력</v>
      </c>
    </row>
    <row r="20" spans="1:6" ht="24" customHeight="1" x14ac:dyDescent="0.3">
      <c r="A20" s="36">
        <v>15</v>
      </c>
      <c r="B20" s="36" t="str">
        <f>IF(LEN(TRIM(여러쌍비교!B20&amp;""))=0,"",여러쌍비교!B20)</f>
        <v/>
      </c>
      <c r="C20" s="36" t="str">
        <f>E264</f>
        <v>미작성</v>
      </c>
      <c r="D20" s="36" t="str">
        <f>HYPERLINK("#'6_행사전문가의견'!A254","15번 작성")</f>
        <v>15번 작성</v>
      </c>
      <c r="E20" s="36" t="str">
        <f>IF(LEN(TRIM(C255&amp;""))=0,"",C255)</f>
        <v/>
      </c>
      <c r="F20" s="36" t="str">
        <f>IF(LEN(TRIM(B266&amp;""))=0,"미입력",IF(E264&lt;&gt;"완료","작성 중",IF(AND(OR(B266="주저함 · 거리를 벌림",B266="뚜렷한 치우침 없음",B266="살피지 않고 들이닥침",B266="자극에 따라 다름",B266="판단보류"),LEN(TRIM(B267&amp;""))&gt;0),"반영","입력 확인")))</f>
        <v>미입력</v>
      </c>
    </row>
    <row r="21" spans="1:6" ht="24" customHeight="1" x14ac:dyDescent="0.3">
      <c r="A21" s="36">
        <v>16</v>
      </c>
      <c r="B21" s="36" t="str">
        <f>IF(LEN(TRIM(여러쌍비교!B21&amp;""))=0,"",여러쌍비교!B21)</f>
        <v/>
      </c>
      <c r="C21" s="36" t="str">
        <f>E280</f>
        <v>미작성</v>
      </c>
      <c r="D21" s="36" t="str">
        <f>HYPERLINK("#'6_행사전문가의견'!A270","16번 작성")</f>
        <v>16번 작성</v>
      </c>
      <c r="E21" s="36" t="str">
        <f>IF(LEN(TRIM(C271&amp;""))=0,"",C271)</f>
        <v/>
      </c>
      <c r="F21" s="36" t="str">
        <f>IF(LEN(TRIM(B282&amp;""))=0,"미입력",IF(E280&lt;&gt;"완료","작성 중",IF(AND(OR(B282="주저함 · 거리를 벌림",B282="뚜렷한 치우침 없음",B282="살피지 않고 들이닥침",B282="자극에 따라 다름",B282="판단보류"),LEN(TRIM(B283&amp;""))&gt;0),"반영","입력 확인")))</f>
        <v>미입력</v>
      </c>
    </row>
    <row r="22" spans="1:6" ht="24" customHeight="1" x14ac:dyDescent="0.3">
      <c r="A22" s="36">
        <v>17</v>
      </c>
      <c r="B22" s="36" t="str">
        <f>IF(LEN(TRIM(여러쌍비교!B22&amp;""))=0,"",여러쌍비교!B22)</f>
        <v/>
      </c>
      <c r="C22" s="36" t="str">
        <f>E296</f>
        <v>미작성</v>
      </c>
      <c r="D22" s="36" t="str">
        <f>HYPERLINK("#'6_행사전문가의견'!A286","17번 작성")</f>
        <v>17번 작성</v>
      </c>
      <c r="E22" s="36" t="str">
        <f>IF(LEN(TRIM(C287&amp;""))=0,"",C287)</f>
        <v/>
      </c>
      <c r="F22" s="36" t="str">
        <f>IF(LEN(TRIM(B298&amp;""))=0,"미입력",IF(E296&lt;&gt;"완료","작성 중",IF(AND(OR(B298="주저함 · 거리를 벌림",B298="뚜렷한 치우침 없음",B298="살피지 않고 들이닥침",B298="자극에 따라 다름",B298="판단보류"),LEN(TRIM(B299&amp;""))&gt;0),"반영","입력 확인")))</f>
        <v>미입력</v>
      </c>
    </row>
    <row r="23" spans="1:6" ht="24" customHeight="1" x14ac:dyDescent="0.3">
      <c r="A23" s="36">
        <v>18</v>
      </c>
      <c r="B23" s="36" t="str">
        <f>IF(LEN(TRIM(여러쌍비교!B23&amp;""))=0,"",여러쌍비교!B23)</f>
        <v/>
      </c>
      <c r="C23" s="36" t="str">
        <f>E312</f>
        <v>미작성</v>
      </c>
      <c r="D23" s="36" t="str">
        <f>HYPERLINK("#'6_행사전문가의견'!A302","18번 작성")</f>
        <v>18번 작성</v>
      </c>
      <c r="E23" s="36" t="str">
        <f>IF(LEN(TRIM(C303&amp;""))=0,"",C303)</f>
        <v/>
      </c>
      <c r="F23" s="36" t="str">
        <f>IF(LEN(TRIM(B314&amp;""))=0,"미입력",IF(E312&lt;&gt;"완료","작성 중",IF(AND(OR(B314="주저함 · 거리를 벌림",B314="뚜렷한 치우침 없음",B314="살피지 않고 들이닥침",B314="자극에 따라 다름",B314="판단보류"),LEN(TRIM(B315&amp;""))&gt;0),"반영","입력 확인")))</f>
        <v>미입력</v>
      </c>
    </row>
    <row r="24" spans="1:6" ht="24" customHeight="1" x14ac:dyDescent="0.3">
      <c r="A24" s="36">
        <v>19</v>
      </c>
      <c r="B24" s="36" t="str">
        <f>IF(LEN(TRIM(여러쌍비교!B24&amp;""))=0,"",여러쌍비교!B24)</f>
        <v/>
      </c>
      <c r="C24" s="36" t="str">
        <f>E328</f>
        <v>미작성</v>
      </c>
      <c r="D24" s="36" t="str">
        <f>HYPERLINK("#'6_행사전문가의견'!A318","19번 작성")</f>
        <v>19번 작성</v>
      </c>
      <c r="E24" s="36" t="str">
        <f>IF(LEN(TRIM(C319&amp;""))=0,"",C319)</f>
        <v/>
      </c>
      <c r="F24" s="36" t="str">
        <f>IF(LEN(TRIM(B330&amp;""))=0,"미입력",IF(E328&lt;&gt;"완료","작성 중",IF(AND(OR(B330="주저함 · 거리를 벌림",B330="뚜렷한 치우침 없음",B330="살피지 않고 들이닥침",B330="자극에 따라 다름",B330="판단보류"),LEN(TRIM(B331&amp;""))&gt;0),"반영","입력 확인")))</f>
        <v>미입력</v>
      </c>
    </row>
    <row r="25" spans="1:6" ht="24" customHeight="1" x14ac:dyDescent="0.3">
      <c r="A25" s="36">
        <v>20</v>
      </c>
      <c r="B25" s="36" t="str">
        <f>IF(LEN(TRIM(여러쌍비교!B25&amp;""))=0,"",여러쌍비교!B25)</f>
        <v/>
      </c>
      <c r="C25" s="36" t="str">
        <f>E344</f>
        <v>미작성</v>
      </c>
      <c r="D25" s="36" t="str">
        <f>HYPERLINK("#'6_행사전문가의견'!A334","20번 작성")</f>
        <v>20번 작성</v>
      </c>
      <c r="E25" s="36" t="str">
        <f>IF(LEN(TRIM(C335&amp;""))=0,"",C335)</f>
        <v/>
      </c>
      <c r="F25" s="36" t="str">
        <f>IF(LEN(TRIM(B346&amp;""))=0,"미입력",IF(E344&lt;&gt;"완료","작성 중",IF(AND(OR(B346="주저함 · 거리를 벌림",B346="뚜렷한 치우침 없음",B346="살피지 않고 들이닥침",B346="자극에 따라 다름",B346="판단보류"),LEN(TRIM(B347&amp;""))&gt;0),"반영","입력 확인")))</f>
        <v>미입력</v>
      </c>
    </row>
    <row r="26" spans="1:6" ht="24" customHeight="1" x14ac:dyDescent="0.3">
      <c r="A26" s="36"/>
      <c r="B26" s="36"/>
      <c r="C26" s="36"/>
      <c r="D26" s="36"/>
      <c r="E26" s="36"/>
      <c r="F26" s="36"/>
    </row>
    <row r="27" spans="1:6" ht="24" customHeight="1" x14ac:dyDescent="0.3">
      <c r="A27" s="36"/>
      <c r="B27" s="36"/>
      <c r="C27" s="36"/>
      <c r="D27" s="36"/>
      <c r="E27" s="36"/>
      <c r="F27" s="36"/>
    </row>
    <row r="28" spans="1:6" ht="24" customHeight="1" x14ac:dyDescent="0.3">
      <c r="A28" s="36"/>
      <c r="B28" s="36"/>
      <c r="C28" s="36"/>
      <c r="D28" s="36"/>
      <c r="E28" s="36"/>
      <c r="F28" s="36"/>
    </row>
    <row r="29" spans="1:6" ht="24" customHeight="1" x14ac:dyDescent="0.3">
      <c r="A29" s="36"/>
      <c r="B29" s="36"/>
      <c r="C29" s="36"/>
      <c r="D29" s="36"/>
      <c r="E29" s="36"/>
      <c r="F29" s="36"/>
    </row>
    <row r="30" spans="1:6" ht="24" customHeight="1" x14ac:dyDescent="0.3">
      <c r="A30" s="56" t="str">
        <f>"1번  "&amp;IF(LEN(TRIM(여러쌍비교!B6&amp;""))=0,"이름 미입력",여러쌍비교!B6)</f>
        <v>1번  이름 미입력</v>
      </c>
      <c r="B30" s="55"/>
      <c r="C30" s="55"/>
      <c r="D30" s="55"/>
      <c r="E30" s="55"/>
      <c r="F30" s="55"/>
    </row>
    <row r="31" spans="1:6" ht="24" customHeight="1" x14ac:dyDescent="0.3">
      <c r="A31" s="36" t="s">
        <v>609</v>
      </c>
      <c r="B31" s="36"/>
      <c r="C31" s="64"/>
      <c r="D31" s="55"/>
      <c r="E31" s="55"/>
      <c r="F31" s="55"/>
    </row>
    <row r="32" spans="1:6" ht="24" customHeight="1" x14ac:dyDescent="0.3">
      <c r="A32" s="43" t="s">
        <v>56</v>
      </c>
      <c r="B32" s="65" t="s">
        <v>611</v>
      </c>
      <c r="C32" s="55"/>
      <c r="D32" s="65" t="s">
        <v>612</v>
      </c>
      <c r="E32" s="55"/>
      <c r="F32" s="55"/>
    </row>
    <row r="33" spans="1:6" ht="57.95" customHeight="1" x14ac:dyDescent="0.3">
      <c r="A33" s="36" t="s">
        <v>613</v>
      </c>
      <c r="B33" s="54" t="s">
        <v>614</v>
      </c>
      <c r="C33" s="55"/>
      <c r="D33" s="64"/>
      <c r="E33" s="55"/>
      <c r="F33" s="55"/>
    </row>
    <row r="34" spans="1:6" ht="57.95" customHeight="1" x14ac:dyDescent="0.3">
      <c r="A34" s="36" t="s">
        <v>615</v>
      </c>
      <c r="B34" s="54" t="s">
        <v>616</v>
      </c>
      <c r="C34" s="55"/>
      <c r="D34" s="64"/>
      <c r="E34" s="55"/>
      <c r="F34" s="55"/>
    </row>
    <row r="35" spans="1:6" ht="57.95" customHeight="1" x14ac:dyDescent="0.3">
      <c r="A35" s="36" t="s">
        <v>617</v>
      </c>
      <c r="B35" s="54" t="s">
        <v>618</v>
      </c>
      <c r="C35" s="55"/>
      <c r="D35" s="64"/>
      <c r="E35" s="55"/>
      <c r="F35" s="55"/>
    </row>
    <row r="36" spans="1:6" ht="57.95" customHeight="1" x14ac:dyDescent="0.3">
      <c r="A36" s="36" t="s">
        <v>619</v>
      </c>
      <c r="B36" s="54" t="s">
        <v>620</v>
      </c>
      <c r="C36" s="55"/>
      <c r="D36" s="64"/>
      <c r="E36" s="55"/>
      <c r="F36" s="55"/>
    </row>
    <row r="37" spans="1:6" ht="57.95" customHeight="1" x14ac:dyDescent="0.3">
      <c r="A37" s="36" t="s">
        <v>621</v>
      </c>
      <c r="B37" s="54" t="s">
        <v>622</v>
      </c>
      <c r="C37" s="55"/>
      <c r="D37" s="64"/>
      <c r="E37" s="55"/>
      <c r="F37" s="55"/>
    </row>
    <row r="38" spans="1:6" ht="57.95" customHeight="1" x14ac:dyDescent="0.3">
      <c r="A38" s="36" t="s">
        <v>623</v>
      </c>
      <c r="B38" s="54" t="s">
        <v>624</v>
      </c>
      <c r="C38" s="55"/>
      <c r="D38" s="64"/>
      <c r="E38" s="55"/>
      <c r="F38" s="55"/>
    </row>
    <row r="39" spans="1:6" ht="24" customHeight="1" x14ac:dyDescent="0.3">
      <c r="A39" s="54" t="s">
        <v>625</v>
      </c>
      <c r="B39" s="55"/>
      <c r="C39" s="55"/>
      <c r="D39" s="64"/>
      <c r="E39" s="55"/>
      <c r="F39" s="55"/>
    </row>
    <row r="40" spans="1:6" ht="24" customHeight="1" x14ac:dyDescent="0.3">
      <c r="A40" s="36" t="s">
        <v>626</v>
      </c>
      <c r="B40" s="64"/>
      <c r="C40" s="55"/>
      <c r="D40" s="36" t="s">
        <v>607</v>
      </c>
      <c r="E40" s="54" t="str">
        <f>IF(B40="완료",IF(LEN(TRIM(C31&amp;""))=0,"관찰자·일자 미기록",IF(OR(LEN(TRIM(D33&amp;""))+LEN(TRIM(D34&amp;""))+LEN(TRIM(D35&amp;""))+LEN(TRIM(D36&amp;""))+LEN(TRIM(D37&amp;""))+LEN(TRIM(D38&amp;""))&gt;0,AND(OR(B42="주저함 · 거리를 벌림",B42="뚜렷한 치우침 없음",B42="살피지 않고 들이닥침",B42="자극에 따라 다름",B42="판단보류"),LEN(TRIM(B43&amp;""))&gt;0)),"완료","의견·입장 근거 미기록")),IF(OR(B40="작성 중",LEN(TRIM(D33&amp;""))+LEN(TRIM(D34&amp;""))+LEN(TRIM(D35&amp;""))+LEN(TRIM(D36&amp;""))+LEN(TRIM(D37&amp;""))+LEN(TRIM(D38&amp;""))&gt;0,LEN(TRIM(C31&amp;""))&gt;0,LEN(TRIM(B42&amp;""))&gt;0,LEN(TRIM(B43&amp;""))&gt;0),"작성 중","미작성"))</f>
        <v>미작성</v>
      </c>
      <c r="F40" s="55"/>
    </row>
    <row r="41" spans="1:6" ht="30" customHeight="1" x14ac:dyDescent="0.3">
      <c r="A41" s="54" t="s">
        <v>627</v>
      </c>
      <c r="B41" s="55"/>
      <c r="C41" s="55"/>
      <c r="D41" s="55"/>
      <c r="E41" s="55"/>
      <c r="F41" s="55"/>
    </row>
    <row r="42" spans="1:6" ht="33.950000000000003" customHeight="1" x14ac:dyDescent="0.3">
      <c r="A42" s="36" t="s">
        <v>628</v>
      </c>
      <c r="B42" s="64"/>
      <c r="C42" s="55"/>
      <c r="D42" s="54" t="s">
        <v>629</v>
      </c>
      <c r="E42" s="55"/>
      <c r="F42" s="55"/>
    </row>
    <row r="43" spans="1:6" ht="24" customHeight="1" x14ac:dyDescent="0.3">
      <c r="A43" s="36" t="s">
        <v>630</v>
      </c>
      <c r="B43" s="64"/>
      <c r="C43" s="55"/>
      <c r="D43" s="55"/>
      <c r="E43" s="55"/>
      <c r="F43" s="55"/>
    </row>
    <row r="44" spans="1:6" ht="24" customHeight="1" x14ac:dyDescent="0.3">
      <c r="A44" s="36"/>
      <c r="B44" s="55"/>
      <c r="C44" s="55"/>
      <c r="D44" s="55"/>
      <c r="E44" s="55"/>
      <c r="F44" s="55"/>
    </row>
    <row r="45" spans="1:6" ht="24" customHeight="1" x14ac:dyDescent="0.3">
      <c r="A45" s="36"/>
      <c r="B45" s="36"/>
      <c r="C45" s="36"/>
      <c r="D45" s="36"/>
      <c r="E45" s="36"/>
      <c r="F45" s="36"/>
    </row>
    <row r="46" spans="1:6" ht="24" customHeight="1" x14ac:dyDescent="0.3">
      <c r="A46" s="56" t="str">
        <f>"2번  "&amp;IF(LEN(TRIM(여러쌍비교!B7&amp;""))=0,"이름 미입력",여러쌍비교!B7)</f>
        <v>2번  이름 미입력</v>
      </c>
      <c r="B46" s="55"/>
      <c r="C46" s="55"/>
      <c r="D46" s="55"/>
      <c r="E46" s="55"/>
      <c r="F46" s="55"/>
    </row>
    <row r="47" spans="1:6" ht="24" customHeight="1" x14ac:dyDescent="0.3">
      <c r="A47" s="36" t="s">
        <v>609</v>
      </c>
      <c r="B47" s="36"/>
      <c r="C47" s="64"/>
      <c r="D47" s="55"/>
      <c r="E47" s="55"/>
      <c r="F47" s="55"/>
    </row>
    <row r="48" spans="1:6" ht="24" customHeight="1" x14ac:dyDescent="0.3">
      <c r="A48" s="43" t="s">
        <v>56</v>
      </c>
      <c r="B48" s="65" t="s">
        <v>611</v>
      </c>
      <c r="C48" s="55"/>
      <c r="D48" s="65" t="s">
        <v>612</v>
      </c>
      <c r="E48" s="55"/>
      <c r="F48" s="55"/>
    </row>
    <row r="49" spans="1:6" ht="57.95" customHeight="1" x14ac:dyDescent="0.3">
      <c r="A49" s="36" t="s">
        <v>613</v>
      </c>
      <c r="B49" s="54" t="s">
        <v>614</v>
      </c>
      <c r="C49" s="55"/>
      <c r="D49" s="64"/>
      <c r="E49" s="55"/>
      <c r="F49" s="55"/>
    </row>
    <row r="50" spans="1:6" ht="57.95" customHeight="1" x14ac:dyDescent="0.3">
      <c r="A50" s="36" t="s">
        <v>615</v>
      </c>
      <c r="B50" s="54" t="s">
        <v>616</v>
      </c>
      <c r="C50" s="55"/>
      <c r="D50" s="64"/>
      <c r="E50" s="55"/>
      <c r="F50" s="55"/>
    </row>
    <row r="51" spans="1:6" ht="57.95" customHeight="1" x14ac:dyDescent="0.3">
      <c r="A51" s="36" t="s">
        <v>617</v>
      </c>
      <c r="B51" s="54" t="s">
        <v>618</v>
      </c>
      <c r="C51" s="55"/>
      <c r="D51" s="64"/>
      <c r="E51" s="55"/>
      <c r="F51" s="55"/>
    </row>
    <row r="52" spans="1:6" ht="57.95" customHeight="1" x14ac:dyDescent="0.3">
      <c r="A52" s="36" t="s">
        <v>619</v>
      </c>
      <c r="B52" s="54" t="s">
        <v>620</v>
      </c>
      <c r="C52" s="55"/>
      <c r="D52" s="64"/>
      <c r="E52" s="55"/>
      <c r="F52" s="55"/>
    </row>
    <row r="53" spans="1:6" ht="57.95" customHeight="1" x14ac:dyDescent="0.3">
      <c r="A53" s="36" t="s">
        <v>621</v>
      </c>
      <c r="B53" s="54" t="s">
        <v>622</v>
      </c>
      <c r="C53" s="55"/>
      <c r="D53" s="64"/>
      <c r="E53" s="55"/>
      <c r="F53" s="55"/>
    </row>
    <row r="54" spans="1:6" ht="57.95" customHeight="1" x14ac:dyDescent="0.3">
      <c r="A54" s="36" t="s">
        <v>623</v>
      </c>
      <c r="B54" s="54" t="s">
        <v>624</v>
      </c>
      <c r="C54" s="55"/>
      <c r="D54" s="64"/>
      <c r="E54" s="55"/>
      <c r="F54" s="55"/>
    </row>
    <row r="55" spans="1:6" ht="24" customHeight="1" x14ac:dyDescent="0.3">
      <c r="A55" s="54" t="s">
        <v>625</v>
      </c>
      <c r="B55" s="55"/>
      <c r="C55" s="55"/>
      <c r="D55" s="64"/>
      <c r="E55" s="55"/>
      <c r="F55" s="55"/>
    </row>
    <row r="56" spans="1:6" ht="24" customHeight="1" x14ac:dyDescent="0.3">
      <c r="A56" s="36" t="s">
        <v>626</v>
      </c>
      <c r="B56" s="64"/>
      <c r="C56" s="55"/>
      <c r="D56" s="36" t="s">
        <v>607</v>
      </c>
      <c r="E56" s="54" t="str">
        <f>IF(B56="완료",IF(LEN(TRIM(C47&amp;""))=0,"관찰자·일자 미기록",IF(OR(LEN(TRIM(D49&amp;""))+LEN(TRIM(D50&amp;""))+LEN(TRIM(D51&amp;""))+LEN(TRIM(D52&amp;""))+LEN(TRIM(D53&amp;""))+LEN(TRIM(D54&amp;""))&gt;0,AND(OR(B58="주저함 · 거리를 벌림",B58="뚜렷한 치우침 없음",B58="살피지 않고 들이닥침",B58="자극에 따라 다름",B58="판단보류"),LEN(TRIM(B59&amp;""))&gt;0)),"완료","의견·입장 근거 미기록")),IF(OR(B56="작성 중",LEN(TRIM(D49&amp;""))+LEN(TRIM(D50&amp;""))+LEN(TRIM(D51&amp;""))+LEN(TRIM(D52&amp;""))+LEN(TRIM(D53&amp;""))+LEN(TRIM(D54&amp;""))&gt;0,LEN(TRIM(C47&amp;""))&gt;0,LEN(TRIM(B58&amp;""))&gt;0,LEN(TRIM(B59&amp;""))&gt;0),"작성 중","미작성"))</f>
        <v>미작성</v>
      </c>
      <c r="F56" s="55"/>
    </row>
    <row r="57" spans="1:6" ht="30" customHeight="1" x14ac:dyDescent="0.3">
      <c r="A57" s="54" t="s">
        <v>627</v>
      </c>
      <c r="B57" s="55"/>
      <c r="C57" s="55"/>
      <c r="D57" s="55"/>
      <c r="E57" s="55"/>
      <c r="F57" s="55"/>
    </row>
    <row r="58" spans="1:6" ht="33.950000000000003" customHeight="1" x14ac:dyDescent="0.3">
      <c r="A58" s="36" t="s">
        <v>628</v>
      </c>
      <c r="B58" s="64"/>
      <c r="C58" s="55"/>
      <c r="D58" s="54" t="s">
        <v>629</v>
      </c>
      <c r="E58" s="55"/>
      <c r="F58" s="55"/>
    </row>
    <row r="59" spans="1:6" ht="24" customHeight="1" x14ac:dyDescent="0.3">
      <c r="A59" s="36" t="s">
        <v>630</v>
      </c>
      <c r="B59" s="64"/>
      <c r="C59" s="55"/>
      <c r="D59" s="55"/>
      <c r="E59" s="55"/>
      <c r="F59" s="55"/>
    </row>
    <row r="60" spans="1:6" ht="24" customHeight="1" x14ac:dyDescent="0.3">
      <c r="A60" s="36"/>
      <c r="B60" s="55"/>
      <c r="C60" s="55"/>
      <c r="D60" s="55"/>
      <c r="E60" s="55"/>
      <c r="F60" s="55"/>
    </row>
    <row r="61" spans="1:6" ht="24" customHeight="1" x14ac:dyDescent="0.3">
      <c r="A61" s="36"/>
      <c r="B61" s="36"/>
      <c r="C61" s="36"/>
      <c r="D61" s="36"/>
      <c r="E61" s="36"/>
      <c r="F61" s="36"/>
    </row>
    <row r="62" spans="1:6" ht="24" customHeight="1" x14ac:dyDescent="0.3">
      <c r="A62" s="56" t="str">
        <f>"3번  "&amp;IF(LEN(TRIM(여러쌍비교!B8&amp;""))=0,"이름 미입력",여러쌍비교!B8)</f>
        <v>3번  이름 미입력</v>
      </c>
      <c r="B62" s="55"/>
      <c r="C62" s="55"/>
      <c r="D62" s="55"/>
      <c r="E62" s="55"/>
      <c r="F62" s="55"/>
    </row>
    <row r="63" spans="1:6" ht="24" customHeight="1" x14ac:dyDescent="0.3">
      <c r="A63" s="36" t="s">
        <v>609</v>
      </c>
      <c r="B63" s="36"/>
      <c r="C63" s="64"/>
      <c r="D63" s="55"/>
      <c r="E63" s="55"/>
      <c r="F63" s="55"/>
    </row>
    <row r="64" spans="1:6" ht="24" customHeight="1" x14ac:dyDescent="0.3">
      <c r="A64" s="43" t="s">
        <v>56</v>
      </c>
      <c r="B64" s="65" t="s">
        <v>611</v>
      </c>
      <c r="C64" s="55"/>
      <c r="D64" s="65" t="s">
        <v>612</v>
      </c>
      <c r="E64" s="55"/>
      <c r="F64" s="55"/>
    </row>
    <row r="65" spans="1:6" ht="57.95" customHeight="1" x14ac:dyDescent="0.3">
      <c r="A65" s="36" t="s">
        <v>613</v>
      </c>
      <c r="B65" s="54" t="s">
        <v>614</v>
      </c>
      <c r="C65" s="55"/>
      <c r="D65" s="64"/>
      <c r="E65" s="55"/>
      <c r="F65" s="55"/>
    </row>
    <row r="66" spans="1:6" ht="57.95" customHeight="1" x14ac:dyDescent="0.3">
      <c r="A66" s="36" t="s">
        <v>615</v>
      </c>
      <c r="B66" s="54" t="s">
        <v>616</v>
      </c>
      <c r="C66" s="55"/>
      <c r="D66" s="64"/>
      <c r="E66" s="55"/>
      <c r="F66" s="55"/>
    </row>
    <row r="67" spans="1:6" ht="57.95" customHeight="1" x14ac:dyDescent="0.3">
      <c r="A67" s="36" t="s">
        <v>617</v>
      </c>
      <c r="B67" s="54" t="s">
        <v>618</v>
      </c>
      <c r="C67" s="55"/>
      <c r="D67" s="64"/>
      <c r="E67" s="55"/>
      <c r="F67" s="55"/>
    </row>
    <row r="68" spans="1:6" ht="57.95" customHeight="1" x14ac:dyDescent="0.3">
      <c r="A68" s="36" t="s">
        <v>619</v>
      </c>
      <c r="B68" s="54" t="s">
        <v>620</v>
      </c>
      <c r="C68" s="55"/>
      <c r="D68" s="64"/>
      <c r="E68" s="55"/>
      <c r="F68" s="55"/>
    </row>
    <row r="69" spans="1:6" ht="57.95" customHeight="1" x14ac:dyDescent="0.3">
      <c r="A69" s="36" t="s">
        <v>621</v>
      </c>
      <c r="B69" s="54" t="s">
        <v>622</v>
      </c>
      <c r="C69" s="55"/>
      <c r="D69" s="64"/>
      <c r="E69" s="55"/>
      <c r="F69" s="55"/>
    </row>
    <row r="70" spans="1:6" ht="57.95" customHeight="1" x14ac:dyDescent="0.3">
      <c r="A70" s="36" t="s">
        <v>623</v>
      </c>
      <c r="B70" s="54" t="s">
        <v>624</v>
      </c>
      <c r="C70" s="55"/>
      <c r="D70" s="64"/>
      <c r="E70" s="55"/>
      <c r="F70" s="55"/>
    </row>
    <row r="71" spans="1:6" ht="24" customHeight="1" x14ac:dyDescent="0.3">
      <c r="A71" s="54" t="s">
        <v>625</v>
      </c>
      <c r="B71" s="55"/>
      <c r="C71" s="55"/>
      <c r="D71" s="64"/>
      <c r="E71" s="55"/>
      <c r="F71" s="55"/>
    </row>
    <row r="72" spans="1:6" ht="24" customHeight="1" x14ac:dyDescent="0.3">
      <c r="A72" s="36" t="s">
        <v>626</v>
      </c>
      <c r="B72" s="64"/>
      <c r="C72" s="55"/>
      <c r="D72" s="36" t="s">
        <v>607</v>
      </c>
      <c r="E72" s="54" t="str">
        <f>IF(B72="완료",IF(LEN(TRIM(C63&amp;""))=0,"관찰자·일자 미기록",IF(OR(LEN(TRIM(D65&amp;""))+LEN(TRIM(D66&amp;""))+LEN(TRIM(D67&amp;""))+LEN(TRIM(D68&amp;""))+LEN(TRIM(D69&amp;""))+LEN(TRIM(D70&amp;""))&gt;0,AND(OR(B74="주저함 · 거리를 벌림",B74="뚜렷한 치우침 없음",B74="살피지 않고 들이닥침",B74="자극에 따라 다름",B74="판단보류"),LEN(TRIM(B75&amp;""))&gt;0)),"완료","의견·입장 근거 미기록")),IF(OR(B72="작성 중",LEN(TRIM(D65&amp;""))+LEN(TRIM(D66&amp;""))+LEN(TRIM(D67&amp;""))+LEN(TRIM(D68&amp;""))+LEN(TRIM(D69&amp;""))+LEN(TRIM(D70&amp;""))&gt;0,LEN(TRIM(C63&amp;""))&gt;0,LEN(TRIM(B74&amp;""))&gt;0,LEN(TRIM(B75&amp;""))&gt;0),"작성 중","미작성"))</f>
        <v>미작성</v>
      </c>
      <c r="F72" s="55"/>
    </row>
    <row r="73" spans="1:6" ht="30" customHeight="1" x14ac:dyDescent="0.3">
      <c r="A73" s="54" t="s">
        <v>627</v>
      </c>
      <c r="B73" s="55"/>
      <c r="C73" s="55"/>
      <c r="D73" s="55"/>
      <c r="E73" s="55"/>
      <c r="F73" s="55"/>
    </row>
    <row r="74" spans="1:6" ht="33.950000000000003" customHeight="1" x14ac:dyDescent="0.3">
      <c r="A74" s="36" t="s">
        <v>628</v>
      </c>
      <c r="B74" s="64"/>
      <c r="C74" s="55"/>
      <c r="D74" s="54" t="s">
        <v>629</v>
      </c>
      <c r="E74" s="55"/>
      <c r="F74" s="55"/>
    </row>
    <row r="75" spans="1:6" ht="24" customHeight="1" x14ac:dyDescent="0.3">
      <c r="A75" s="36" t="s">
        <v>630</v>
      </c>
      <c r="B75" s="64"/>
      <c r="C75" s="55"/>
      <c r="D75" s="55"/>
      <c r="E75" s="55"/>
      <c r="F75" s="55"/>
    </row>
    <row r="76" spans="1:6" ht="24" customHeight="1" x14ac:dyDescent="0.3">
      <c r="A76" s="36"/>
      <c r="B76" s="55"/>
      <c r="C76" s="55"/>
      <c r="D76" s="55"/>
      <c r="E76" s="55"/>
      <c r="F76" s="55"/>
    </row>
    <row r="77" spans="1:6" ht="24" customHeight="1" x14ac:dyDescent="0.3">
      <c r="A77" s="36"/>
      <c r="B77" s="36"/>
      <c r="C77" s="36"/>
      <c r="D77" s="36"/>
      <c r="E77" s="36"/>
      <c r="F77" s="36"/>
    </row>
    <row r="78" spans="1:6" ht="24" customHeight="1" x14ac:dyDescent="0.3">
      <c r="A78" s="56" t="str">
        <f>"4번  "&amp;IF(LEN(TRIM(여러쌍비교!B9&amp;""))=0,"이름 미입력",여러쌍비교!B9)</f>
        <v>4번  이름 미입력</v>
      </c>
      <c r="B78" s="55"/>
      <c r="C78" s="55"/>
      <c r="D78" s="55"/>
      <c r="E78" s="55"/>
      <c r="F78" s="55"/>
    </row>
    <row r="79" spans="1:6" ht="24" customHeight="1" x14ac:dyDescent="0.3">
      <c r="A79" s="36" t="s">
        <v>609</v>
      </c>
      <c r="B79" s="36"/>
      <c r="C79" s="64"/>
      <c r="D79" s="55"/>
      <c r="E79" s="55"/>
      <c r="F79" s="55"/>
    </row>
    <row r="80" spans="1:6" ht="24" customHeight="1" x14ac:dyDescent="0.3">
      <c r="A80" s="43" t="s">
        <v>56</v>
      </c>
      <c r="B80" s="65" t="s">
        <v>611</v>
      </c>
      <c r="C80" s="55"/>
      <c r="D80" s="65" t="s">
        <v>612</v>
      </c>
      <c r="E80" s="55"/>
      <c r="F80" s="55"/>
    </row>
    <row r="81" spans="1:6" ht="57.95" customHeight="1" x14ac:dyDescent="0.3">
      <c r="A81" s="36" t="s">
        <v>613</v>
      </c>
      <c r="B81" s="54" t="s">
        <v>614</v>
      </c>
      <c r="C81" s="55"/>
      <c r="D81" s="64"/>
      <c r="E81" s="55"/>
      <c r="F81" s="55"/>
    </row>
    <row r="82" spans="1:6" ht="57.95" customHeight="1" x14ac:dyDescent="0.3">
      <c r="A82" s="36" t="s">
        <v>615</v>
      </c>
      <c r="B82" s="54" t="s">
        <v>616</v>
      </c>
      <c r="C82" s="55"/>
      <c r="D82" s="64"/>
      <c r="E82" s="55"/>
      <c r="F82" s="55"/>
    </row>
    <row r="83" spans="1:6" ht="57.95" customHeight="1" x14ac:dyDescent="0.3">
      <c r="A83" s="36" t="s">
        <v>617</v>
      </c>
      <c r="B83" s="54" t="s">
        <v>618</v>
      </c>
      <c r="C83" s="55"/>
      <c r="D83" s="64"/>
      <c r="E83" s="55"/>
      <c r="F83" s="55"/>
    </row>
    <row r="84" spans="1:6" ht="57.95" customHeight="1" x14ac:dyDescent="0.3">
      <c r="A84" s="36" t="s">
        <v>619</v>
      </c>
      <c r="B84" s="54" t="s">
        <v>620</v>
      </c>
      <c r="C84" s="55"/>
      <c r="D84" s="64"/>
      <c r="E84" s="55"/>
      <c r="F84" s="55"/>
    </row>
    <row r="85" spans="1:6" ht="57.95" customHeight="1" x14ac:dyDescent="0.3">
      <c r="A85" s="36" t="s">
        <v>621</v>
      </c>
      <c r="B85" s="54" t="s">
        <v>622</v>
      </c>
      <c r="C85" s="55"/>
      <c r="D85" s="64"/>
      <c r="E85" s="55"/>
      <c r="F85" s="55"/>
    </row>
    <row r="86" spans="1:6" ht="57.95" customHeight="1" x14ac:dyDescent="0.3">
      <c r="A86" s="36" t="s">
        <v>623</v>
      </c>
      <c r="B86" s="54" t="s">
        <v>624</v>
      </c>
      <c r="C86" s="55"/>
      <c r="D86" s="64"/>
      <c r="E86" s="55"/>
      <c r="F86" s="55"/>
    </row>
    <row r="87" spans="1:6" ht="24" customHeight="1" x14ac:dyDescent="0.3">
      <c r="A87" s="54" t="s">
        <v>625</v>
      </c>
      <c r="B87" s="55"/>
      <c r="C87" s="55"/>
      <c r="D87" s="64"/>
      <c r="E87" s="55"/>
      <c r="F87" s="55"/>
    </row>
    <row r="88" spans="1:6" ht="24" customHeight="1" x14ac:dyDescent="0.3">
      <c r="A88" s="36" t="s">
        <v>626</v>
      </c>
      <c r="B88" s="64"/>
      <c r="C88" s="55"/>
      <c r="D88" s="36" t="s">
        <v>607</v>
      </c>
      <c r="E88" s="54" t="str">
        <f>IF(B88="완료",IF(LEN(TRIM(C79&amp;""))=0,"관찰자·일자 미기록",IF(OR(LEN(TRIM(D81&amp;""))+LEN(TRIM(D82&amp;""))+LEN(TRIM(D83&amp;""))+LEN(TRIM(D84&amp;""))+LEN(TRIM(D85&amp;""))+LEN(TRIM(D86&amp;""))&gt;0,AND(OR(B90="주저함 · 거리를 벌림",B90="뚜렷한 치우침 없음",B90="살피지 않고 들이닥침",B90="자극에 따라 다름",B90="판단보류"),LEN(TRIM(B91&amp;""))&gt;0)),"완료","의견·입장 근거 미기록")),IF(OR(B88="작성 중",LEN(TRIM(D81&amp;""))+LEN(TRIM(D82&amp;""))+LEN(TRIM(D83&amp;""))+LEN(TRIM(D84&amp;""))+LEN(TRIM(D85&amp;""))+LEN(TRIM(D86&amp;""))&gt;0,LEN(TRIM(C79&amp;""))&gt;0,LEN(TRIM(B90&amp;""))&gt;0,LEN(TRIM(B91&amp;""))&gt;0),"작성 중","미작성"))</f>
        <v>미작성</v>
      </c>
      <c r="F88" s="55"/>
    </row>
    <row r="89" spans="1:6" ht="30" customHeight="1" x14ac:dyDescent="0.3">
      <c r="A89" s="54" t="s">
        <v>627</v>
      </c>
      <c r="B89" s="55"/>
      <c r="C89" s="55"/>
      <c r="D89" s="55"/>
      <c r="E89" s="55"/>
      <c r="F89" s="55"/>
    </row>
    <row r="90" spans="1:6" ht="33.950000000000003" customHeight="1" x14ac:dyDescent="0.3">
      <c r="A90" s="36" t="s">
        <v>628</v>
      </c>
      <c r="B90" s="64"/>
      <c r="C90" s="55"/>
      <c r="D90" s="54" t="s">
        <v>629</v>
      </c>
      <c r="E90" s="55"/>
      <c r="F90" s="55"/>
    </row>
    <row r="91" spans="1:6" ht="24" customHeight="1" x14ac:dyDescent="0.3">
      <c r="A91" s="36" t="s">
        <v>630</v>
      </c>
      <c r="B91" s="64"/>
      <c r="C91" s="55"/>
      <c r="D91" s="55"/>
      <c r="E91" s="55"/>
      <c r="F91" s="55"/>
    </row>
    <row r="92" spans="1:6" ht="24" customHeight="1" x14ac:dyDescent="0.3">
      <c r="A92" s="36"/>
      <c r="B92" s="55"/>
      <c r="C92" s="55"/>
      <c r="D92" s="55"/>
      <c r="E92" s="55"/>
      <c r="F92" s="55"/>
    </row>
    <row r="93" spans="1:6" ht="24" customHeight="1" x14ac:dyDescent="0.3">
      <c r="A93" s="36"/>
      <c r="B93" s="36"/>
      <c r="C93" s="36"/>
      <c r="D93" s="36"/>
      <c r="E93" s="36"/>
      <c r="F93" s="36"/>
    </row>
    <row r="94" spans="1:6" ht="24" customHeight="1" x14ac:dyDescent="0.3">
      <c r="A94" s="56" t="str">
        <f>"5번  "&amp;IF(LEN(TRIM(여러쌍비교!B10&amp;""))=0,"이름 미입력",여러쌍비교!B10)</f>
        <v>5번  이름 미입력</v>
      </c>
      <c r="B94" s="55"/>
      <c r="C94" s="55"/>
      <c r="D94" s="55"/>
      <c r="E94" s="55"/>
      <c r="F94" s="55"/>
    </row>
    <row r="95" spans="1:6" ht="24" customHeight="1" x14ac:dyDescent="0.3">
      <c r="A95" s="36" t="s">
        <v>609</v>
      </c>
      <c r="B95" s="36"/>
      <c r="C95" s="64"/>
      <c r="D95" s="55"/>
      <c r="E95" s="55"/>
      <c r="F95" s="55"/>
    </row>
    <row r="96" spans="1:6" ht="24" customHeight="1" x14ac:dyDescent="0.3">
      <c r="A96" s="43" t="s">
        <v>56</v>
      </c>
      <c r="B96" s="65" t="s">
        <v>611</v>
      </c>
      <c r="C96" s="55"/>
      <c r="D96" s="65" t="s">
        <v>612</v>
      </c>
      <c r="E96" s="55"/>
      <c r="F96" s="55"/>
    </row>
    <row r="97" spans="1:6" ht="57.95" customHeight="1" x14ac:dyDescent="0.3">
      <c r="A97" s="36" t="s">
        <v>613</v>
      </c>
      <c r="B97" s="54" t="s">
        <v>614</v>
      </c>
      <c r="C97" s="55"/>
      <c r="D97" s="64"/>
      <c r="E97" s="55"/>
      <c r="F97" s="55"/>
    </row>
    <row r="98" spans="1:6" ht="57.95" customHeight="1" x14ac:dyDescent="0.3">
      <c r="A98" s="36" t="s">
        <v>615</v>
      </c>
      <c r="B98" s="54" t="s">
        <v>616</v>
      </c>
      <c r="C98" s="55"/>
      <c r="D98" s="64"/>
      <c r="E98" s="55"/>
      <c r="F98" s="55"/>
    </row>
    <row r="99" spans="1:6" ht="57.95" customHeight="1" x14ac:dyDescent="0.3">
      <c r="A99" s="36" t="s">
        <v>617</v>
      </c>
      <c r="B99" s="54" t="s">
        <v>618</v>
      </c>
      <c r="C99" s="55"/>
      <c r="D99" s="64"/>
      <c r="E99" s="55"/>
      <c r="F99" s="55"/>
    </row>
    <row r="100" spans="1:6" ht="57.95" customHeight="1" x14ac:dyDescent="0.3">
      <c r="A100" s="36" t="s">
        <v>619</v>
      </c>
      <c r="B100" s="54" t="s">
        <v>620</v>
      </c>
      <c r="C100" s="55"/>
      <c r="D100" s="64"/>
      <c r="E100" s="55"/>
      <c r="F100" s="55"/>
    </row>
    <row r="101" spans="1:6" ht="57.95" customHeight="1" x14ac:dyDescent="0.3">
      <c r="A101" s="36" t="s">
        <v>621</v>
      </c>
      <c r="B101" s="54" t="s">
        <v>622</v>
      </c>
      <c r="C101" s="55"/>
      <c r="D101" s="64"/>
      <c r="E101" s="55"/>
      <c r="F101" s="55"/>
    </row>
    <row r="102" spans="1:6" ht="57.95" customHeight="1" x14ac:dyDescent="0.3">
      <c r="A102" s="36" t="s">
        <v>623</v>
      </c>
      <c r="B102" s="54" t="s">
        <v>624</v>
      </c>
      <c r="C102" s="55"/>
      <c r="D102" s="64"/>
      <c r="E102" s="55"/>
      <c r="F102" s="55"/>
    </row>
    <row r="103" spans="1:6" ht="24" customHeight="1" x14ac:dyDescent="0.3">
      <c r="A103" s="54" t="s">
        <v>625</v>
      </c>
      <c r="B103" s="55"/>
      <c r="C103" s="55"/>
      <c r="D103" s="64"/>
      <c r="E103" s="55"/>
      <c r="F103" s="55"/>
    </row>
    <row r="104" spans="1:6" ht="24" customHeight="1" x14ac:dyDescent="0.3">
      <c r="A104" s="36" t="s">
        <v>626</v>
      </c>
      <c r="B104" s="64"/>
      <c r="C104" s="55"/>
      <c r="D104" s="36" t="s">
        <v>607</v>
      </c>
      <c r="E104" s="54" t="str">
        <f>IF(B104="완료",IF(LEN(TRIM(C95&amp;""))=0,"관찰자·일자 미기록",IF(OR(LEN(TRIM(D97&amp;""))+LEN(TRIM(D98&amp;""))+LEN(TRIM(D99&amp;""))+LEN(TRIM(D100&amp;""))+LEN(TRIM(D101&amp;""))+LEN(TRIM(D102&amp;""))&gt;0,AND(OR(B106="주저함 · 거리를 벌림",B106="뚜렷한 치우침 없음",B106="살피지 않고 들이닥침",B106="자극에 따라 다름",B106="판단보류"),LEN(TRIM(B107&amp;""))&gt;0)),"완료","의견·입장 근거 미기록")),IF(OR(B104="작성 중",LEN(TRIM(D97&amp;""))+LEN(TRIM(D98&amp;""))+LEN(TRIM(D99&amp;""))+LEN(TRIM(D100&amp;""))+LEN(TRIM(D101&amp;""))+LEN(TRIM(D102&amp;""))&gt;0,LEN(TRIM(C95&amp;""))&gt;0,LEN(TRIM(B106&amp;""))&gt;0,LEN(TRIM(B107&amp;""))&gt;0),"작성 중","미작성"))</f>
        <v>미작성</v>
      </c>
      <c r="F104" s="55"/>
    </row>
    <row r="105" spans="1:6" ht="30" customHeight="1" x14ac:dyDescent="0.3">
      <c r="A105" s="54" t="s">
        <v>627</v>
      </c>
      <c r="B105" s="55"/>
      <c r="C105" s="55"/>
      <c r="D105" s="55"/>
      <c r="E105" s="55"/>
      <c r="F105" s="55"/>
    </row>
    <row r="106" spans="1:6" ht="33.950000000000003" customHeight="1" x14ac:dyDescent="0.3">
      <c r="A106" s="36" t="s">
        <v>628</v>
      </c>
      <c r="B106" s="64"/>
      <c r="C106" s="55"/>
      <c r="D106" s="54" t="s">
        <v>629</v>
      </c>
      <c r="E106" s="55"/>
      <c r="F106" s="55"/>
    </row>
    <row r="107" spans="1:6" ht="24" customHeight="1" x14ac:dyDescent="0.3">
      <c r="A107" s="36" t="s">
        <v>630</v>
      </c>
      <c r="B107" s="64"/>
      <c r="C107" s="55"/>
      <c r="D107" s="55"/>
      <c r="E107" s="55"/>
      <c r="F107" s="55"/>
    </row>
    <row r="108" spans="1:6" ht="24" customHeight="1" x14ac:dyDescent="0.3">
      <c r="A108" s="36"/>
      <c r="B108" s="55"/>
      <c r="C108" s="55"/>
      <c r="D108" s="55"/>
      <c r="E108" s="55"/>
      <c r="F108" s="55"/>
    </row>
    <row r="109" spans="1:6" ht="24" customHeight="1" x14ac:dyDescent="0.3">
      <c r="A109" s="36"/>
      <c r="B109" s="36"/>
      <c r="C109" s="36"/>
      <c r="D109" s="36"/>
      <c r="E109" s="36"/>
      <c r="F109" s="36"/>
    </row>
    <row r="110" spans="1:6" ht="24" customHeight="1" x14ac:dyDescent="0.3">
      <c r="A110" s="56" t="str">
        <f>"6번  "&amp;IF(LEN(TRIM(여러쌍비교!B11&amp;""))=0,"이름 미입력",여러쌍비교!B11)</f>
        <v>6번  이름 미입력</v>
      </c>
      <c r="B110" s="55"/>
      <c r="C110" s="55"/>
      <c r="D110" s="55"/>
      <c r="E110" s="55"/>
      <c r="F110" s="55"/>
    </row>
    <row r="111" spans="1:6" ht="24" customHeight="1" x14ac:dyDescent="0.3">
      <c r="A111" s="36" t="s">
        <v>609</v>
      </c>
      <c r="B111" s="36"/>
      <c r="C111" s="64"/>
      <c r="D111" s="55"/>
      <c r="E111" s="55"/>
      <c r="F111" s="55"/>
    </row>
    <row r="112" spans="1:6" ht="24" customHeight="1" x14ac:dyDescent="0.3">
      <c r="A112" s="43" t="s">
        <v>56</v>
      </c>
      <c r="B112" s="65" t="s">
        <v>611</v>
      </c>
      <c r="C112" s="55"/>
      <c r="D112" s="65" t="s">
        <v>612</v>
      </c>
      <c r="E112" s="55"/>
      <c r="F112" s="55"/>
    </row>
    <row r="113" spans="1:6" ht="57.95" customHeight="1" x14ac:dyDescent="0.3">
      <c r="A113" s="36" t="s">
        <v>613</v>
      </c>
      <c r="B113" s="54" t="s">
        <v>614</v>
      </c>
      <c r="C113" s="55"/>
      <c r="D113" s="64"/>
      <c r="E113" s="55"/>
      <c r="F113" s="55"/>
    </row>
    <row r="114" spans="1:6" ht="57.95" customHeight="1" x14ac:dyDescent="0.3">
      <c r="A114" s="36" t="s">
        <v>615</v>
      </c>
      <c r="B114" s="54" t="s">
        <v>616</v>
      </c>
      <c r="C114" s="55"/>
      <c r="D114" s="64"/>
      <c r="E114" s="55"/>
      <c r="F114" s="55"/>
    </row>
    <row r="115" spans="1:6" ht="57.95" customHeight="1" x14ac:dyDescent="0.3">
      <c r="A115" s="36" t="s">
        <v>617</v>
      </c>
      <c r="B115" s="54" t="s">
        <v>618</v>
      </c>
      <c r="C115" s="55"/>
      <c r="D115" s="64"/>
      <c r="E115" s="55"/>
      <c r="F115" s="55"/>
    </row>
    <row r="116" spans="1:6" ht="57.95" customHeight="1" x14ac:dyDescent="0.3">
      <c r="A116" s="36" t="s">
        <v>619</v>
      </c>
      <c r="B116" s="54" t="s">
        <v>620</v>
      </c>
      <c r="C116" s="55"/>
      <c r="D116" s="64"/>
      <c r="E116" s="55"/>
      <c r="F116" s="55"/>
    </row>
    <row r="117" spans="1:6" ht="57.95" customHeight="1" x14ac:dyDescent="0.3">
      <c r="A117" s="36" t="s">
        <v>621</v>
      </c>
      <c r="B117" s="54" t="s">
        <v>622</v>
      </c>
      <c r="C117" s="55"/>
      <c r="D117" s="64"/>
      <c r="E117" s="55"/>
      <c r="F117" s="55"/>
    </row>
    <row r="118" spans="1:6" ht="57.95" customHeight="1" x14ac:dyDescent="0.3">
      <c r="A118" s="36" t="s">
        <v>623</v>
      </c>
      <c r="B118" s="54" t="s">
        <v>624</v>
      </c>
      <c r="C118" s="55"/>
      <c r="D118" s="64"/>
      <c r="E118" s="55"/>
      <c r="F118" s="55"/>
    </row>
    <row r="119" spans="1:6" ht="24" customHeight="1" x14ac:dyDescent="0.3">
      <c r="A119" s="54" t="s">
        <v>625</v>
      </c>
      <c r="B119" s="55"/>
      <c r="C119" s="55"/>
      <c r="D119" s="64"/>
      <c r="E119" s="55"/>
      <c r="F119" s="55"/>
    </row>
    <row r="120" spans="1:6" ht="24" customHeight="1" x14ac:dyDescent="0.3">
      <c r="A120" s="36" t="s">
        <v>626</v>
      </c>
      <c r="B120" s="64"/>
      <c r="C120" s="55"/>
      <c r="D120" s="36" t="s">
        <v>607</v>
      </c>
      <c r="E120" s="54" t="str">
        <f>IF(B120="완료",IF(LEN(TRIM(C111&amp;""))=0,"관찰자·일자 미기록",IF(OR(LEN(TRIM(D113&amp;""))+LEN(TRIM(D114&amp;""))+LEN(TRIM(D115&amp;""))+LEN(TRIM(D116&amp;""))+LEN(TRIM(D117&amp;""))+LEN(TRIM(D118&amp;""))&gt;0,AND(OR(B122="주저함 · 거리를 벌림",B122="뚜렷한 치우침 없음",B122="살피지 않고 들이닥침",B122="자극에 따라 다름",B122="판단보류"),LEN(TRIM(B123&amp;""))&gt;0)),"완료","의견·입장 근거 미기록")),IF(OR(B120="작성 중",LEN(TRIM(D113&amp;""))+LEN(TRIM(D114&amp;""))+LEN(TRIM(D115&amp;""))+LEN(TRIM(D116&amp;""))+LEN(TRIM(D117&amp;""))+LEN(TRIM(D118&amp;""))&gt;0,LEN(TRIM(C111&amp;""))&gt;0,LEN(TRIM(B122&amp;""))&gt;0,LEN(TRIM(B123&amp;""))&gt;0),"작성 중","미작성"))</f>
        <v>미작성</v>
      </c>
      <c r="F120" s="55"/>
    </row>
    <row r="121" spans="1:6" ht="30" customHeight="1" x14ac:dyDescent="0.3">
      <c r="A121" s="54" t="s">
        <v>627</v>
      </c>
      <c r="B121" s="55"/>
      <c r="C121" s="55"/>
      <c r="D121" s="55"/>
      <c r="E121" s="55"/>
      <c r="F121" s="55"/>
    </row>
    <row r="122" spans="1:6" ht="33.950000000000003" customHeight="1" x14ac:dyDescent="0.3">
      <c r="A122" s="36" t="s">
        <v>628</v>
      </c>
      <c r="B122" s="64"/>
      <c r="C122" s="55"/>
      <c r="D122" s="54" t="s">
        <v>629</v>
      </c>
      <c r="E122" s="55"/>
      <c r="F122" s="55"/>
    </row>
    <row r="123" spans="1:6" ht="24" customHeight="1" x14ac:dyDescent="0.3">
      <c r="A123" s="36" t="s">
        <v>630</v>
      </c>
      <c r="B123" s="64"/>
      <c r="C123" s="55"/>
      <c r="D123" s="55"/>
      <c r="E123" s="55"/>
      <c r="F123" s="55"/>
    </row>
    <row r="124" spans="1:6" ht="24" customHeight="1" x14ac:dyDescent="0.3">
      <c r="A124" s="36"/>
      <c r="B124" s="55"/>
      <c r="C124" s="55"/>
      <c r="D124" s="55"/>
      <c r="E124" s="55"/>
      <c r="F124" s="55"/>
    </row>
    <row r="125" spans="1:6" ht="24" customHeight="1" x14ac:dyDescent="0.3">
      <c r="A125" s="36"/>
      <c r="B125" s="36"/>
      <c r="C125" s="36"/>
      <c r="D125" s="36"/>
      <c r="E125" s="36"/>
      <c r="F125" s="36"/>
    </row>
    <row r="126" spans="1:6" ht="24" customHeight="1" x14ac:dyDescent="0.3">
      <c r="A126" s="56" t="str">
        <f>"7번  "&amp;IF(LEN(TRIM(여러쌍비교!B12&amp;""))=0,"이름 미입력",여러쌍비교!B12)</f>
        <v>7번  이름 미입력</v>
      </c>
      <c r="B126" s="55"/>
      <c r="C126" s="55"/>
      <c r="D126" s="55"/>
      <c r="E126" s="55"/>
      <c r="F126" s="55"/>
    </row>
    <row r="127" spans="1:6" ht="24" customHeight="1" x14ac:dyDescent="0.3">
      <c r="A127" s="36" t="s">
        <v>609</v>
      </c>
      <c r="B127" s="36"/>
      <c r="C127" s="64"/>
      <c r="D127" s="55"/>
      <c r="E127" s="55"/>
      <c r="F127" s="55"/>
    </row>
    <row r="128" spans="1:6" ht="24" customHeight="1" x14ac:dyDescent="0.3">
      <c r="A128" s="43" t="s">
        <v>56</v>
      </c>
      <c r="B128" s="65" t="s">
        <v>611</v>
      </c>
      <c r="C128" s="55"/>
      <c r="D128" s="65" t="s">
        <v>612</v>
      </c>
      <c r="E128" s="55"/>
      <c r="F128" s="55"/>
    </row>
    <row r="129" spans="1:6" ht="57.95" customHeight="1" x14ac:dyDescent="0.3">
      <c r="A129" s="36" t="s">
        <v>613</v>
      </c>
      <c r="B129" s="54" t="s">
        <v>614</v>
      </c>
      <c r="C129" s="55"/>
      <c r="D129" s="64"/>
      <c r="E129" s="55"/>
      <c r="F129" s="55"/>
    </row>
    <row r="130" spans="1:6" ht="57.95" customHeight="1" x14ac:dyDescent="0.3">
      <c r="A130" s="36" t="s">
        <v>615</v>
      </c>
      <c r="B130" s="54" t="s">
        <v>616</v>
      </c>
      <c r="C130" s="55"/>
      <c r="D130" s="64"/>
      <c r="E130" s="55"/>
      <c r="F130" s="55"/>
    </row>
    <row r="131" spans="1:6" ht="57.95" customHeight="1" x14ac:dyDescent="0.3">
      <c r="A131" s="36" t="s">
        <v>617</v>
      </c>
      <c r="B131" s="54" t="s">
        <v>618</v>
      </c>
      <c r="C131" s="55"/>
      <c r="D131" s="64"/>
      <c r="E131" s="55"/>
      <c r="F131" s="55"/>
    </row>
    <row r="132" spans="1:6" ht="57.95" customHeight="1" x14ac:dyDescent="0.3">
      <c r="A132" s="36" t="s">
        <v>619</v>
      </c>
      <c r="B132" s="54" t="s">
        <v>620</v>
      </c>
      <c r="C132" s="55"/>
      <c r="D132" s="64"/>
      <c r="E132" s="55"/>
      <c r="F132" s="55"/>
    </row>
    <row r="133" spans="1:6" ht="57.95" customHeight="1" x14ac:dyDescent="0.3">
      <c r="A133" s="36" t="s">
        <v>621</v>
      </c>
      <c r="B133" s="54" t="s">
        <v>622</v>
      </c>
      <c r="C133" s="55"/>
      <c r="D133" s="64"/>
      <c r="E133" s="55"/>
      <c r="F133" s="55"/>
    </row>
    <row r="134" spans="1:6" ht="57.95" customHeight="1" x14ac:dyDescent="0.3">
      <c r="A134" s="36" t="s">
        <v>623</v>
      </c>
      <c r="B134" s="54" t="s">
        <v>624</v>
      </c>
      <c r="C134" s="55"/>
      <c r="D134" s="64"/>
      <c r="E134" s="55"/>
      <c r="F134" s="55"/>
    </row>
    <row r="135" spans="1:6" ht="24" customHeight="1" x14ac:dyDescent="0.3">
      <c r="A135" s="54" t="s">
        <v>625</v>
      </c>
      <c r="B135" s="55"/>
      <c r="C135" s="55"/>
      <c r="D135" s="64"/>
      <c r="E135" s="55"/>
      <c r="F135" s="55"/>
    </row>
    <row r="136" spans="1:6" ht="24" customHeight="1" x14ac:dyDescent="0.3">
      <c r="A136" s="36" t="s">
        <v>626</v>
      </c>
      <c r="B136" s="64"/>
      <c r="C136" s="55"/>
      <c r="D136" s="36" t="s">
        <v>607</v>
      </c>
      <c r="E136" s="54" t="str">
        <f>IF(B136="완료",IF(LEN(TRIM(C127&amp;""))=0,"관찰자·일자 미기록",IF(OR(LEN(TRIM(D129&amp;""))+LEN(TRIM(D130&amp;""))+LEN(TRIM(D131&amp;""))+LEN(TRIM(D132&amp;""))+LEN(TRIM(D133&amp;""))+LEN(TRIM(D134&amp;""))&gt;0,AND(OR(B138="주저함 · 거리를 벌림",B138="뚜렷한 치우침 없음",B138="살피지 않고 들이닥침",B138="자극에 따라 다름",B138="판단보류"),LEN(TRIM(B139&amp;""))&gt;0)),"완료","의견·입장 근거 미기록")),IF(OR(B136="작성 중",LEN(TRIM(D129&amp;""))+LEN(TRIM(D130&amp;""))+LEN(TRIM(D131&amp;""))+LEN(TRIM(D132&amp;""))+LEN(TRIM(D133&amp;""))+LEN(TRIM(D134&amp;""))&gt;0,LEN(TRIM(C127&amp;""))&gt;0,LEN(TRIM(B138&amp;""))&gt;0,LEN(TRIM(B139&amp;""))&gt;0),"작성 중","미작성"))</f>
        <v>미작성</v>
      </c>
      <c r="F136" s="55"/>
    </row>
    <row r="137" spans="1:6" ht="30" customHeight="1" x14ac:dyDescent="0.3">
      <c r="A137" s="54" t="s">
        <v>627</v>
      </c>
      <c r="B137" s="55"/>
      <c r="C137" s="55"/>
      <c r="D137" s="55"/>
      <c r="E137" s="55"/>
      <c r="F137" s="55"/>
    </row>
    <row r="138" spans="1:6" ht="33.950000000000003" customHeight="1" x14ac:dyDescent="0.3">
      <c r="A138" s="36" t="s">
        <v>628</v>
      </c>
      <c r="B138" s="64"/>
      <c r="C138" s="55"/>
      <c r="D138" s="54" t="s">
        <v>629</v>
      </c>
      <c r="E138" s="55"/>
      <c r="F138" s="55"/>
    </row>
    <row r="139" spans="1:6" ht="24" customHeight="1" x14ac:dyDescent="0.3">
      <c r="A139" s="36" t="s">
        <v>630</v>
      </c>
      <c r="B139" s="64"/>
      <c r="C139" s="55"/>
      <c r="D139" s="55"/>
      <c r="E139" s="55"/>
      <c r="F139" s="55"/>
    </row>
    <row r="140" spans="1:6" ht="24" customHeight="1" x14ac:dyDescent="0.3">
      <c r="A140" s="36"/>
      <c r="B140" s="55"/>
      <c r="C140" s="55"/>
      <c r="D140" s="55"/>
      <c r="E140" s="55"/>
      <c r="F140" s="55"/>
    </row>
    <row r="141" spans="1:6" ht="24" customHeight="1" x14ac:dyDescent="0.3">
      <c r="A141" s="36"/>
      <c r="B141" s="36"/>
      <c r="C141" s="36"/>
      <c r="D141" s="36"/>
      <c r="E141" s="36"/>
      <c r="F141" s="36"/>
    </row>
    <row r="142" spans="1:6" ht="24" customHeight="1" x14ac:dyDescent="0.3">
      <c r="A142" s="56" t="str">
        <f>"8번  "&amp;IF(LEN(TRIM(여러쌍비교!B13&amp;""))=0,"이름 미입력",여러쌍비교!B13)</f>
        <v>8번  이름 미입력</v>
      </c>
      <c r="B142" s="55"/>
      <c r="C142" s="55"/>
      <c r="D142" s="55"/>
      <c r="E142" s="55"/>
      <c r="F142" s="55"/>
    </row>
    <row r="143" spans="1:6" ht="24" customHeight="1" x14ac:dyDescent="0.3">
      <c r="A143" s="36" t="s">
        <v>609</v>
      </c>
      <c r="B143" s="36"/>
      <c r="C143" s="64"/>
      <c r="D143" s="55"/>
      <c r="E143" s="55"/>
      <c r="F143" s="55"/>
    </row>
    <row r="144" spans="1:6" ht="24" customHeight="1" x14ac:dyDescent="0.3">
      <c r="A144" s="43" t="s">
        <v>56</v>
      </c>
      <c r="B144" s="65" t="s">
        <v>611</v>
      </c>
      <c r="C144" s="55"/>
      <c r="D144" s="65" t="s">
        <v>612</v>
      </c>
      <c r="E144" s="55"/>
      <c r="F144" s="55"/>
    </row>
    <row r="145" spans="1:6" ht="57.95" customHeight="1" x14ac:dyDescent="0.3">
      <c r="A145" s="36" t="s">
        <v>613</v>
      </c>
      <c r="B145" s="54" t="s">
        <v>614</v>
      </c>
      <c r="C145" s="55"/>
      <c r="D145" s="64"/>
      <c r="E145" s="55"/>
      <c r="F145" s="55"/>
    </row>
    <row r="146" spans="1:6" ht="57.95" customHeight="1" x14ac:dyDescent="0.3">
      <c r="A146" s="36" t="s">
        <v>615</v>
      </c>
      <c r="B146" s="54" t="s">
        <v>616</v>
      </c>
      <c r="C146" s="55"/>
      <c r="D146" s="64"/>
      <c r="E146" s="55"/>
      <c r="F146" s="55"/>
    </row>
    <row r="147" spans="1:6" ht="57.95" customHeight="1" x14ac:dyDescent="0.3">
      <c r="A147" s="36" t="s">
        <v>617</v>
      </c>
      <c r="B147" s="54" t="s">
        <v>618</v>
      </c>
      <c r="C147" s="55"/>
      <c r="D147" s="64"/>
      <c r="E147" s="55"/>
      <c r="F147" s="55"/>
    </row>
    <row r="148" spans="1:6" ht="57.95" customHeight="1" x14ac:dyDescent="0.3">
      <c r="A148" s="36" t="s">
        <v>619</v>
      </c>
      <c r="B148" s="54" t="s">
        <v>620</v>
      </c>
      <c r="C148" s="55"/>
      <c r="D148" s="64"/>
      <c r="E148" s="55"/>
      <c r="F148" s="55"/>
    </row>
    <row r="149" spans="1:6" ht="57.95" customHeight="1" x14ac:dyDescent="0.3">
      <c r="A149" s="36" t="s">
        <v>621</v>
      </c>
      <c r="B149" s="54" t="s">
        <v>622</v>
      </c>
      <c r="C149" s="55"/>
      <c r="D149" s="64"/>
      <c r="E149" s="55"/>
      <c r="F149" s="55"/>
    </row>
    <row r="150" spans="1:6" ht="57.95" customHeight="1" x14ac:dyDescent="0.3">
      <c r="A150" s="36" t="s">
        <v>623</v>
      </c>
      <c r="B150" s="54" t="s">
        <v>624</v>
      </c>
      <c r="C150" s="55"/>
      <c r="D150" s="64"/>
      <c r="E150" s="55"/>
      <c r="F150" s="55"/>
    </row>
    <row r="151" spans="1:6" ht="24" customHeight="1" x14ac:dyDescent="0.3">
      <c r="A151" s="54" t="s">
        <v>625</v>
      </c>
      <c r="B151" s="55"/>
      <c r="C151" s="55"/>
      <c r="D151" s="64"/>
      <c r="E151" s="55"/>
      <c r="F151" s="55"/>
    </row>
    <row r="152" spans="1:6" ht="24" customHeight="1" x14ac:dyDescent="0.3">
      <c r="A152" s="36" t="s">
        <v>626</v>
      </c>
      <c r="B152" s="64"/>
      <c r="C152" s="55"/>
      <c r="D152" s="36" t="s">
        <v>607</v>
      </c>
      <c r="E152" s="54" t="str">
        <f>IF(B152="완료",IF(LEN(TRIM(C143&amp;""))=0,"관찰자·일자 미기록",IF(OR(LEN(TRIM(D145&amp;""))+LEN(TRIM(D146&amp;""))+LEN(TRIM(D147&amp;""))+LEN(TRIM(D148&amp;""))+LEN(TRIM(D149&amp;""))+LEN(TRIM(D150&amp;""))&gt;0,AND(OR(B154="주저함 · 거리를 벌림",B154="뚜렷한 치우침 없음",B154="살피지 않고 들이닥침",B154="자극에 따라 다름",B154="판단보류"),LEN(TRIM(B155&amp;""))&gt;0)),"완료","의견·입장 근거 미기록")),IF(OR(B152="작성 중",LEN(TRIM(D145&amp;""))+LEN(TRIM(D146&amp;""))+LEN(TRIM(D147&amp;""))+LEN(TRIM(D148&amp;""))+LEN(TRIM(D149&amp;""))+LEN(TRIM(D150&amp;""))&gt;0,LEN(TRIM(C143&amp;""))&gt;0,LEN(TRIM(B154&amp;""))&gt;0,LEN(TRIM(B155&amp;""))&gt;0),"작성 중","미작성"))</f>
        <v>미작성</v>
      </c>
      <c r="F152" s="55"/>
    </row>
    <row r="153" spans="1:6" ht="30" customHeight="1" x14ac:dyDescent="0.3">
      <c r="A153" s="54" t="s">
        <v>627</v>
      </c>
      <c r="B153" s="55"/>
      <c r="C153" s="55"/>
      <c r="D153" s="55"/>
      <c r="E153" s="55"/>
      <c r="F153" s="55"/>
    </row>
    <row r="154" spans="1:6" ht="33.950000000000003" customHeight="1" x14ac:dyDescent="0.3">
      <c r="A154" s="36" t="s">
        <v>628</v>
      </c>
      <c r="B154" s="64"/>
      <c r="C154" s="55"/>
      <c r="D154" s="54" t="s">
        <v>629</v>
      </c>
      <c r="E154" s="55"/>
      <c r="F154" s="55"/>
    </row>
    <row r="155" spans="1:6" ht="24" customHeight="1" x14ac:dyDescent="0.3">
      <c r="A155" s="36" t="s">
        <v>630</v>
      </c>
      <c r="B155" s="64"/>
      <c r="C155" s="55"/>
      <c r="D155" s="55"/>
      <c r="E155" s="55"/>
      <c r="F155" s="55"/>
    </row>
    <row r="156" spans="1:6" ht="24" customHeight="1" x14ac:dyDescent="0.3">
      <c r="A156" s="36"/>
      <c r="B156" s="55"/>
      <c r="C156" s="55"/>
      <c r="D156" s="55"/>
      <c r="E156" s="55"/>
      <c r="F156" s="55"/>
    </row>
    <row r="157" spans="1:6" ht="24" customHeight="1" x14ac:dyDescent="0.3">
      <c r="A157" s="36"/>
      <c r="B157" s="36"/>
      <c r="C157" s="36"/>
      <c r="D157" s="36"/>
      <c r="E157" s="36"/>
      <c r="F157" s="36"/>
    </row>
    <row r="158" spans="1:6" ht="24" customHeight="1" x14ac:dyDescent="0.3">
      <c r="A158" s="56" t="str">
        <f>"9번  "&amp;IF(LEN(TRIM(여러쌍비교!B14&amp;""))=0,"이름 미입력",여러쌍비교!B14)</f>
        <v>9번  이름 미입력</v>
      </c>
      <c r="B158" s="55"/>
      <c r="C158" s="55"/>
      <c r="D158" s="55"/>
      <c r="E158" s="55"/>
      <c r="F158" s="55"/>
    </row>
    <row r="159" spans="1:6" ht="24" customHeight="1" x14ac:dyDescent="0.3">
      <c r="A159" s="36" t="s">
        <v>609</v>
      </c>
      <c r="B159" s="36"/>
      <c r="C159" s="64"/>
      <c r="D159" s="55"/>
      <c r="E159" s="55"/>
      <c r="F159" s="55"/>
    </row>
    <row r="160" spans="1:6" ht="24" customHeight="1" x14ac:dyDescent="0.3">
      <c r="A160" s="43" t="s">
        <v>56</v>
      </c>
      <c r="B160" s="65" t="s">
        <v>611</v>
      </c>
      <c r="C160" s="55"/>
      <c r="D160" s="65" t="s">
        <v>612</v>
      </c>
      <c r="E160" s="55"/>
      <c r="F160" s="55"/>
    </row>
    <row r="161" spans="1:6" ht="57.95" customHeight="1" x14ac:dyDescent="0.3">
      <c r="A161" s="36" t="s">
        <v>613</v>
      </c>
      <c r="B161" s="54" t="s">
        <v>614</v>
      </c>
      <c r="C161" s="55"/>
      <c r="D161" s="64"/>
      <c r="E161" s="55"/>
      <c r="F161" s="55"/>
    </row>
    <row r="162" spans="1:6" ht="57.95" customHeight="1" x14ac:dyDescent="0.3">
      <c r="A162" s="36" t="s">
        <v>615</v>
      </c>
      <c r="B162" s="54" t="s">
        <v>616</v>
      </c>
      <c r="C162" s="55"/>
      <c r="D162" s="64"/>
      <c r="E162" s="55"/>
      <c r="F162" s="55"/>
    </row>
    <row r="163" spans="1:6" ht="57.95" customHeight="1" x14ac:dyDescent="0.3">
      <c r="A163" s="36" t="s">
        <v>617</v>
      </c>
      <c r="B163" s="54" t="s">
        <v>618</v>
      </c>
      <c r="C163" s="55"/>
      <c r="D163" s="64"/>
      <c r="E163" s="55"/>
      <c r="F163" s="55"/>
    </row>
    <row r="164" spans="1:6" ht="57.95" customHeight="1" x14ac:dyDescent="0.3">
      <c r="A164" s="36" t="s">
        <v>619</v>
      </c>
      <c r="B164" s="54" t="s">
        <v>620</v>
      </c>
      <c r="C164" s="55"/>
      <c r="D164" s="64"/>
      <c r="E164" s="55"/>
      <c r="F164" s="55"/>
    </row>
    <row r="165" spans="1:6" ht="57.95" customHeight="1" x14ac:dyDescent="0.3">
      <c r="A165" s="36" t="s">
        <v>621</v>
      </c>
      <c r="B165" s="54" t="s">
        <v>622</v>
      </c>
      <c r="C165" s="55"/>
      <c r="D165" s="64"/>
      <c r="E165" s="55"/>
      <c r="F165" s="55"/>
    </row>
    <row r="166" spans="1:6" ht="57.95" customHeight="1" x14ac:dyDescent="0.3">
      <c r="A166" s="36" t="s">
        <v>623</v>
      </c>
      <c r="B166" s="54" t="s">
        <v>624</v>
      </c>
      <c r="C166" s="55"/>
      <c r="D166" s="64"/>
      <c r="E166" s="55"/>
      <c r="F166" s="55"/>
    </row>
    <row r="167" spans="1:6" ht="24" customHeight="1" x14ac:dyDescent="0.3">
      <c r="A167" s="54" t="s">
        <v>625</v>
      </c>
      <c r="B167" s="55"/>
      <c r="C167" s="55"/>
      <c r="D167" s="64"/>
      <c r="E167" s="55"/>
      <c r="F167" s="55"/>
    </row>
    <row r="168" spans="1:6" ht="24" customHeight="1" x14ac:dyDescent="0.3">
      <c r="A168" s="36" t="s">
        <v>626</v>
      </c>
      <c r="B168" s="64"/>
      <c r="C168" s="55"/>
      <c r="D168" s="36" t="s">
        <v>607</v>
      </c>
      <c r="E168" s="54" t="str">
        <f>IF(B168="완료",IF(LEN(TRIM(C159&amp;""))=0,"관찰자·일자 미기록",IF(OR(LEN(TRIM(D161&amp;""))+LEN(TRIM(D162&amp;""))+LEN(TRIM(D163&amp;""))+LEN(TRIM(D164&amp;""))+LEN(TRIM(D165&amp;""))+LEN(TRIM(D166&amp;""))&gt;0,AND(OR(B170="주저함 · 거리를 벌림",B170="뚜렷한 치우침 없음",B170="살피지 않고 들이닥침",B170="자극에 따라 다름",B170="판단보류"),LEN(TRIM(B171&amp;""))&gt;0)),"완료","의견·입장 근거 미기록")),IF(OR(B168="작성 중",LEN(TRIM(D161&amp;""))+LEN(TRIM(D162&amp;""))+LEN(TRIM(D163&amp;""))+LEN(TRIM(D164&amp;""))+LEN(TRIM(D165&amp;""))+LEN(TRIM(D166&amp;""))&gt;0,LEN(TRIM(C159&amp;""))&gt;0,LEN(TRIM(B170&amp;""))&gt;0,LEN(TRIM(B171&amp;""))&gt;0),"작성 중","미작성"))</f>
        <v>미작성</v>
      </c>
      <c r="F168" s="55"/>
    </row>
    <row r="169" spans="1:6" ht="30" customHeight="1" x14ac:dyDescent="0.3">
      <c r="A169" s="54" t="s">
        <v>627</v>
      </c>
      <c r="B169" s="55"/>
      <c r="C169" s="55"/>
      <c r="D169" s="55"/>
      <c r="E169" s="55"/>
      <c r="F169" s="55"/>
    </row>
    <row r="170" spans="1:6" ht="33.950000000000003" customHeight="1" x14ac:dyDescent="0.3">
      <c r="A170" s="36" t="s">
        <v>628</v>
      </c>
      <c r="B170" s="64"/>
      <c r="C170" s="55"/>
      <c r="D170" s="54" t="s">
        <v>629</v>
      </c>
      <c r="E170" s="55"/>
      <c r="F170" s="55"/>
    </row>
    <row r="171" spans="1:6" ht="24" customHeight="1" x14ac:dyDescent="0.3">
      <c r="A171" s="36" t="s">
        <v>630</v>
      </c>
      <c r="B171" s="64"/>
      <c r="C171" s="55"/>
      <c r="D171" s="55"/>
      <c r="E171" s="55"/>
      <c r="F171" s="55"/>
    </row>
    <row r="172" spans="1:6" ht="24" customHeight="1" x14ac:dyDescent="0.3">
      <c r="A172" s="36"/>
      <c r="B172" s="55"/>
      <c r="C172" s="55"/>
      <c r="D172" s="55"/>
      <c r="E172" s="55"/>
      <c r="F172" s="55"/>
    </row>
    <row r="173" spans="1:6" ht="24" customHeight="1" x14ac:dyDescent="0.3">
      <c r="A173" s="36"/>
      <c r="B173" s="36"/>
      <c r="C173" s="36"/>
      <c r="D173" s="36"/>
      <c r="E173" s="36"/>
      <c r="F173" s="36"/>
    </row>
    <row r="174" spans="1:6" ht="24" customHeight="1" x14ac:dyDescent="0.3">
      <c r="A174" s="56" t="str">
        <f>"10번  "&amp;IF(LEN(TRIM(여러쌍비교!B15&amp;""))=0,"이름 미입력",여러쌍비교!B15)</f>
        <v>10번  이름 미입력</v>
      </c>
      <c r="B174" s="55"/>
      <c r="C174" s="55"/>
      <c r="D174" s="55"/>
      <c r="E174" s="55"/>
      <c r="F174" s="55"/>
    </row>
    <row r="175" spans="1:6" ht="24" customHeight="1" x14ac:dyDescent="0.3">
      <c r="A175" s="36" t="s">
        <v>609</v>
      </c>
      <c r="B175" s="36"/>
      <c r="C175" s="64"/>
      <c r="D175" s="55"/>
      <c r="E175" s="55"/>
      <c r="F175" s="55"/>
    </row>
    <row r="176" spans="1:6" ht="24" customHeight="1" x14ac:dyDescent="0.3">
      <c r="A176" s="43" t="s">
        <v>56</v>
      </c>
      <c r="B176" s="65" t="s">
        <v>611</v>
      </c>
      <c r="C176" s="55"/>
      <c r="D176" s="65" t="s">
        <v>612</v>
      </c>
      <c r="E176" s="55"/>
      <c r="F176" s="55"/>
    </row>
    <row r="177" spans="1:6" ht="57.95" customHeight="1" x14ac:dyDescent="0.3">
      <c r="A177" s="36" t="s">
        <v>613</v>
      </c>
      <c r="B177" s="54" t="s">
        <v>614</v>
      </c>
      <c r="C177" s="55"/>
      <c r="D177" s="64"/>
      <c r="E177" s="55"/>
      <c r="F177" s="55"/>
    </row>
    <row r="178" spans="1:6" ht="57.95" customHeight="1" x14ac:dyDescent="0.3">
      <c r="A178" s="36" t="s">
        <v>615</v>
      </c>
      <c r="B178" s="54" t="s">
        <v>616</v>
      </c>
      <c r="C178" s="55"/>
      <c r="D178" s="64"/>
      <c r="E178" s="55"/>
      <c r="F178" s="55"/>
    </row>
    <row r="179" spans="1:6" ht="57.95" customHeight="1" x14ac:dyDescent="0.3">
      <c r="A179" s="36" t="s">
        <v>617</v>
      </c>
      <c r="B179" s="54" t="s">
        <v>618</v>
      </c>
      <c r="C179" s="55"/>
      <c r="D179" s="64"/>
      <c r="E179" s="55"/>
      <c r="F179" s="55"/>
    </row>
    <row r="180" spans="1:6" ht="57.95" customHeight="1" x14ac:dyDescent="0.3">
      <c r="A180" s="36" t="s">
        <v>619</v>
      </c>
      <c r="B180" s="54" t="s">
        <v>620</v>
      </c>
      <c r="C180" s="55"/>
      <c r="D180" s="64"/>
      <c r="E180" s="55"/>
      <c r="F180" s="55"/>
    </row>
    <row r="181" spans="1:6" ht="57.95" customHeight="1" x14ac:dyDescent="0.3">
      <c r="A181" s="36" t="s">
        <v>621</v>
      </c>
      <c r="B181" s="54" t="s">
        <v>622</v>
      </c>
      <c r="C181" s="55"/>
      <c r="D181" s="64"/>
      <c r="E181" s="55"/>
      <c r="F181" s="55"/>
    </row>
    <row r="182" spans="1:6" ht="57.95" customHeight="1" x14ac:dyDescent="0.3">
      <c r="A182" s="36" t="s">
        <v>623</v>
      </c>
      <c r="B182" s="54" t="s">
        <v>624</v>
      </c>
      <c r="C182" s="55"/>
      <c r="D182" s="64"/>
      <c r="E182" s="55"/>
      <c r="F182" s="55"/>
    </row>
    <row r="183" spans="1:6" ht="24" customHeight="1" x14ac:dyDescent="0.3">
      <c r="A183" s="54" t="s">
        <v>625</v>
      </c>
      <c r="B183" s="55"/>
      <c r="C183" s="55"/>
      <c r="D183" s="64"/>
      <c r="E183" s="55"/>
      <c r="F183" s="55"/>
    </row>
    <row r="184" spans="1:6" ht="24" customHeight="1" x14ac:dyDescent="0.3">
      <c r="A184" s="36" t="s">
        <v>626</v>
      </c>
      <c r="B184" s="64"/>
      <c r="C184" s="55"/>
      <c r="D184" s="36" t="s">
        <v>607</v>
      </c>
      <c r="E184" s="54" t="str">
        <f>IF(B184="완료",IF(LEN(TRIM(C175&amp;""))=0,"관찰자·일자 미기록",IF(OR(LEN(TRIM(D177&amp;""))+LEN(TRIM(D178&amp;""))+LEN(TRIM(D179&amp;""))+LEN(TRIM(D180&amp;""))+LEN(TRIM(D181&amp;""))+LEN(TRIM(D182&amp;""))&gt;0,AND(OR(B186="주저함 · 거리를 벌림",B186="뚜렷한 치우침 없음",B186="살피지 않고 들이닥침",B186="자극에 따라 다름",B186="판단보류"),LEN(TRIM(B187&amp;""))&gt;0)),"완료","의견·입장 근거 미기록")),IF(OR(B184="작성 중",LEN(TRIM(D177&amp;""))+LEN(TRIM(D178&amp;""))+LEN(TRIM(D179&amp;""))+LEN(TRIM(D180&amp;""))+LEN(TRIM(D181&amp;""))+LEN(TRIM(D182&amp;""))&gt;0,LEN(TRIM(C175&amp;""))&gt;0,LEN(TRIM(B186&amp;""))&gt;0,LEN(TRIM(B187&amp;""))&gt;0),"작성 중","미작성"))</f>
        <v>미작성</v>
      </c>
      <c r="F184" s="55"/>
    </row>
    <row r="185" spans="1:6" ht="30" customHeight="1" x14ac:dyDescent="0.3">
      <c r="A185" s="54" t="s">
        <v>627</v>
      </c>
      <c r="B185" s="55"/>
      <c r="C185" s="55"/>
      <c r="D185" s="55"/>
      <c r="E185" s="55"/>
      <c r="F185" s="55"/>
    </row>
    <row r="186" spans="1:6" ht="33.950000000000003" customHeight="1" x14ac:dyDescent="0.3">
      <c r="A186" s="36" t="s">
        <v>628</v>
      </c>
      <c r="B186" s="64"/>
      <c r="C186" s="55"/>
      <c r="D186" s="54" t="s">
        <v>629</v>
      </c>
      <c r="E186" s="55"/>
      <c r="F186" s="55"/>
    </row>
    <row r="187" spans="1:6" ht="24" customHeight="1" x14ac:dyDescent="0.3">
      <c r="A187" s="36" t="s">
        <v>630</v>
      </c>
      <c r="B187" s="64"/>
      <c r="C187" s="55"/>
      <c r="D187" s="55"/>
      <c r="E187" s="55"/>
      <c r="F187" s="55"/>
    </row>
    <row r="188" spans="1:6" ht="24" customHeight="1" x14ac:dyDescent="0.3">
      <c r="A188" s="36"/>
      <c r="B188" s="55"/>
      <c r="C188" s="55"/>
      <c r="D188" s="55"/>
      <c r="E188" s="55"/>
      <c r="F188" s="55"/>
    </row>
    <row r="189" spans="1:6" ht="24" customHeight="1" x14ac:dyDescent="0.3">
      <c r="A189" s="36"/>
      <c r="B189" s="36"/>
      <c r="C189" s="36"/>
      <c r="D189" s="36"/>
      <c r="E189" s="36"/>
      <c r="F189" s="36"/>
    </row>
    <row r="190" spans="1:6" ht="24" customHeight="1" x14ac:dyDescent="0.3">
      <c r="A190" s="56" t="str">
        <f>"11번  "&amp;IF(LEN(TRIM(여러쌍비교!B16&amp;""))=0,"이름 미입력",여러쌍비교!B16)</f>
        <v>11번  이름 미입력</v>
      </c>
      <c r="B190" s="55"/>
      <c r="C190" s="55"/>
      <c r="D190" s="55"/>
      <c r="E190" s="55"/>
      <c r="F190" s="55"/>
    </row>
    <row r="191" spans="1:6" ht="24" customHeight="1" x14ac:dyDescent="0.3">
      <c r="A191" s="36" t="s">
        <v>609</v>
      </c>
      <c r="B191" s="36"/>
      <c r="C191" s="64"/>
      <c r="D191" s="55"/>
      <c r="E191" s="55"/>
      <c r="F191" s="55"/>
    </row>
    <row r="192" spans="1:6" ht="24" customHeight="1" x14ac:dyDescent="0.3">
      <c r="A192" s="43" t="s">
        <v>56</v>
      </c>
      <c r="B192" s="65" t="s">
        <v>611</v>
      </c>
      <c r="C192" s="55"/>
      <c r="D192" s="65" t="s">
        <v>612</v>
      </c>
      <c r="E192" s="55"/>
      <c r="F192" s="55"/>
    </row>
    <row r="193" spans="1:6" ht="57.95" customHeight="1" x14ac:dyDescent="0.3">
      <c r="A193" s="36" t="s">
        <v>613</v>
      </c>
      <c r="B193" s="54" t="s">
        <v>614</v>
      </c>
      <c r="C193" s="55"/>
      <c r="D193" s="64"/>
      <c r="E193" s="55"/>
      <c r="F193" s="55"/>
    </row>
    <row r="194" spans="1:6" ht="57.95" customHeight="1" x14ac:dyDescent="0.3">
      <c r="A194" s="36" t="s">
        <v>615</v>
      </c>
      <c r="B194" s="54" t="s">
        <v>616</v>
      </c>
      <c r="C194" s="55"/>
      <c r="D194" s="64"/>
      <c r="E194" s="55"/>
      <c r="F194" s="55"/>
    </row>
    <row r="195" spans="1:6" ht="57.95" customHeight="1" x14ac:dyDescent="0.3">
      <c r="A195" s="36" t="s">
        <v>617</v>
      </c>
      <c r="B195" s="54" t="s">
        <v>618</v>
      </c>
      <c r="C195" s="55"/>
      <c r="D195" s="64"/>
      <c r="E195" s="55"/>
      <c r="F195" s="55"/>
    </row>
    <row r="196" spans="1:6" ht="57.95" customHeight="1" x14ac:dyDescent="0.3">
      <c r="A196" s="36" t="s">
        <v>619</v>
      </c>
      <c r="B196" s="54" t="s">
        <v>620</v>
      </c>
      <c r="C196" s="55"/>
      <c r="D196" s="64"/>
      <c r="E196" s="55"/>
      <c r="F196" s="55"/>
    </row>
    <row r="197" spans="1:6" ht="57.95" customHeight="1" x14ac:dyDescent="0.3">
      <c r="A197" s="36" t="s">
        <v>621</v>
      </c>
      <c r="B197" s="54" t="s">
        <v>622</v>
      </c>
      <c r="C197" s="55"/>
      <c r="D197" s="64"/>
      <c r="E197" s="55"/>
      <c r="F197" s="55"/>
    </row>
    <row r="198" spans="1:6" ht="57.95" customHeight="1" x14ac:dyDescent="0.3">
      <c r="A198" s="36" t="s">
        <v>623</v>
      </c>
      <c r="B198" s="54" t="s">
        <v>624</v>
      </c>
      <c r="C198" s="55"/>
      <c r="D198" s="64"/>
      <c r="E198" s="55"/>
      <c r="F198" s="55"/>
    </row>
    <row r="199" spans="1:6" ht="24" customHeight="1" x14ac:dyDescent="0.3">
      <c r="A199" s="54" t="s">
        <v>625</v>
      </c>
      <c r="B199" s="55"/>
      <c r="C199" s="55"/>
      <c r="D199" s="64"/>
      <c r="E199" s="55"/>
      <c r="F199" s="55"/>
    </row>
    <row r="200" spans="1:6" ht="24" customHeight="1" x14ac:dyDescent="0.3">
      <c r="A200" s="36" t="s">
        <v>626</v>
      </c>
      <c r="B200" s="64"/>
      <c r="C200" s="55"/>
      <c r="D200" s="36" t="s">
        <v>607</v>
      </c>
      <c r="E200" s="54" t="str">
        <f>IF(B200="완료",IF(LEN(TRIM(C191&amp;""))=0,"관찰자·일자 미기록",IF(OR(LEN(TRIM(D193&amp;""))+LEN(TRIM(D194&amp;""))+LEN(TRIM(D195&amp;""))+LEN(TRIM(D196&amp;""))+LEN(TRIM(D197&amp;""))+LEN(TRIM(D198&amp;""))&gt;0,AND(OR(B202="주저함 · 거리를 벌림",B202="뚜렷한 치우침 없음",B202="살피지 않고 들이닥침",B202="자극에 따라 다름",B202="판단보류"),LEN(TRIM(B203&amp;""))&gt;0)),"완료","의견·입장 근거 미기록")),IF(OR(B200="작성 중",LEN(TRIM(D193&amp;""))+LEN(TRIM(D194&amp;""))+LEN(TRIM(D195&amp;""))+LEN(TRIM(D196&amp;""))+LEN(TRIM(D197&amp;""))+LEN(TRIM(D198&amp;""))&gt;0,LEN(TRIM(C191&amp;""))&gt;0,LEN(TRIM(B202&amp;""))&gt;0,LEN(TRIM(B203&amp;""))&gt;0),"작성 중","미작성"))</f>
        <v>미작성</v>
      </c>
      <c r="F200" s="55"/>
    </row>
    <row r="201" spans="1:6" ht="30" customHeight="1" x14ac:dyDescent="0.3">
      <c r="A201" s="54" t="s">
        <v>627</v>
      </c>
      <c r="B201" s="55"/>
      <c r="C201" s="55"/>
      <c r="D201" s="55"/>
      <c r="E201" s="55"/>
      <c r="F201" s="55"/>
    </row>
    <row r="202" spans="1:6" ht="33.950000000000003" customHeight="1" x14ac:dyDescent="0.3">
      <c r="A202" s="36" t="s">
        <v>628</v>
      </c>
      <c r="B202" s="64"/>
      <c r="C202" s="55"/>
      <c r="D202" s="54" t="s">
        <v>629</v>
      </c>
      <c r="E202" s="55"/>
      <c r="F202" s="55"/>
    </row>
    <row r="203" spans="1:6" ht="24" customHeight="1" x14ac:dyDescent="0.3">
      <c r="A203" s="36" t="s">
        <v>630</v>
      </c>
      <c r="B203" s="64"/>
      <c r="C203" s="55"/>
      <c r="D203" s="55"/>
      <c r="E203" s="55"/>
      <c r="F203" s="55"/>
    </row>
    <row r="204" spans="1:6" ht="24" customHeight="1" x14ac:dyDescent="0.3">
      <c r="A204" s="36"/>
      <c r="B204" s="55"/>
      <c r="C204" s="55"/>
      <c r="D204" s="55"/>
      <c r="E204" s="55"/>
      <c r="F204" s="55"/>
    </row>
    <row r="205" spans="1:6" ht="24" customHeight="1" x14ac:dyDescent="0.3">
      <c r="A205" s="36"/>
      <c r="B205" s="36"/>
      <c r="C205" s="36"/>
      <c r="D205" s="36"/>
      <c r="E205" s="36"/>
      <c r="F205" s="36"/>
    </row>
    <row r="206" spans="1:6" ht="24" customHeight="1" x14ac:dyDescent="0.3">
      <c r="A206" s="56" t="str">
        <f>"12번  "&amp;IF(LEN(TRIM(여러쌍비교!B17&amp;""))=0,"이름 미입력",여러쌍비교!B17)</f>
        <v>12번  이름 미입력</v>
      </c>
      <c r="B206" s="55"/>
      <c r="C206" s="55"/>
      <c r="D206" s="55"/>
      <c r="E206" s="55"/>
      <c r="F206" s="55"/>
    </row>
    <row r="207" spans="1:6" ht="24" customHeight="1" x14ac:dyDescent="0.3">
      <c r="A207" s="36" t="s">
        <v>609</v>
      </c>
      <c r="B207" s="36"/>
      <c r="C207" s="64"/>
      <c r="D207" s="55"/>
      <c r="E207" s="55"/>
      <c r="F207" s="55"/>
    </row>
    <row r="208" spans="1:6" ht="24" customHeight="1" x14ac:dyDescent="0.3">
      <c r="A208" s="43" t="s">
        <v>56</v>
      </c>
      <c r="B208" s="65" t="s">
        <v>611</v>
      </c>
      <c r="C208" s="55"/>
      <c r="D208" s="65" t="s">
        <v>612</v>
      </c>
      <c r="E208" s="55"/>
      <c r="F208" s="55"/>
    </row>
    <row r="209" spans="1:6" ht="57.95" customHeight="1" x14ac:dyDescent="0.3">
      <c r="A209" s="36" t="s">
        <v>613</v>
      </c>
      <c r="B209" s="54" t="s">
        <v>614</v>
      </c>
      <c r="C209" s="55"/>
      <c r="D209" s="64"/>
      <c r="E209" s="55"/>
      <c r="F209" s="55"/>
    </row>
    <row r="210" spans="1:6" ht="57.95" customHeight="1" x14ac:dyDescent="0.3">
      <c r="A210" s="36" t="s">
        <v>615</v>
      </c>
      <c r="B210" s="54" t="s">
        <v>616</v>
      </c>
      <c r="C210" s="55"/>
      <c r="D210" s="64"/>
      <c r="E210" s="55"/>
      <c r="F210" s="55"/>
    </row>
    <row r="211" spans="1:6" ht="57.95" customHeight="1" x14ac:dyDescent="0.3">
      <c r="A211" s="36" t="s">
        <v>617</v>
      </c>
      <c r="B211" s="54" t="s">
        <v>618</v>
      </c>
      <c r="C211" s="55"/>
      <c r="D211" s="64"/>
      <c r="E211" s="55"/>
      <c r="F211" s="55"/>
    </row>
    <row r="212" spans="1:6" ht="57.95" customHeight="1" x14ac:dyDescent="0.3">
      <c r="A212" s="36" t="s">
        <v>619</v>
      </c>
      <c r="B212" s="54" t="s">
        <v>620</v>
      </c>
      <c r="C212" s="55"/>
      <c r="D212" s="64"/>
      <c r="E212" s="55"/>
      <c r="F212" s="55"/>
    </row>
    <row r="213" spans="1:6" ht="57.95" customHeight="1" x14ac:dyDescent="0.3">
      <c r="A213" s="36" t="s">
        <v>621</v>
      </c>
      <c r="B213" s="54" t="s">
        <v>622</v>
      </c>
      <c r="C213" s="55"/>
      <c r="D213" s="64"/>
      <c r="E213" s="55"/>
      <c r="F213" s="55"/>
    </row>
    <row r="214" spans="1:6" ht="57.95" customHeight="1" x14ac:dyDescent="0.3">
      <c r="A214" s="36" t="s">
        <v>623</v>
      </c>
      <c r="B214" s="54" t="s">
        <v>624</v>
      </c>
      <c r="C214" s="55"/>
      <c r="D214" s="64"/>
      <c r="E214" s="55"/>
      <c r="F214" s="55"/>
    </row>
    <row r="215" spans="1:6" ht="24" customHeight="1" x14ac:dyDescent="0.3">
      <c r="A215" s="54" t="s">
        <v>625</v>
      </c>
      <c r="B215" s="55"/>
      <c r="C215" s="55"/>
      <c r="D215" s="64"/>
      <c r="E215" s="55"/>
      <c r="F215" s="55"/>
    </row>
    <row r="216" spans="1:6" ht="24" customHeight="1" x14ac:dyDescent="0.3">
      <c r="A216" s="36" t="s">
        <v>626</v>
      </c>
      <c r="B216" s="64"/>
      <c r="C216" s="55"/>
      <c r="D216" s="36" t="s">
        <v>607</v>
      </c>
      <c r="E216" s="54" t="str">
        <f>IF(B216="완료",IF(LEN(TRIM(C207&amp;""))=0,"관찰자·일자 미기록",IF(OR(LEN(TRIM(D209&amp;""))+LEN(TRIM(D210&amp;""))+LEN(TRIM(D211&amp;""))+LEN(TRIM(D212&amp;""))+LEN(TRIM(D213&amp;""))+LEN(TRIM(D214&amp;""))&gt;0,AND(OR(B218="주저함 · 거리를 벌림",B218="뚜렷한 치우침 없음",B218="살피지 않고 들이닥침",B218="자극에 따라 다름",B218="판단보류"),LEN(TRIM(B219&amp;""))&gt;0)),"완료","의견·입장 근거 미기록")),IF(OR(B216="작성 중",LEN(TRIM(D209&amp;""))+LEN(TRIM(D210&amp;""))+LEN(TRIM(D211&amp;""))+LEN(TRIM(D212&amp;""))+LEN(TRIM(D213&amp;""))+LEN(TRIM(D214&amp;""))&gt;0,LEN(TRIM(C207&amp;""))&gt;0,LEN(TRIM(B218&amp;""))&gt;0,LEN(TRIM(B219&amp;""))&gt;0),"작성 중","미작성"))</f>
        <v>미작성</v>
      </c>
      <c r="F216" s="55"/>
    </row>
    <row r="217" spans="1:6" ht="30" customHeight="1" x14ac:dyDescent="0.3">
      <c r="A217" s="54" t="s">
        <v>627</v>
      </c>
      <c r="B217" s="55"/>
      <c r="C217" s="55"/>
      <c r="D217" s="55"/>
      <c r="E217" s="55"/>
      <c r="F217" s="55"/>
    </row>
    <row r="218" spans="1:6" ht="33.950000000000003" customHeight="1" x14ac:dyDescent="0.3">
      <c r="A218" s="36" t="s">
        <v>628</v>
      </c>
      <c r="B218" s="64"/>
      <c r="C218" s="55"/>
      <c r="D218" s="54" t="s">
        <v>629</v>
      </c>
      <c r="E218" s="55"/>
      <c r="F218" s="55"/>
    </row>
    <row r="219" spans="1:6" ht="24" customHeight="1" x14ac:dyDescent="0.3">
      <c r="A219" s="36" t="s">
        <v>630</v>
      </c>
      <c r="B219" s="64"/>
      <c r="C219" s="55"/>
      <c r="D219" s="55"/>
      <c r="E219" s="55"/>
      <c r="F219" s="55"/>
    </row>
    <row r="220" spans="1:6" ht="24" customHeight="1" x14ac:dyDescent="0.3">
      <c r="A220" s="36"/>
      <c r="B220" s="55"/>
      <c r="C220" s="55"/>
      <c r="D220" s="55"/>
      <c r="E220" s="55"/>
      <c r="F220" s="55"/>
    </row>
    <row r="221" spans="1:6" ht="24" customHeight="1" x14ac:dyDescent="0.3">
      <c r="A221" s="36"/>
      <c r="B221" s="36"/>
      <c r="C221" s="36"/>
      <c r="D221" s="36"/>
      <c r="E221" s="36"/>
      <c r="F221" s="36"/>
    </row>
    <row r="222" spans="1:6" ht="24" customHeight="1" x14ac:dyDescent="0.3">
      <c r="A222" s="56" t="str">
        <f>"13번  "&amp;IF(LEN(TRIM(여러쌍비교!B18&amp;""))=0,"이름 미입력",여러쌍비교!B18)</f>
        <v>13번  이름 미입력</v>
      </c>
      <c r="B222" s="55"/>
      <c r="C222" s="55"/>
      <c r="D222" s="55"/>
      <c r="E222" s="55"/>
      <c r="F222" s="55"/>
    </row>
    <row r="223" spans="1:6" ht="24" customHeight="1" x14ac:dyDescent="0.3">
      <c r="A223" s="36" t="s">
        <v>609</v>
      </c>
      <c r="B223" s="36"/>
      <c r="C223" s="64"/>
      <c r="D223" s="55"/>
      <c r="E223" s="55"/>
      <c r="F223" s="55"/>
    </row>
    <row r="224" spans="1:6" ht="24" customHeight="1" x14ac:dyDescent="0.3">
      <c r="A224" s="43" t="s">
        <v>56</v>
      </c>
      <c r="B224" s="65" t="s">
        <v>611</v>
      </c>
      <c r="C224" s="55"/>
      <c r="D224" s="65" t="s">
        <v>612</v>
      </c>
      <c r="E224" s="55"/>
      <c r="F224" s="55"/>
    </row>
    <row r="225" spans="1:6" ht="57.95" customHeight="1" x14ac:dyDescent="0.3">
      <c r="A225" s="36" t="s">
        <v>613</v>
      </c>
      <c r="B225" s="54" t="s">
        <v>614</v>
      </c>
      <c r="C225" s="55"/>
      <c r="D225" s="64"/>
      <c r="E225" s="55"/>
      <c r="F225" s="55"/>
    </row>
    <row r="226" spans="1:6" ht="57.95" customHeight="1" x14ac:dyDescent="0.3">
      <c r="A226" s="36" t="s">
        <v>615</v>
      </c>
      <c r="B226" s="54" t="s">
        <v>616</v>
      </c>
      <c r="C226" s="55"/>
      <c r="D226" s="64"/>
      <c r="E226" s="55"/>
      <c r="F226" s="55"/>
    </row>
    <row r="227" spans="1:6" ht="57.95" customHeight="1" x14ac:dyDescent="0.3">
      <c r="A227" s="36" t="s">
        <v>617</v>
      </c>
      <c r="B227" s="54" t="s">
        <v>618</v>
      </c>
      <c r="C227" s="55"/>
      <c r="D227" s="64"/>
      <c r="E227" s="55"/>
      <c r="F227" s="55"/>
    </row>
    <row r="228" spans="1:6" ht="57.95" customHeight="1" x14ac:dyDescent="0.3">
      <c r="A228" s="36" t="s">
        <v>619</v>
      </c>
      <c r="B228" s="54" t="s">
        <v>620</v>
      </c>
      <c r="C228" s="55"/>
      <c r="D228" s="64"/>
      <c r="E228" s="55"/>
      <c r="F228" s="55"/>
    </row>
    <row r="229" spans="1:6" ht="57.95" customHeight="1" x14ac:dyDescent="0.3">
      <c r="A229" s="36" t="s">
        <v>621</v>
      </c>
      <c r="B229" s="54" t="s">
        <v>622</v>
      </c>
      <c r="C229" s="55"/>
      <c r="D229" s="64"/>
      <c r="E229" s="55"/>
      <c r="F229" s="55"/>
    </row>
    <row r="230" spans="1:6" ht="57.95" customHeight="1" x14ac:dyDescent="0.3">
      <c r="A230" s="36" t="s">
        <v>623</v>
      </c>
      <c r="B230" s="54" t="s">
        <v>624</v>
      </c>
      <c r="C230" s="55"/>
      <c r="D230" s="64"/>
      <c r="E230" s="55"/>
      <c r="F230" s="55"/>
    </row>
    <row r="231" spans="1:6" ht="24" customHeight="1" x14ac:dyDescent="0.3">
      <c r="A231" s="54" t="s">
        <v>625</v>
      </c>
      <c r="B231" s="55"/>
      <c r="C231" s="55"/>
      <c r="D231" s="64"/>
      <c r="E231" s="55"/>
      <c r="F231" s="55"/>
    </row>
    <row r="232" spans="1:6" ht="24" customHeight="1" x14ac:dyDescent="0.3">
      <c r="A232" s="36" t="s">
        <v>626</v>
      </c>
      <c r="B232" s="64"/>
      <c r="C232" s="55"/>
      <c r="D232" s="36" t="s">
        <v>607</v>
      </c>
      <c r="E232" s="54" t="str">
        <f>IF(B232="완료",IF(LEN(TRIM(C223&amp;""))=0,"관찰자·일자 미기록",IF(OR(LEN(TRIM(D225&amp;""))+LEN(TRIM(D226&amp;""))+LEN(TRIM(D227&amp;""))+LEN(TRIM(D228&amp;""))+LEN(TRIM(D229&amp;""))+LEN(TRIM(D230&amp;""))&gt;0,AND(OR(B234="주저함 · 거리를 벌림",B234="뚜렷한 치우침 없음",B234="살피지 않고 들이닥침",B234="자극에 따라 다름",B234="판단보류"),LEN(TRIM(B235&amp;""))&gt;0)),"완료","의견·입장 근거 미기록")),IF(OR(B232="작성 중",LEN(TRIM(D225&amp;""))+LEN(TRIM(D226&amp;""))+LEN(TRIM(D227&amp;""))+LEN(TRIM(D228&amp;""))+LEN(TRIM(D229&amp;""))+LEN(TRIM(D230&amp;""))&gt;0,LEN(TRIM(C223&amp;""))&gt;0,LEN(TRIM(B234&amp;""))&gt;0,LEN(TRIM(B235&amp;""))&gt;0),"작성 중","미작성"))</f>
        <v>미작성</v>
      </c>
      <c r="F232" s="55"/>
    </row>
    <row r="233" spans="1:6" ht="30" customHeight="1" x14ac:dyDescent="0.3">
      <c r="A233" s="54" t="s">
        <v>627</v>
      </c>
      <c r="B233" s="55"/>
      <c r="C233" s="55"/>
      <c r="D233" s="55"/>
      <c r="E233" s="55"/>
      <c r="F233" s="55"/>
    </row>
    <row r="234" spans="1:6" ht="33.950000000000003" customHeight="1" x14ac:dyDescent="0.3">
      <c r="A234" s="36" t="s">
        <v>628</v>
      </c>
      <c r="B234" s="64"/>
      <c r="C234" s="55"/>
      <c r="D234" s="54" t="s">
        <v>629</v>
      </c>
      <c r="E234" s="55"/>
      <c r="F234" s="55"/>
    </row>
    <row r="235" spans="1:6" ht="24" customHeight="1" x14ac:dyDescent="0.3">
      <c r="A235" s="36" t="s">
        <v>630</v>
      </c>
      <c r="B235" s="64"/>
      <c r="C235" s="55"/>
      <c r="D235" s="55"/>
      <c r="E235" s="55"/>
      <c r="F235" s="55"/>
    </row>
    <row r="236" spans="1:6" ht="24" customHeight="1" x14ac:dyDescent="0.3">
      <c r="A236" s="36"/>
      <c r="B236" s="55"/>
      <c r="C236" s="55"/>
      <c r="D236" s="55"/>
      <c r="E236" s="55"/>
      <c r="F236" s="55"/>
    </row>
    <row r="237" spans="1:6" ht="24" customHeight="1" x14ac:dyDescent="0.3">
      <c r="A237" s="36"/>
      <c r="B237" s="36"/>
      <c r="C237" s="36"/>
      <c r="D237" s="36"/>
      <c r="E237" s="36"/>
      <c r="F237" s="36"/>
    </row>
    <row r="238" spans="1:6" ht="24" customHeight="1" x14ac:dyDescent="0.3">
      <c r="A238" s="56" t="str">
        <f>"14번  "&amp;IF(LEN(TRIM(여러쌍비교!B19&amp;""))=0,"이름 미입력",여러쌍비교!B19)</f>
        <v>14번  이름 미입력</v>
      </c>
      <c r="B238" s="55"/>
      <c r="C238" s="55"/>
      <c r="D238" s="55"/>
      <c r="E238" s="55"/>
      <c r="F238" s="55"/>
    </row>
    <row r="239" spans="1:6" ht="24" customHeight="1" x14ac:dyDescent="0.3">
      <c r="A239" s="36" t="s">
        <v>609</v>
      </c>
      <c r="B239" s="36"/>
      <c r="C239" s="64"/>
      <c r="D239" s="55"/>
      <c r="E239" s="55"/>
      <c r="F239" s="55"/>
    </row>
    <row r="240" spans="1:6" ht="24" customHeight="1" x14ac:dyDescent="0.3">
      <c r="A240" s="43" t="s">
        <v>56</v>
      </c>
      <c r="B240" s="65" t="s">
        <v>611</v>
      </c>
      <c r="C240" s="55"/>
      <c r="D240" s="65" t="s">
        <v>612</v>
      </c>
      <c r="E240" s="55"/>
      <c r="F240" s="55"/>
    </row>
    <row r="241" spans="1:6" ht="57.95" customHeight="1" x14ac:dyDescent="0.3">
      <c r="A241" s="36" t="s">
        <v>613</v>
      </c>
      <c r="B241" s="54" t="s">
        <v>614</v>
      </c>
      <c r="C241" s="55"/>
      <c r="D241" s="64"/>
      <c r="E241" s="55"/>
      <c r="F241" s="55"/>
    </row>
    <row r="242" spans="1:6" ht="57.95" customHeight="1" x14ac:dyDescent="0.3">
      <c r="A242" s="36" t="s">
        <v>615</v>
      </c>
      <c r="B242" s="54" t="s">
        <v>616</v>
      </c>
      <c r="C242" s="55"/>
      <c r="D242" s="64"/>
      <c r="E242" s="55"/>
      <c r="F242" s="55"/>
    </row>
    <row r="243" spans="1:6" ht="57.95" customHeight="1" x14ac:dyDescent="0.3">
      <c r="A243" s="36" t="s">
        <v>617</v>
      </c>
      <c r="B243" s="54" t="s">
        <v>618</v>
      </c>
      <c r="C243" s="55"/>
      <c r="D243" s="64"/>
      <c r="E243" s="55"/>
      <c r="F243" s="55"/>
    </row>
    <row r="244" spans="1:6" ht="57.95" customHeight="1" x14ac:dyDescent="0.3">
      <c r="A244" s="36" t="s">
        <v>619</v>
      </c>
      <c r="B244" s="54" t="s">
        <v>620</v>
      </c>
      <c r="C244" s="55"/>
      <c r="D244" s="64"/>
      <c r="E244" s="55"/>
      <c r="F244" s="55"/>
    </row>
    <row r="245" spans="1:6" ht="57.95" customHeight="1" x14ac:dyDescent="0.3">
      <c r="A245" s="36" t="s">
        <v>621</v>
      </c>
      <c r="B245" s="54" t="s">
        <v>622</v>
      </c>
      <c r="C245" s="55"/>
      <c r="D245" s="64"/>
      <c r="E245" s="55"/>
      <c r="F245" s="55"/>
    </row>
    <row r="246" spans="1:6" ht="57.95" customHeight="1" x14ac:dyDescent="0.3">
      <c r="A246" s="36" t="s">
        <v>623</v>
      </c>
      <c r="B246" s="54" t="s">
        <v>624</v>
      </c>
      <c r="C246" s="55"/>
      <c r="D246" s="64"/>
      <c r="E246" s="55"/>
      <c r="F246" s="55"/>
    </row>
    <row r="247" spans="1:6" ht="24" customHeight="1" x14ac:dyDescent="0.3">
      <c r="A247" s="54" t="s">
        <v>625</v>
      </c>
      <c r="B247" s="55"/>
      <c r="C247" s="55"/>
      <c r="D247" s="64"/>
      <c r="E247" s="55"/>
      <c r="F247" s="55"/>
    </row>
    <row r="248" spans="1:6" ht="24" customHeight="1" x14ac:dyDescent="0.3">
      <c r="A248" s="36" t="s">
        <v>626</v>
      </c>
      <c r="B248" s="64"/>
      <c r="C248" s="55"/>
      <c r="D248" s="36" t="s">
        <v>607</v>
      </c>
      <c r="E248" s="54" t="str">
        <f>IF(B248="완료",IF(LEN(TRIM(C239&amp;""))=0,"관찰자·일자 미기록",IF(OR(LEN(TRIM(D241&amp;""))+LEN(TRIM(D242&amp;""))+LEN(TRIM(D243&amp;""))+LEN(TRIM(D244&amp;""))+LEN(TRIM(D245&amp;""))+LEN(TRIM(D246&amp;""))&gt;0,AND(OR(B250="주저함 · 거리를 벌림",B250="뚜렷한 치우침 없음",B250="살피지 않고 들이닥침",B250="자극에 따라 다름",B250="판단보류"),LEN(TRIM(B251&amp;""))&gt;0)),"완료","의견·입장 근거 미기록")),IF(OR(B248="작성 중",LEN(TRIM(D241&amp;""))+LEN(TRIM(D242&amp;""))+LEN(TRIM(D243&amp;""))+LEN(TRIM(D244&amp;""))+LEN(TRIM(D245&amp;""))+LEN(TRIM(D246&amp;""))&gt;0,LEN(TRIM(C239&amp;""))&gt;0,LEN(TRIM(B250&amp;""))&gt;0,LEN(TRIM(B251&amp;""))&gt;0),"작성 중","미작성"))</f>
        <v>미작성</v>
      </c>
      <c r="F248" s="55"/>
    </row>
    <row r="249" spans="1:6" ht="30" customHeight="1" x14ac:dyDescent="0.3">
      <c r="A249" s="54" t="s">
        <v>627</v>
      </c>
      <c r="B249" s="55"/>
      <c r="C249" s="55"/>
      <c r="D249" s="55"/>
      <c r="E249" s="55"/>
      <c r="F249" s="55"/>
    </row>
    <row r="250" spans="1:6" ht="33.950000000000003" customHeight="1" x14ac:dyDescent="0.3">
      <c r="A250" s="36" t="s">
        <v>628</v>
      </c>
      <c r="B250" s="64"/>
      <c r="C250" s="55"/>
      <c r="D250" s="54" t="s">
        <v>629</v>
      </c>
      <c r="E250" s="55"/>
      <c r="F250" s="55"/>
    </row>
    <row r="251" spans="1:6" ht="24" customHeight="1" x14ac:dyDescent="0.3">
      <c r="A251" s="36" t="s">
        <v>630</v>
      </c>
      <c r="B251" s="64"/>
      <c r="C251" s="55"/>
      <c r="D251" s="55"/>
      <c r="E251" s="55"/>
      <c r="F251" s="55"/>
    </row>
    <row r="252" spans="1:6" ht="24" customHeight="1" x14ac:dyDescent="0.3">
      <c r="A252" s="36"/>
      <c r="B252" s="55"/>
      <c r="C252" s="55"/>
      <c r="D252" s="55"/>
      <c r="E252" s="55"/>
      <c r="F252" s="55"/>
    </row>
    <row r="253" spans="1:6" ht="24" customHeight="1" x14ac:dyDescent="0.3">
      <c r="A253" s="36"/>
      <c r="B253" s="36"/>
      <c r="C253" s="36"/>
      <c r="D253" s="36"/>
      <c r="E253" s="36"/>
      <c r="F253" s="36"/>
    </row>
    <row r="254" spans="1:6" ht="24" customHeight="1" x14ac:dyDescent="0.3">
      <c r="A254" s="56" t="str">
        <f>"15번  "&amp;IF(LEN(TRIM(여러쌍비교!B20&amp;""))=0,"이름 미입력",여러쌍비교!B20)</f>
        <v>15번  이름 미입력</v>
      </c>
      <c r="B254" s="55"/>
      <c r="C254" s="55"/>
      <c r="D254" s="55"/>
      <c r="E254" s="55"/>
      <c r="F254" s="55"/>
    </row>
    <row r="255" spans="1:6" ht="24" customHeight="1" x14ac:dyDescent="0.3">
      <c r="A255" s="36" t="s">
        <v>609</v>
      </c>
      <c r="B255" s="36"/>
      <c r="C255" s="64"/>
      <c r="D255" s="55"/>
      <c r="E255" s="55"/>
      <c r="F255" s="55"/>
    </row>
    <row r="256" spans="1:6" ht="24" customHeight="1" x14ac:dyDescent="0.3">
      <c r="A256" s="43" t="s">
        <v>56</v>
      </c>
      <c r="B256" s="65" t="s">
        <v>611</v>
      </c>
      <c r="C256" s="55"/>
      <c r="D256" s="65" t="s">
        <v>612</v>
      </c>
      <c r="E256" s="55"/>
      <c r="F256" s="55"/>
    </row>
    <row r="257" spans="1:6" ht="57.95" customHeight="1" x14ac:dyDescent="0.3">
      <c r="A257" s="36" t="s">
        <v>613</v>
      </c>
      <c r="B257" s="54" t="s">
        <v>614</v>
      </c>
      <c r="C257" s="55"/>
      <c r="D257" s="64"/>
      <c r="E257" s="55"/>
      <c r="F257" s="55"/>
    </row>
    <row r="258" spans="1:6" ht="57.95" customHeight="1" x14ac:dyDescent="0.3">
      <c r="A258" s="36" t="s">
        <v>615</v>
      </c>
      <c r="B258" s="54" t="s">
        <v>616</v>
      </c>
      <c r="C258" s="55"/>
      <c r="D258" s="64"/>
      <c r="E258" s="55"/>
      <c r="F258" s="55"/>
    </row>
    <row r="259" spans="1:6" ht="57.95" customHeight="1" x14ac:dyDescent="0.3">
      <c r="A259" s="36" t="s">
        <v>617</v>
      </c>
      <c r="B259" s="54" t="s">
        <v>618</v>
      </c>
      <c r="C259" s="55"/>
      <c r="D259" s="64"/>
      <c r="E259" s="55"/>
      <c r="F259" s="55"/>
    </row>
    <row r="260" spans="1:6" ht="57.95" customHeight="1" x14ac:dyDescent="0.3">
      <c r="A260" s="36" t="s">
        <v>619</v>
      </c>
      <c r="B260" s="54" t="s">
        <v>620</v>
      </c>
      <c r="C260" s="55"/>
      <c r="D260" s="64"/>
      <c r="E260" s="55"/>
      <c r="F260" s="55"/>
    </row>
    <row r="261" spans="1:6" ht="57.95" customHeight="1" x14ac:dyDescent="0.3">
      <c r="A261" s="36" t="s">
        <v>621</v>
      </c>
      <c r="B261" s="54" t="s">
        <v>622</v>
      </c>
      <c r="C261" s="55"/>
      <c r="D261" s="64"/>
      <c r="E261" s="55"/>
      <c r="F261" s="55"/>
    </row>
    <row r="262" spans="1:6" ht="57.95" customHeight="1" x14ac:dyDescent="0.3">
      <c r="A262" s="36" t="s">
        <v>623</v>
      </c>
      <c r="B262" s="54" t="s">
        <v>624</v>
      </c>
      <c r="C262" s="55"/>
      <c r="D262" s="64"/>
      <c r="E262" s="55"/>
      <c r="F262" s="55"/>
    </row>
    <row r="263" spans="1:6" ht="24" customHeight="1" x14ac:dyDescent="0.3">
      <c r="A263" s="54" t="s">
        <v>625</v>
      </c>
      <c r="B263" s="55"/>
      <c r="C263" s="55"/>
      <c r="D263" s="64"/>
      <c r="E263" s="55"/>
      <c r="F263" s="55"/>
    </row>
    <row r="264" spans="1:6" ht="24" customHeight="1" x14ac:dyDescent="0.3">
      <c r="A264" s="36" t="s">
        <v>626</v>
      </c>
      <c r="B264" s="64"/>
      <c r="C264" s="55"/>
      <c r="D264" s="36" t="s">
        <v>607</v>
      </c>
      <c r="E264" s="54" t="str">
        <f>IF(B264="완료",IF(LEN(TRIM(C255&amp;""))=0,"관찰자·일자 미기록",IF(OR(LEN(TRIM(D257&amp;""))+LEN(TRIM(D258&amp;""))+LEN(TRIM(D259&amp;""))+LEN(TRIM(D260&amp;""))+LEN(TRIM(D261&amp;""))+LEN(TRIM(D262&amp;""))&gt;0,AND(OR(B266="주저함 · 거리를 벌림",B266="뚜렷한 치우침 없음",B266="살피지 않고 들이닥침",B266="자극에 따라 다름",B266="판단보류"),LEN(TRIM(B267&amp;""))&gt;0)),"완료","의견·입장 근거 미기록")),IF(OR(B264="작성 중",LEN(TRIM(D257&amp;""))+LEN(TRIM(D258&amp;""))+LEN(TRIM(D259&amp;""))+LEN(TRIM(D260&amp;""))+LEN(TRIM(D261&amp;""))+LEN(TRIM(D262&amp;""))&gt;0,LEN(TRIM(C255&amp;""))&gt;0,LEN(TRIM(B266&amp;""))&gt;0,LEN(TRIM(B267&amp;""))&gt;0),"작성 중","미작성"))</f>
        <v>미작성</v>
      </c>
      <c r="F264" s="55"/>
    </row>
    <row r="265" spans="1:6" ht="30" customHeight="1" x14ac:dyDescent="0.3">
      <c r="A265" s="54" t="s">
        <v>627</v>
      </c>
      <c r="B265" s="55"/>
      <c r="C265" s="55"/>
      <c r="D265" s="55"/>
      <c r="E265" s="55"/>
      <c r="F265" s="55"/>
    </row>
    <row r="266" spans="1:6" ht="33.950000000000003" customHeight="1" x14ac:dyDescent="0.3">
      <c r="A266" s="36" t="s">
        <v>628</v>
      </c>
      <c r="B266" s="64"/>
      <c r="C266" s="55"/>
      <c r="D266" s="54" t="s">
        <v>629</v>
      </c>
      <c r="E266" s="55"/>
      <c r="F266" s="55"/>
    </row>
    <row r="267" spans="1:6" ht="24" customHeight="1" x14ac:dyDescent="0.3">
      <c r="A267" s="36" t="s">
        <v>630</v>
      </c>
      <c r="B267" s="64"/>
      <c r="C267" s="55"/>
      <c r="D267" s="55"/>
      <c r="E267" s="55"/>
      <c r="F267" s="55"/>
    </row>
    <row r="268" spans="1:6" ht="24" customHeight="1" x14ac:dyDescent="0.3">
      <c r="A268" s="36"/>
      <c r="B268" s="55"/>
      <c r="C268" s="55"/>
      <c r="D268" s="55"/>
      <c r="E268" s="55"/>
      <c r="F268" s="55"/>
    </row>
    <row r="269" spans="1:6" ht="24" customHeight="1" x14ac:dyDescent="0.3">
      <c r="A269" s="36"/>
      <c r="B269" s="36"/>
      <c r="C269" s="36"/>
      <c r="D269" s="36"/>
      <c r="E269" s="36"/>
      <c r="F269" s="36"/>
    </row>
    <row r="270" spans="1:6" ht="24" customHeight="1" x14ac:dyDescent="0.3">
      <c r="A270" s="56" t="str">
        <f>"16번  "&amp;IF(LEN(TRIM(여러쌍비교!B21&amp;""))=0,"이름 미입력",여러쌍비교!B21)</f>
        <v>16번  이름 미입력</v>
      </c>
      <c r="B270" s="55"/>
      <c r="C270" s="55"/>
      <c r="D270" s="55"/>
      <c r="E270" s="55"/>
      <c r="F270" s="55"/>
    </row>
    <row r="271" spans="1:6" ht="24" customHeight="1" x14ac:dyDescent="0.3">
      <c r="A271" s="36" t="s">
        <v>609</v>
      </c>
      <c r="B271" s="36"/>
      <c r="C271" s="64"/>
      <c r="D271" s="55"/>
      <c r="E271" s="55"/>
      <c r="F271" s="55"/>
    </row>
    <row r="272" spans="1:6" ht="24" customHeight="1" x14ac:dyDescent="0.3">
      <c r="A272" s="43" t="s">
        <v>56</v>
      </c>
      <c r="B272" s="65" t="s">
        <v>611</v>
      </c>
      <c r="C272" s="55"/>
      <c r="D272" s="65" t="s">
        <v>612</v>
      </c>
      <c r="E272" s="55"/>
      <c r="F272" s="55"/>
    </row>
    <row r="273" spans="1:6" ht="57.95" customHeight="1" x14ac:dyDescent="0.3">
      <c r="A273" s="36" t="s">
        <v>613</v>
      </c>
      <c r="B273" s="54" t="s">
        <v>614</v>
      </c>
      <c r="C273" s="55"/>
      <c r="D273" s="64"/>
      <c r="E273" s="55"/>
      <c r="F273" s="55"/>
    </row>
    <row r="274" spans="1:6" ht="57.95" customHeight="1" x14ac:dyDescent="0.3">
      <c r="A274" s="36" t="s">
        <v>615</v>
      </c>
      <c r="B274" s="54" t="s">
        <v>616</v>
      </c>
      <c r="C274" s="55"/>
      <c r="D274" s="64"/>
      <c r="E274" s="55"/>
      <c r="F274" s="55"/>
    </row>
    <row r="275" spans="1:6" ht="57.95" customHeight="1" x14ac:dyDescent="0.3">
      <c r="A275" s="36" t="s">
        <v>617</v>
      </c>
      <c r="B275" s="54" t="s">
        <v>618</v>
      </c>
      <c r="C275" s="55"/>
      <c r="D275" s="64"/>
      <c r="E275" s="55"/>
      <c r="F275" s="55"/>
    </row>
    <row r="276" spans="1:6" ht="57.95" customHeight="1" x14ac:dyDescent="0.3">
      <c r="A276" s="36" t="s">
        <v>619</v>
      </c>
      <c r="B276" s="54" t="s">
        <v>620</v>
      </c>
      <c r="C276" s="55"/>
      <c r="D276" s="64"/>
      <c r="E276" s="55"/>
      <c r="F276" s="55"/>
    </row>
    <row r="277" spans="1:6" ht="57.95" customHeight="1" x14ac:dyDescent="0.3">
      <c r="A277" s="36" t="s">
        <v>621</v>
      </c>
      <c r="B277" s="54" t="s">
        <v>622</v>
      </c>
      <c r="C277" s="55"/>
      <c r="D277" s="64"/>
      <c r="E277" s="55"/>
      <c r="F277" s="55"/>
    </row>
    <row r="278" spans="1:6" ht="57.95" customHeight="1" x14ac:dyDescent="0.3">
      <c r="A278" s="36" t="s">
        <v>623</v>
      </c>
      <c r="B278" s="54" t="s">
        <v>624</v>
      </c>
      <c r="C278" s="55"/>
      <c r="D278" s="64"/>
      <c r="E278" s="55"/>
      <c r="F278" s="55"/>
    </row>
    <row r="279" spans="1:6" ht="24" customHeight="1" x14ac:dyDescent="0.3">
      <c r="A279" s="54" t="s">
        <v>625</v>
      </c>
      <c r="B279" s="55"/>
      <c r="C279" s="55"/>
      <c r="D279" s="64"/>
      <c r="E279" s="55"/>
      <c r="F279" s="55"/>
    </row>
    <row r="280" spans="1:6" ht="24" customHeight="1" x14ac:dyDescent="0.3">
      <c r="A280" s="36" t="s">
        <v>626</v>
      </c>
      <c r="B280" s="64"/>
      <c r="C280" s="55"/>
      <c r="D280" s="36" t="s">
        <v>607</v>
      </c>
      <c r="E280" s="54" t="str">
        <f>IF(B280="완료",IF(LEN(TRIM(C271&amp;""))=0,"관찰자·일자 미기록",IF(OR(LEN(TRIM(D273&amp;""))+LEN(TRIM(D274&amp;""))+LEN(TRIM(D275&amp;""))+LEN(TRIM(D276&amp;""))+LEN(TRIM(D277&amp;""))+LEN(TRIM(D278&amp;""))&gt;0,AND(OR(B282="주저함 · 거리를 벌림",B282="뚜렷한 치우침 없음",B282="살피지 않고 들이닥침",B282="자극에 따라 다름",B282="판단보류"),LEN(TRIM(B283&amp;""))&gt;0)),"완료","의견·입장 근거 미기록")),IF(OR(B280="작성 중",LEN(TRIM(D273&amp;""))+LEN(TRIM(D274&amp;""))+LEN(TRIM(D275&amp;""))+LEN(TRIM(D276&amp;""))+LEN(TRIM(D277&amp;""))+LEN(TRIM(D278&amp;""))&gt;0,LEN(TRIM(C271&amp;""))&gt;0,LEN(TRIM(B282&amp;""))&gt;0,LEN(TRIM(B283&amp;""))&gt;0),"작성 중","미작성"))</f>
        <v>미작성</v>
      </c>
      <c r="F280" s="55"/>
    </row>
    <row r="281" spans="1:6" ht="30" customHeight="1" x14ac:dyDescent="0.3">
      <c r="A281" s="54" t="s">
        <v>627</v>
      </c>
      <c r="B281" s="55"/>
      <c r="C281" s="55"/>
      <c r="D281" s="55"/>
      <c r="E281" s="55"/>
      <c r="F281" s="55"/>
    </row>
    <row r="282" spans="1:6" ht="33.950000000000003" customHeight="1" x14ac:dyDescent="0.3">
      <c r="A282" s="36" t="s">
        <v>628</v>
      </c>
      <c r="B282" s="64"/>
      <c r="C282" s="55"/>
      <c r="D282" s="54" t="s">
        <v>629</v>
      </c>
      <c r="E282" s="55"/>
      <c r="F282" s="55"/>
    </row>
    <row r="283" spans="1:6" ht="24" customHeight="1" x14ac:dyDescent="0.3">
      <c r="A283" s="36" t="s">
        <v>630</v>
      </c>
      <c r="B283" s="64"/>
      <c r="C283" s="55"/>
      <c r="D283" s="55"/>
      <c r="E283" s="55"/>
      <c r="F283" s="55"/>
    </row>
    <row r="284" spans="1:6" ht="24" customHeight="1" x14ac:dyDescent="0.3">
      <c r="A284" s="36"/>
      <c r="B284" s="55"/>
      <c r="C284" s="55"/>
      <c r="D284" s="55"/>
      <c r="E284" s="55"/>
      <c r="F284" s="55"/>
    </row>
    <row r="285" spans="1:6" ht="24" customHeight="1" x14ac:dyDescent="0.3">
      <c r="A285" s="36"/>
      <c r="B285" s="36"/>
      <c r="C285" s="36"/>
      <c r="D285" s="36"/>
      <c r="E285" s="36"/>
      <c r="F285" s="36"/>
    </row>
    <row r="286" spans="1:6" ht="24" customHeight="1" x14ac:dyDescent="0.3">
      <c r="A286" s="56" t="str">
        <f>"17번  "&amp;IF(LEN(TRIM(여러쌍비교!B22&amp;""))=0,"이름 미입력",여러쌍비교!B22)</f>
        <v>17번  이름 미입력</v>
      </c>
      <c r="B286" s="55"/>
      <c r="C286" s="55"/>
      <c r="D286" s="55"/>
      <c r="E286" s="55"/>
      <c r="F286" s="55"/>
    </row>
    <row r="287" spans="1:6" ht="24" customHeight="1" x14ac:dyDescent="0.3">
      <c r="A287" s="36" t="s">
        <v>609</v>
      </c>
      <c r="B287" s="36"/>
      <c r="C287" s="64"/>
      <c r="D287" s="55"/>
      <c r="E287" s="55"/>
      <c r="F287" s="55"/>
    </row>
    <row r="288" spans="1:6" ht="24" customHeight="1" x14ac:dyDescent="0.3">
      <c r="A288" s="43" t="s">
        <v>56</v>
      </c>
      <c r="B288" s="65" t="s">
        <v>611</v>
      </c>
      <c r="C288" s="55"/>
      <c r="D288" s="65" t="s">
        <v>612</v>
      </c>
      <c r="E288" s="55"/>
      <c r="F288" s="55"/>
    </row>
    <row r="289" spans="1:6" ht="57.95" customHeight="1" x14ac:dyDescent="0.3">
      <c r="A289" s="36" t="s">
        <v>613</v>
      </c>
      <c r="B289" s="54" t="s">
        <v>614</v>
      </c>
      <c r="C289" s="55"/>
      <c r="D289" s="64"/>
      <c r="E289" s="55"/>
      <c r="F289" s="55"/>
    </row>
    <row r="290" spans="1:6" ht="57.95" customHeight="1" x14ac:dyDescent="0.3">
      <c r="A290" s="36" t="s">
        <v>615</v>
      </c>
      <c r="B290" s="54" t="s">
        <v>616</v>
      </c>
      <c r="C290" s="55"/>
      <c r="D290" s="64"/>
      <c r="E290" s="55"/>
      <c r="F290" s="55"/>
    </row>
    <row r="291" spans="1:6" ht="57.95" customHeight="1" x14ac:dyDescent="0.3">
      <c r="A291" s="36" t="s">
        <v>617</v>
      </c>
      <c r="B291" s="54" t="s">
        <v>618</v>
      </c>
      <c r="C291" s="55"/>
      <c r="D291" s="64"/>
      <c r="E291" s="55"/>
      <c r="F291" s="55"/>
    </row>
    <row r="292" spans="1:6" ht="57.95" customHeight="1" x14ac:dyDescent="0.3">
      <c r="A292" s="36" t="s">
        <v>619</v>
      </c>
      <c r="B292" s="54" t="s">
        <v>620</v>
      </c>
      <c r="C292" s="55"/>
      <c r="D292" s="64"/>
      <c r="E292" s="55"/>
      <c r="F292" s="55"/>
    </row>
    <row r="293" spans="1:6" ht="57.95" customHeight="1" x14ac:dyDescent="0.3">
      <c r="A293" s="36" t="s">
        <v>621</v>
      </c>
      <c r="B293" s="54" t="s">
        <v>622</v>
      </c>
      <c r="C293" s="55"/>
      <c r="D293" s="64"/>
      <c r="E293" s="55"/>
      <c r="F293" s="55"/>
    </row>
    <row r="294" spans="1:6" ht="57.95" customHeight="1" x14ac:dyDescent="0.3">
      <c r="A294" s="36" t="s">
        <v>623</v>
      </c>
      <c r="B294" s="54" t="s">
        <v>624</v>
      </c>
      <c r="C294" s="55"/>
      <c r="D294" s="64"/>
      <c r="E294" s="55"/>
      <c r="F294" s="55"/>
    </row>
    <row r="295" spans="1:6" ht="24" customHeight="1" x14ac:dyDescent="0.3">
      <c r="A295" s="54" t="s">
        <v>625</v>
      </c>
      <c r="B295" s="55"/>
      <c r="C295" s="55"/>
      <c r="D295" s="64"/>
      <c r="E295" s="55"/>
      <c r="F295" s="55"/>
    </row>
    <row r="296" spans="1:6" ht="24" customHeight="1" x14ac:dyDescent="0.3">
      <c r="A296" s="36" t="s">
        <v>626</v>
      </c>
      <c r="B296" s="64"/>
      <c r="C296" s="55"/>
      <c r="D296" s="36" t="s">
        <v>607</v>
      </c>
      <c r="E296" s="54" t="str">
        <f>IF(B296="완료",IF(LEN(TRIM(C287&amp;""))=0,"관찰자·일자 미기록",IF(OR(LEN(TRIM(D289&amp;""))+LEN(TRIM(D290&amp;""))+LEN(TRIM(D291&amp;""))+LEN(TRIM(D292&amp;""))+LEN(TRIM(D293&amp;""))+LEN(TRIM(D294&amp;""))&gt;0,AND(OR(B298="주저함 · 거리를 벌림",B298="뚜렷한 치우침 없음",B298="살피지 않고 들이닥침",B298="자극에 따라 다름",B298="판단보류"),LEN(TRIM(B299&amp;""))&gt;0)),"완료","의견·입장 근거 미기록")),IF(OR(B296="작성 중",LEN(TRIM(D289&amp;""))+LEN(TRIM(D290&amp;""))+LEN(TRIM(D291&amp;""))+LEN(TRIM(D292&amp;""))+LEN(TRIM(D293&amp;""))+LEN(TRIM(D294&amp;""))&gt;0,LEN(TRIM(C287&amp;""))&gt;0,LEN(TRIM(B298&amp;""))&gt;0,LEN(TRIM(B299&amp;""))&gt;0),"작성 중","미작성"))</f>
        <v>미작성</v>
      </c>
      <c r="F296" s="55"/>
    </row>
    <row r="297" spans="1:6" ht="30" customHeight="1" x14ac:dyDescent="0.3">
      <c r="A297" s="54" t="s">
        <v>627</v>
      </c>
      <c r="B297" s="55"/>
      <c r="C297" s="55"/>
      <c r="D297" s="55"/>
      <c r="E297" s="55"/>
      <c r="F297" s="55"/>
    </row>
    <row r="298" spans="1:6" ht="33.950000000000003" customHeight="1" x14ac:dyDescent="0.3">
      <c r="A298" s="36" t="s">
        <v>628</v>
      </c>
      <c r="B298" s="64"/>
      <c r="C298" s="55"/>
      <c r="D298" s="54" t="s">
        <v>629</v>
      </c>
      <c r="E298" s="55"/>
      <c r="F298" s="55"/>
    </row>
    <row r="299" spans="1:6" ht="24" customHeight="1" x14ac:dyDescent="0.3">
      <c r="A299" s="36" t="s">
        <v>630</v>
      </c>
      <c r="B299" s="64"/>
      <c r="C299" s="55"/>
      <c r="D299" s="55"/>
      <c r="E299" s="55"/>
      <c r="F299" s="55"/>
    </row>
    <row r="300" spans="1:6" ht="24" customHeight="1" x14ac:dyDescent="0.3">
      <c r="A300" s="36"/>
      <c r="B300" s="55"/>
      <c r="C300" s="55"/>
      <c r="D300" s="55"/>
      <c r="E300" s="55"/>
      <c r="F300" s="55"/>
    </row>
    <row r="301" spans="1:6" ht="24" customHeight="1" x14ac:dyDescent="0.3">
      <c r="A301" s="36"/>
      <c r="B301" s="36"/>
      <c r="C301" s="36"/>
      <c r="D301" s="36"/>
      <c r="E301" s="36"/>
      <c r="F301" s="36"/>
    </row>
    <row r="302" spans="1:6" ht="24" customHeight="1" x14ac:dyDescent="0.3">
      <c r="A302" s="56" t="str">
        <f>"18번  "&amp;IF(LEN(TRIM(여러쌍비교!B23&amp;""))=0,"이름 미입력",여러쌍비교!B23)</f>
        <v>18번  이름 미입력</v>
      </c>
      <c r="B302" s="55"/>
      <c r="C302" s="55"/>
      <c r="D302" s="55"/>
      <c r="E302" s="55"/>
      <c r="F302" s="55"/>
    </row>
    <row r="303" spans="1:6" ht="24" customHeight="1" x14ac:dyDescent="0.3">
      <c r="A303" s="36" t="s">
        <v>609</v>
      </c>
      <c r="B303" s="36"/>
      <c r="C303" s="64"/>
      <c r="D303" s="55"/>
      <c r="E303" s="55"/>
      <c r="F303" s="55"/>
    </row>
    <row r="304" spans="1:6" ht="24" customHeight="1" x14ac:dyDescent="0.3">
      <c r="A304" s="43" t="s">
        <v>56</v>
      </c>
      <c r="B304" s="65" t="s">
        <v>611</v>
      </c>
      <c r="C304" s="55"/>
      <c r="D304" s="65" t="s">
        <v>612</v>
      </c>
      <c r="E304" s="55"/>
      <c r="F304" s="55"/>
    </row>
    <row r="305" spans="1:6" ht="57.95" customHeight="1" x14ac:dyDescent="0.3">
      <c r="A305" s="36" t="s">
        <v>613</v>
      </c>
      <c r="B305" s="54" t="s">
        <v>614</v>
      </c>
      <c r="C305" s="55"/>
      <c r="D305" s="64"/>
      <c r="E305" s="55"/>
      <c r="F305" s="55"/>
    </row>
    <row r="306" spans="1:6" ht="57.95" customHeight="1" x14ac:dyDescent="0.3">
      <c r="A306" s="36" t="s">
        <v>615</v>
      </c>
      <c r="B306" s="54" t="s">
        <v>616</v>
      </c>
      <c r="C306" s="55"/>
      <c r="D306" s="64"/>
      <c r="E306" s="55"/>
      <c r="F306" s="55"/>
    </row>
    <row r="307" spans="1:6" ht="57.95" customHeight="1" x14ac:dyDescent="0.3">
      <c r="A307" s="36" t="s">
        <v>617</v>
      </c>
      <c r="B307" s="54" t="s">
        <v>618</v>
      </c>
      <c r="C307" s="55"/>
      <c r="D307" s="64"/>
      <c r="E307" s="55"/>
      <c r="F307" s="55"/>
    </row>
    <row r="308" spans="1:6" ht="57.95" customHeight="1" x14ac:dyDescent="0.3">
      <c r="A308" s="36" t="s">
        <v>619</v>
      </c>
      <c r="B308" s="54" t="s">
        <v>620</v>
      </c>
      <c r="C308" s="55"/>
      <c r="D308" s="64"/>
      <c r="E308" s="55"/>
      <c r="F308" s="55"/>
    </row>
    <row r="309" spans="1:6" ht="57.95" customHeight="1" x14ac:dyDescent="0.3">
      <c r="A309" s="36" t="s">
        <v>621</v>
      </c>
      <c r="B309" s="54" t="s">
        <v>622</v>
      </c>
      <c r="C309" s="55"/>
      <c r="D309" s="64"/>
      <c r="E309" s="55"/>
      <c r="F309" s="55"/>
    </row>
    <row r="310" spans="1:6" ht="57.95" customHeight="1" x14ac:dyDescent="0.3">
      <c r="A310" s="36" t="s">
        <v>623</v>
      </c>
      <c r="B310" s="54" t="s">
        <v>624</v>
      </c>
      <c r="C310" s="55"/>
      <c r="D310" s="64"/>
      <c r="E310" s="55"/>
      <c r="F310" s="55"/>
    </row>
    <row r="311" spans="1:6" ht="24" customHeight="1" x14ac:dyDescent="0.3">
      <c r="A311" s="54" t="s">
        <v>625</v>
      </c>
      <c r="B311" s="55"/>
      <c r="C311" s="55"/>
      <c r="D311" s="64"/>
      <c r="E311" s="55"/>
      <c r="F311" s="55"/>
    </row>
    <row r="312" spans="1:6" ht="24" customHeight="1" x14ac:dyDescent="0.3">
      <c r="A312" s="36" t="s">
        <v>626</v>
      </c>
      <c r="B312" s="64"/>
      <c r="C312" s="55"/>
      <c r="D312" s="36" t="s">
        <v>607</v>
      </c>
      <c r="E312" s="54" t="str">
        <f>IF(B312="완료",IF(LEN(TRIM(C303&amp;""))=0,"관찰자·일자 미기록",IF(OR(LEN(TRIM(D305&amp;""))+LEN(TRIM(D306&amp;""))+LEN(TRIM(D307&amp;""))+LEN(TRIM(D308&amp;""))+LEN(TRIM(D309&amp;""))+LEN(TRIM(D310&amp;""))&gt;0,AND(OR(B314="주저함 · 거리를 벌림",B314="뚜렷한 치우침 없음",B314="살피지 않고 들이닥침",B314="자극에 따라 다름",B314="판단보류"),LEN(TRIM(B315&amp;""))&gt;0)),"완료","의견·입장 근거 미기록")),IF(OR(B312="작성 중",LEN(TRIM(D305&amp;""))+LEN(TRIM(D306&amp;""))+LEN(TRIM(D307&amp;""))+LEN(TRIM(D308&amp;""))+LEN(TRIM(D309&amp;""))+LEN(TRIM(D310&amp;""))&gt;0,LEN(TRIM(C303&amp;""))&gt;0,LEN(TRIM(B314&amp;""))&gt;0,LEN(TRIM(B315&amp;""))&gt;0),"작성 중","미작성"))</f>
        <v>미작성</v>
      </c>
      <c r="F312" s="55"/>
    </row>
    <row r="313" spans="1:6" ht="30" customHeight="1" x14ac:dyDescent="0.3">
      <c r="A313" s="54" t="s">
        <v>627</v>
      </c>
      <c r="B313" s="55"/>
      <c r="C313" s="55"/>
      <c r="D313" s="55"/>
      <c r="E313" s="55"/>
      <c r="F313" s="55"/>
    </row>
    <row r="314" spans="1:6" ht="33.950000000000003" customHeight="1" x14ac:dyDescent="0.3">
      <c r="A314" s="36" t="s">
        <v>628</v>
      </c>
      <c r="B314" s="64"/>
      <c r="C314" s="55"/>
      <c r="D314" s="54" t="s">
        <v>629</v>
      </c>
      <c r="E314" s="55"/>
      <c r="F314" s="55"/>
    </row>
    <row r="315" spans="1:6" ht="24" customHeight="1" x14ac:dyDescent="0.3">
      <c r="A315" s="36" t="s">
        <v>630</v>
      </c>
      <c r="B315" s="64"/>
      <c r="C315" s="55"/>
      <c r="D315" s="55"/>
      <c r="E315" s="55"/>
      <c r="F315" s="55"/>
    </row>
    <row r="316" spans="1:6" ht="24" customHeight="1" x14ac:dyDescent="0.3">
      <c r="A316" s="36"/>
      <c r="B316" s="55"/>
      <c r="C316" s="55"/>
      <c r="D316" s="55"/>
      <c r="E316" s="55"/>
      <c r="F316" s="55"/>
    </row>
    <row r="317" spans="1:6" ht="24" customHeight="1" x14ac:dyDescent="0.3">
      <c r="A317" s="36"/>
      <c r="B317" s="36"/>
      <c r="C317" s="36"/>
      <c r="D317" s="36"/>
      <c r="E317" s="36"/>
      <c r="F317" s="36"/>
    </row>
    <row r="318" spans="1:6" ht="24" customHeight="1" x14ac:dyDescent="0.3">
      <c r="A318" s="56" t="str">
        <f>"19번  "&amp;IF(LEN(TRIM(여러쌍비교!B24&amp;""))=0,"이름 미입력",여러쌍비교!B24)</f>
        <v>19번  이름 미입력</v>
      </c>
      <c r="B318" s="55"/>
      <c r="C318" s="55"/>
      <c r="D318" s="55"/>
      <c r="E318" s="55"/>
      <c r="F318" s="55"/>
    </row>
    <row r="319" spans="1:6" ht="24" customHeight="1" x14ac:dyDescent="0.3">
      <c r="A319" s="36" t="s">
        <v>609</v>
      </c>
      <c r="B319" s="36"/>
      <c r="C319" s="64"/>
      <c r="D319" s="55"/>
      <c r="E319" s="55"/>
      <c r="F319" s="55"/>
    </row>
    <row r="320" spans="1:6" ht="24" customHeight="1" x14ac:dyDescent="0.3">
      <c r="A320" s="43" t="s">
        <v>56</v>
      </c>
      <c r="B320" s="65" t="s">
        <v>611</v>
      </c>
      <c r="C320" s="55"/>
      <c r="D320" s="65" t="s">
        <v>612</v>
      </c>
      <c r="E320" s="55"/>
      <c r="F320" s="55"/>
    </row>
    <row r="321" spans="1:6" ht="57.95" customHeight="1" x14ac:dyDescent="0.3">
      <c r="A321" s="36" t="s">
        <v>613</v>
      </c>
      <c r="B321" s="54" t="s">
        <v>614</v>
      </c>
      <c r="C321" s="55"/>
      <c r="D321" s="64"/>
      <c r="E321" s="55"/>
      <c r="F321" s="55"/>
    </row>
    <row r="322" spans="1:6" ht="57.95" customHeight="1" x14ac:dyDescent="0.3">
      <c r="A322" s="36" t="s">
        <v>615</v>
      </c>
      <c r="B322" s="54" t="s">
        <v>616</v>
      </c>
      <c r="C322" s="55"/>
      <c r="D322" s="64"/>
      <c r="E322" s="55"/>
      <c r="F322" s="55"/>
    </row>
    <row r="323" spans="1:6" ht="57.95" customHeight="1" x14ac:dyDescent="0.3">
      <c r="A323" s="36" t="s">
        <v>617</v>
      </c>
      <c r="B323" s="54" t="s">
        <v>618</v>
      </c>
      <c r="C323" s="55"/>
      <c r="D323" s="64"/>
      <c r="E323" s="55"/>
      <c r="F323" s="55"/>
    </row>
    <row r="324" spans="1:6" ht="57.95" customHeight="1" x14ac:dyDescent="0.3">
      <c r="A324" s="36" t="s">
        <v>619</v>
      </c>
      <c r="B324" s="54" t="s">
        <v>620</v>
      </c>
      <c r="C324" s="55"/>
      <c r="D324" s="64"/>
      <c r="E324" s="55"/>
      <c r="F324" s="55"/>
    </row>
    <row r="325" spans="1:6" ht="57.95" customHeight="1" x14ac:dyDescent="0.3">
      <c r="A325" s="36" t="s">
        <v>621</v>
      </c>
      <c r="B325" s="54" t="s">
        <v>622</v>
      </c>
      <c r="C325" s="55"/>
      <c r="D325" s="64"/>
      <c r="E325" s="55"/>
      <c r="F325" s="55"/>
    </row>
    <row r="326" spans="1:6" ht="57.95" customHeight="1" x14ac:dyDescent="0.3">
      <c r="A326" s="36" t="s">
        <v>623</v>
      </c>
      <c r="B326" s="54" t="s">
        <v>624</v>
      </c>
      <c r="C326" s="55"/>
      <c r="D326" s="64"/>
      <c r="E326" s="55"/>
      <c r="F326" s="55"/>
    </row>
    <row r="327" spans="1:6" ht="24" customHeight="1" x14ac:dyDescent="0.3">
      <c r="A327" s="54" t="s">
        <v>625</v>
      </c>
      <c r="B327" s="55"/>
      <c r="C327" s="55"/>
      <c r="D327" s="64"/>
      <c r="E327" s="55"/>
      <c r="F327" s="55"/>
    </row>
    <row r="328" spans="1:6" ht="24" customHeight="1" x14ac:dyDescent="0.3">
      <c r="A328" s="36" t="s">
        <v>626</v>
      </c>
      <c r="B328" s="64"/>
      <c r="C328" s="55"/>
      <c r="D328" s="36" t="s">
        <v>607</v>
      </c>
      <c r="E328" s="54" t="str">
        <f>IF(B328="완료",IF(LEN(TRIM(C319&amp;""))=0,"관찰자·일자 미기록",IF(OR(LEN(TRIM(D321&amp;""))+LEN(TRIM(D322&amp;""))+LEN(TRIM(D323&amp;""))+LEN(TRIM(D324&amp;""))+LEN(TRIM(D325&amp;""))+LEN(TRIM(D326&amp;""))&gt;0,AND(OR(B330="주저함 · 거리를 벌림",B330="뚜렷한 치우침 없음",B330="살피지 않고 들이닥침",B330="자극에 따라 다름",B330="판단보류"),LEN(TRIM(B331&amp;""))&gt;0)),"완료","의견·입장 근거 미기록")),IF(OR(B328="작성 중",LEN(TRIM(D321&amp;""))+LEN(TRIM(D322&amp;""))+LEN(TRIM(D323&amp;""))+LEN(TRIM(D324&amp;""))+LEN(TRIM(D325&amp;""))+LEN(TRIM(D326&amp;""))&gt;0,LEN(TRIM(C319&amp;""))&gt;0,LEN(TRIM(B330&amp;""))&gt;0,LEN(TRIM(B331&amp;""))&gt;0),"작성 중","미작성"))</f>
        <v>미작성</v>
      </c>
      <c r="F328" s="55"/>
    </row>
    <row r="329" spans="1:6" ht="30" customHeight="1" x14ac:dyDescent="0.3">
      <c r="A329" s="54" t="s">
        <v>627</v>
      </c>
      <c r="B329" s="55"/>
      <c r="C329" s="55"/>
      <c r="D329" s="55"/>
      <c r="E329" s="55"/>
      <c r="F329" s="55"/>
    </row>
    <row r="330" spans="1:6" ht="33.950000000000003" customHeight="1" x14ac:dyDescent="0.3">
      <c r="A330" s="36" t="s">
        <v>628</v>
      </c>
      <c r="B330" s="64"/>
      <c r="C330" s="55"/>
      <c r="D330" s="54" t="s">
        <v>629</v>
      </c>
      <c r="E330" s="55"/>
      <c r="F330" s="55"/>
    </row>
    <row r="331" spans="1:6" ht="24" customHeight="1" x14ac:dyDescent="0.3">
      <c r="A331" s="36" t="s">
        <v>630</v>
      </c>
      <c r="B331" s="64"/>
      <c r="C331" s="55"/>
      <c r="D331" s="55"/>
      <c r="E331" s="55"/>
      <c r="F331" s="55"/>
    </row>
    <row r="332" spans="1:6" ht="24" customHeight="1" x14ac:dyDescent="0.3">
      <c r="A332" s="36"/>
      <c r="B332" s="55"/>
      <c r="C332" s="55"/>
      <c r="D332" s="55"/>
      <c r="E332" s="55"/>
      <c r="F332" s="55"/>
    </row>
    <row r="333" spans="1:6" ht="24" customHeight="1" x14ac:dyDescent="0.3">
      <c r="A333" s="36"/>
      <c r="B333" s="36"/>
      <c r="C333" s="36"/>
      <c r="D333" s="36"/>
      <c r="E333" s="36"/>
      <c r="F333" s="36"/>
    </row>
    <row r="334" spans="1:6" ht="24" customHeight="1" x14ac:dyDescent="0.3">
      <c r="A334" s="56" t="str">
        <f>"20번  "&amp;IF(LEN(TRIM(여러쌍비교!B25&amp;""))=0,"이름 미입력",여러쌍비교!B25)</f>
        <v>20번  이름 미입력</v>
      </c>
      <c r="B334" s="55"/>
      <c r="C334" s="55"/>
      <c r="D334" s="55"/>
      <c r="E334" s="55"/>
      <c r="F334" s="55"/>
    </row>
    <row r="335" spans="1:6" ht="24" customHeight="1" x14ac:dyDescent="0.3">
      <c r="A335" s="36" t="s">
        <v>609</v>
      </c>
      <c r="B335" s="36"/>
      <c r="C335" s="64"/>
      <c r="D335" s="55"/>
      <c r="E335" s="55"/>
      <c r="F335" s="55"/>
    </row>
    <row r="336" spans="1:6" ht="24" customHeight="1" x14ac:dyDescent="0.3">
      <c r="A336" s="43" t="s">
        <v>56</v>
      </c>
      <c r="B336" s="65" t="s">
        <v>611</v>
      </c>
      <c r="C336" s="55"/>
      <c r="D336" s="65" t="s">
        <v>612</v>
      </c>
      <c r="E336" s="55"/>
      <c r="F336" s="55"/>
    </row>
    <row r="337" spans="1:6" ht="57.95" customHeight="1" x14ac:dyDescent="0.3">
      <c r="A337" s="36" t="s">
        <v>613</v>
      </c>
      <c r="B337" s="54" t="s">
        <v>614</v>
      </c>
      <c r="C337" s="55"/>
      <c r="D337" s="64"/>
      <c r="E337" s="55"/>
      <c r="F337" s="55"/>
    </row>
    <row r="338" spans="1:6" ht="57.95" customHeight="1" x14ac:dyDescent="0.3">
      <c r="A338" s="36" t="s">
        <v>615</v>
      </c>
      <c r="B338" s="54" t="s">
        <v>616</v>
      </c>
      <c r="C338" s="55"/>
      <c r="D338" s="64"/>
      <c r="E338" s="55"/>
      <c r="F338" s="55"/>
    </row>
    <row r="339" spans="1:6" ht="57.95" customHeight="1" x14ac:dyDescent="0.3">
      <c r="A339" s="36" t="s">
        <v>617</v>
      </c>
      <c r="B339" s="54" t="s">
        <v>618</v>
      </c>
      <c r="C339" s="55"/>
      <c r="D339" s="64"/>
      <c r="E339" s="55"/>
      <c r="F339" s="55"/>
    </row>
    <row r="340" spans="1:6" ht="57.95" customHeight="1" x14ac:dyDescent="0.3">
      <c r="A340" s="36" t="s">
        <v>619</v>
      </c>
      <c r="B340" s="54" t="s">
        <v>620</v>
      </c>
      <c r="C340" s="55"/>
      <c r="D340" s="64"/>
      <c r="E340" s="55"/>
      <c r="F340" s="55"/>
    </row>
    <row r="341" spans="1:6" ht="57.95" customHeight="1" x14ac:dyDescent="0.3">
      <c r="A341" s="36" t="s">
        <v>621</v>
      </c>
      <c r="B341" s="54" t="s">
        <v>622</v>
      </c>
      <c r="C341" s="55"/>
      <c r="D341" s="64"/>
      <c r="E341" s="55"/>
      <c r="F341" s="55"/>
    </row>
    <row r="342" spans="1:6" ht="57.95" customHeight="1" x14ac:dyDescent="0.3">
      <c r="A342" s="36" t="s">
        <v>623</v>
      </c>
      <c r="B342" s="54" t="s">
        <v>624</v>
      </c>
      <c r="C342" s="55"/>
      <c r="D342" s="64"/>
      <c r="E342" s="55"/>
      <c r="F342" s="55"/>
    </row>
    <row r="343" spans="1:6" ht="24" customHeight="1" x14ac:dyDescent="0.3">
      <c r="A343" s="54" t="s">
        <v>625</v>
      </c>
      <c r="B343" s="55"/>
      <c r="C343" s="55"/>
      <c r="D343" s="64"/>
      <c r="E343" s="55"/>
      <c r="F343" s="55"/>
    </row>
    <row r="344" spans="1:6" ht="24" customHeight="1" x14ac:dyDescent="0.3">
      <c r="A344" s="36" t="s">
        <v>626</v>
      </c>
      <c r="B344" s="64"/>
      <c r="C344" s="55"/>
      <c r="D344" s="36" t="s">
        <v>607</v>
      </c>
      <c r="E344" s="54" t="str">
        <f>IF(B344="완료",IF(LEN(TRIM(C335&amp;""))=0,"관찰자·일자 미기록",IF(OR(LEN(TRIM(D337&amp;""))+LEN(TRIM(D338&amp;""))+LEN(TRIM(D339&amp;""))+LEN(TRIM(D340&amp;""))+LEN(TRIM(D341&amp;""))+LEN(TRIM(D342&amp;""))&gt;0,AND(OR(B346="주저함 · 거리를 벌림",B346="뚜렷한 치우침 없음",B346="살피지 않고 들이닥침",B346="자극에 따라 다름",B346="판단보류"),LEN(TRIM(B347&amp;""))&gt;0)),"완료","의견·입장 근거 미기록")),IF(OR(B344="작성 중",LEN(TRIM(D337&amp;""))+LEN(TRIM(D338&amp;""))+LEN(TRIM(D339&amp;""))+LEN(TRIM(D340&amp;""))+LEN(TRIM(D341&amp;""))+LEN(TRIM(D342&amp;""))&gt;0,LEN(TRIM(C335&amp;""))&gt;0,LEN(TRIM(B346&amp;""))&gt;0,LEN(TRIM(B347&amp;""))&gt;0),"작성 중","미작성"))</f>
        <v>미작성</v>
      </c>
      <c r="F344" s="55"/>
    </row>
    <row r="345" spans="1:6" ht="30" customHeight="1" x14ac:dyDescent="0.3">
      <c r="A345" s="54" t="s">
        <v>627</v>
      </c>
      <c r="B345" s="55"/>
      <c r="C345" s="55"/>
      <c r="D345" s="55"/>
      <c r="E345" s="55"/>
      <c r="F345" s="55"/>
    </row>
    <row r="346" spans="1:6" ht="33.950000000000003" customHeight="1" x14ac:dyDescent="0.3">
      <c r="A346" s="36" t="s">
        <v>628</v>
      </c>
      <c r="B346" s="64"/>
      <c r="C346" s="55"/>
      <c r="D346" s="54" t="s">
        <v>629</v>
      </c>
      <c r="E346" s="55"/>
      <c r="F346" s="55"/>
    </row>
    <row r="347" spans="1:6" ht="24" customHeight="1" x14ac:dyDescent="0.3">
      <c r="A347" s="36" t="s">
        <v>630</v>
      </c>
      <c r="B347" s="64"/>
      <c r="C347" s="55"/>
      <c r="D347" s="55"/>
      <c r="E347" s="55"/>
      <c r="F347" s="55"/>
    </row>
    <row r="348" spans="1:6" ht="24" customHeight="1" x14ac:dyDescent="0.3">
      <c r="A348" s="36"/>
      <c r="B348" s="55"/>
      <c r="C348" s="55"/>
      <c r="D348" s="55"/>
      <c r="E348" s="55"/>
      <c r="F348" s="55"/>
    </row>
    <row r="349" spans="1:6" ht="24" customHeight="1" x14ac:dyDescent="0.3">
      <c r="A349" s="36"/>
      <c r="B349" s="36"/>
      <c r="C349" s="36"/>
      <c r="D349" s="36"/>
      <c r="E349" s="36"/>
      <c r="F349" s="36"/>
    </row>
    <row r="350" spans="1:6" ht="24" customHeight="1" x14ac:dyDescent="0.3">
      <c r="A350" s="36"/>
      <c r="B350" s="36"/>
      <c r="C350" s="36"/>
      <c r="D350" s="36"/>
      <c r="E350" s="36"/>
      <c r="F350" s="36"/>
    </row>
  </sheetData>
  <mergeCells count="482">
    <mergeCell ref="B344:C344"/>
    <mergeCell ref="A103:C103"/>
    <mergeCell ref="C303:F303"/>
    <mergeCell ref="D131:F131"/>
    <mergeCell ref="D258:F258"/>
    <mergeCell ref="B50:C50"/>
    <mergeCell ref="D52:F52"/>
    <mergeCell ref="D38:F38"/>
    <mergeCell ref="D98:F98"/>
    <mergeCell ref="B128:C128"/>
    <mergeCell ref="B226:C226"/>
    <mergeCell ref="E216:F216"/>
    <mergeCell ref="A39:C39"/>
    <mergeCell ref="A201:F201"/>
    <mergeCell ref="B65:C65"/>
    <mergeCell ref="B192:C192"/>
    <mergeCell ref="B219:F220"/>
    <mergeCell ref="D337:F337"/>
    <mergeCell ref="B273:C273"/>
    <mergeCell ref="B291:C291"/>
    <mergeCell ref="A297:F297"/>
    <mergeCell ref="D103:F103"/>
    <mergeCell ref="D134:F134"/>
    <mergeCell ref="B70:C70"/>
    <mergeCell ref="D339:F339"/>
    <mergeCell ref="A185:F185"/>
    <mergeCell ref="D180:F180"/>
    <mergeCell ref="B293:C293"/>
    <mergeCell ref="D118:F118"/>
    <mergeCell ref="D167:F167"/>
    <mergeCell ref="D161:F161"/>
    <mergeCell ref="A231:C231"/>
    <mergeCell ref="D32:F32"/>
    <mergeCell ref="E344:F344"/>
    <mergeCell ref="D97:F97"/>
    <mergeCell ref="B122:C122"/>
    <mergeCell ref="B56:C56"/>
    <mergeCell ref="B276:C276"/>
    <mergeCell ref="B214:C214"/>
    <mergeCell ref="B176:C176"/>
    <mergeCell ref="B341:C341"/>
    <mergeCell ref="B120:C120"/>
    <mergeCell ref="E152:F152"/>
    <mergeCell ref="B278:C278"/>
    <mergeCell ref="D192:F192"/>
    <mergeCell ref="D42:F42"/>
    <mergeCell ref="B342:C342"/>
    <mergeCell ref="D113:F113"/>
    <mergeCell ref="D148:F148"/>
    <mergeCell ref="D250:F250"/>
    <mergeCell ref="C143:F143"/>
    <mergeCell ref="D50:F50"/>
    <mergeCell ref="D115:F115"/>
    <mergeCell ref="C255:F255"/>
    <mergeCell ref="B133:C133"/>
    <mergeCell ref="B198:C198"/>
    <mergeCell ref="B328:C328"/>
    <mergeCell ref="B132:C132"/>
    <mergeCell ref="B123:F124"/>
    <mergeCell ref="C191:F191"/>
    <mergeCell ref="D240:F240"/>
    <mergeCell ref="B196:C196"/>
    <mergeCell ref="B186:C186"/>
    <mergeCell ref="D54:F54"/>
    <mergeCell ref="B257:C257"/>
    <mergeCell ref="B288:C288"/>
    <mergeCell ref="D100:F100"/>
    <mergeCell ref="E120:F120"/>
    <mergeCell ref="A169:F169"/>
    <mergeCell ref="E184:F184"/>
    <mergeCell ref="D266:F266"/>
    <mergeCell ref="D160:F160"/>
    <mergeCell ref="B54:C54"/>
    <mergeCell ref="B296:C296"/>
    <mergeCell ref="B227:C227"/>
    <mergeCell ref="A233:F233"/>
    <mergeCell ref="B202:C202"/>
    <mergeCell ref="D70:F70"/>
    <mergeCell ref="A2:F3"/>
    <mergeCell ref="B347:F348"/>
    <mergeCell ref="B325:C325"/>
    <mergeCell ref="D310:F310"/>
    <mergeCell ref="A158:F158"/>
    <mergeCell ref="B193:C193"/>
    <mergeCell ref="B264:C264"/>
    <mergeCell ref="B320:C320"/>
    <mergeCell ref="B149:C149"/>
    <mergeCell ref="B86:C86"/>
    <mergeCell ref="D326:F326"/>
    <mergeCell ref="B262:C262"/>
    <mergeCell ref="D165:F165"/>
    <mergeCell ref="B101:C101"/>
    <mergeCell ref="A327:C327"/>
    <mergeCell ref="D279:F279"/>
    <mergeCell ref="B182:C182"/>
    <mergeCell ref="B38:C38"/>
    <mergeCell ref="B75:F76"/>
    <mergeCell ref="B246:C246"/>
    <mergeCell ref="C63:F63"/>
    <mergeCell ref="B211:C211"/>
    <mergeCell ref="B40:C40"/>
    <mergeCell ref="B338:C338"/>
    <mergeCell ref="A345:F345"/>
    <mergeCell ref="D213:F213"/>
    <mergeCell ref="D151:F151"/>
    <mergeCell ref="B107:F108"/>
    <mergeCell ref="A89:F89"/>
    <mergeCell ref="D215:F215"/>
    <mergeCell ref="B171:F172"/>
    <mergeCell ref="B272:C272"/>
    <mergeCell ref="B161:C161"/>
    <mergeCell ref="B259:C259"/>
    <mergeCell ref="B136:C136"/>
    <mergeCell ref="B274:C274"/>
    <mergeCell ref="B225:C225"/>
    <mergeCell ref="A295:C295"/>
    <mergeCell ref="D218:F218"/>
    <mergeCell ref="D247:F247"/>
    <mergeCell ref="B177:C177"/>
    <mergeCell ref="B275:C275"/>
    <mergeCell ref="B104:C104"/>
    <mergeCell ref="B164:C164"/>
    <mergeCell ref="E136:F136"/>
    <mergeCell ref="B340:C340"/>
    <mergeCell ref="B212:C212"/>
    <mergeCell ref="D341:F341"/>
    <mergeCell ref="C31:F31"/>
    <mergeCell ref="A94:F94"/>
    <mergeCell ref="D84:F84"/>
    <mergeCell ref="D320:F320"/>
    <mergeCell ref="A281:F281"/>
    <mergeCell ref="B256:C256"/>
    <mergeCell ref="D149:F149"/>
    <mergeCell ref="B85:C85"/>
    <mergeCell ref="C95:F95"/>
    <mergeCell ref="D81:F81"/>
    <mergeCell ref="B33:C33"/>
    <mergeCell ref="B35:C35"/>
    <mergeCell ref="B277:C277"/>
    <mergeCell ref="D170:F170"/>
    <mergeCell ref="B106:C106"/>
    <mergeCell ref="A41:F41"/>
    <mergeCell ref="D163:F163"/>
    <mergeCell ref="D234:F234"/>
    <mergeCell ref="B66:C66"/>
    <mergeCell ref="B299:F300"/>
    <mergeCell ref="D209:F209"/>
    <mergeCell ref="D147:F147"/>
    <mergeCell ref="B180:C180"/>
    <mergeCell ref="E200:F200"/>
    <mergeCell ref="B322:C322"/>
    <mergeCell ref="D71:F71"/>
    <mergeCell ref="D202:F202"/>
    <mergeCell ref="D307:F307"/>
    <mergeCell ref="A135:C135"/>
    <mergeCell ref="D58:F58"/>
    <mergeCell ref="B42:C42"/>
    <mergeCell ref="D294:F294"/>
    <mergeCell ref="B88:C88"/>
    <mergeCell ref="B148:C148"/>
    <mergeCell ref="B82:C82"/>
    <mergeCell ref="B315:F316"/>
    <mergeCell ref="A199:C199"/>
    <mergeCell ref="D231:F231"/>
    <mergeCell ref="B146:C146"/>
    <mergeCell ref="C271:F271"/>
    <mergeCell ref="B304:C304"/>
    <mergeCell ref="B83:C83"/>
    <mergeCell ref="B130:C130"/>
    <mergeCell ref="D211:F211"/>
    <mergeCell ref="B117:C117"/>
    <mergeCell ref="B43:F44"/>
    <mergeCell ref="B160:C160"/>
    <mergeCell ref="B306:C306"/>
    <mergeCell ref="B97:C97"/>
    <mergeCell ref="D288:F288"/>
    <mergeCell ref="B224:C224"/>
    <mergeCell ref="A137:F137"/>
    <mergeCell ref="B72:C72"/>
    <mergeCell ref="D263:F263"/>
    <mergeCell ref="B184:C184"/>
    <mergeCell ref="D292:F292"/>
    <mergeCell ref="B228:C228"/>
    <mergeCell ref="C239:F239"/>
    <mergeCell ref="D146:F146"/>
    <mergeCell ref="A126:F126"/>
    <mergeCell ref="D304:F304"/>
    <mergeCell ref="B240:C240"/>
    <mergeCell ref="D83:F83"/>
    <mergeCell ref="A190:F190"/>
    <mergeCell ref="B91:F92"/>
    <mergeCell ref="D85:F85"/>
    <mergeCell ref="B155:F156"/>
    <mergeCell ref="A142:F142"/>
    <mergeCell ref="D342:F342"/>
    <mergeCell ref="D336:F336"/>
    <mergeCell ref="D181:F181"/>
    <mergeCell ref="A247:C247"/>
    <mergeCell ref="D273:F273"/>
    <mergeCell ref="D102:F102"/>
    <mergeCell ref="B67:C67"/>
    <mergeCell ref="D196:F196"/>
    <mergeCell ref="B290:C290"/>
    <mergeCell ref="A265:F265"/>
    <mergeCell ref="D133:F133"/>
    <mergeCell ref="A121:F121"/>
    <mergeCell ref="B69:C69"/>
    <mergeCell ref="C79:F79"/>
    <mergeCell ref="B112:C112"/>
    <mergeCell ref="A329:F329"/>
    <mergeCell ref="B298:C298"/>
    <mergeCell ref="D262:F262"/>
    <mergeCell ref="A73:F73"/>
    <mergeCell ref="D128:F128"/>
    <mergeCell ref="D199:F199"/>
    <mergeCell ref="D186:F186"/>
    <mergeCell ref="D291:F291"/>
    <mergeCell ref="A119:C119"/>
    <mergeCell ref="D346:F346"/>
    <mergeCell ref="B282:C282"/>
    <mergeCell ref="A57:F57"/>
    <mergeCell ref="D112:F112"/>
    <mergeCell ref="B48:C48"/>
    <mergeCell ref="B346:C346"/>
    <mergeCell ref="D323:F323"/>
    <mergeCell ref="D176:F176"/>
    <mergeCell ref="D114:F114"/>
    <mergeCell ref="D64:F64"/>
    <mergeCell ref="E232:F232"/>
    <mergeCell ref="B308:C308"/>
    <mergeCell ref="E296:F296"/>
    <mergeCell ref="B74:C74"/>
    <mergeCell ref="B68:C68"/>
    <mergeCell ref="B310:C310"/>
    <mergeCell ref="C223:F223"/>
    <mergeCell ref="B114:C114"/>
    <mergeCell ref="A110:F110"/>
    <mergeCell ref="D276:F276"/>
    <mergeCell ref="C287:F287"/>
    <mergeCell ref="D49:F49"/>
    <mergeCell ref="D242:F242"/>
    <mergeCell ref="A174:F174"/>
    <mergeCell ref="D34:F34"/>
    <mergeCell ref="D305:F305"/>
    <mergeCell ref="D243:F243"/>
    <mergeCell ref="D99:F99"/>
    <mergeCell ref="B241:C241"/>
    <mergeCell ref="B235:F236"/>
    <mergeCell ref="B216:C216"/>
    <mergeCell ref="D36:F36"/>
    <mergeCell ref="D101:F101"/>
    <mergeCell ref="B305:C305"/>
    <mergeCell ref="E56:F56"/>
    <mergeCell ref="B280:C280"/>
    <mergeCell ref="B218:C218"/>
    <mergeCell ref="D48:F48"/>
    <mergeCell ref="D278:F278"/>
    <mergeCell ref="B232:C232"/>
    <mergeCell ref="A238:F238"/>
    <mergeCell ref="D244:F244"/>
    <mergeCell ref="D39:F39"/>
    <mergeCell ref="B64:C64"/>
    <mergeCell ref="B51:C51"/>
    <mergeCell ref="A183:C183"/>
    <mergeCell ref="D293:F293"/>
    <mergeCell ref="B138:C138"/>
    <mergeCell ref="B292:C292"/>
    <mergeCell ref="A105:F105"/>
    <mergeCell ref="B96:C96"/>
    <mergeCell ref="E328:F328"/>
    <mergeCell ref="B307:C307"/>
    <mergeCell ref="B58:C58"/>
    <mergeCell ref="B52:C52"/>
    <mergeCell ref="A313:F313"/>
    <mergeCell ref="B294:C294"/>
    <mergeCell ref="B98:C98"/>
    <mergeCell ref="D177:F177"/>
    <mergeCell ref="D226:F226"/>
    <mergeCell ref="B162:C162"/>
    <mergeCell ref="D164:F164"/>
    <mergeCell ref="D241:F241"/>
    <mergeCell ref="A167:C167"/>
    <mergeCell ref="D228:F228"/>
    <mergeCell ref="D295:F295"/>
    <mergeCell ref="D178:F178"/>
    <mergeCell ref="B326:C326"/>
    <mergeCell ref="E248:F248"/>
    <mergeCell ref="B209:C209"/>
    <mergeCell ref="D194:F194"/>
    <mergeCell ref="E312:F312"/>
    <mergeCell ref="B250:C250"/>
    <mergeCell ref="E40:F40"/>
    <mergeCell ref="B337:C337"/>
    <mergeCell ref="B166:C166"/>
    <mergeCell ref="B116:C116"/>
    <mergeCell ref="E104:F104"/>
    <mergeCell ref="B37:C37"/>
    <mergeCell ref="D343:F343"/>
    <mergeCell ref="B230:C230"/>
    <mergeCell ref="B339:C339"/>
    <mergeCell ref="B168:C168"/>
    <mergeCell ref="D182:F182"/>
    <mergeCell ref="B118:C118"/>
    <mergeCell ref="D246:F246"/>
    <mergeCell ref="D282:F282"/>
    <mergeCell ref="D338:F338"/>
    <mergeCell ref="D257:F257"/>
    <mergeCell ref="D86:F86"/>
    <mergeCell ref="D340:F340"/>
    <mergeCell ref="A46:F46"/>
    <mergeCell ref="B134:C134"/>
    <mergeCell ref="D321:F321"/>
    <mergeCell ref="B194:C194"/>
    <mergeCell ref="D150:F150"/>
    <mergeCell ref="D330:F330"/>
    <mergeCell ref="B266:C266"/>
    <mergeCell ref="D80:F80"/>
    <mergeCell ref="D96:F96"/>
    <mergeCell ref="B32:C32"/>
    <mergeCell ref="E264:F264"/>
    <mergeCell ref="B330:C330"/>
    <mergeCell ref="B197:C197"/>
    <mergeCell ref="B324:C324"/>
    <mergeCell ref="C207:F207"/>
    <mergeCell ref="D325:F325"/>
    <mergeCell ref="A286:F286"/>
    <mergeCell ref="B261:C261"/>
    <mergeCell ref="D225:F225"/>
    <mergeCell ref="D154:F154"/>
    <mergeCell ref="B90:C90"/>
    <mergeCell ref="D162:F162"/>
    <mergeCell ref="D327:F327"/>
    <mergeCell ref="D227:F227"/>
    <mergeCell ref="D106:F106"/>
    <mergeCell ref="E280:F280"/>
    <mergeCell ref="B139:F140"/>
    <mergeCell ref="A254:F254"/>
    <mergeCell ref="B179:C179"/>
    <mergeCell ref="A343:C343"/>
    <mergeCell ref="D65:F65"/>
    <mergeCell ref="B36:C36"/>
    <mergeCell ref="B163:C163"/>
    <mergeCell ref="A87:C87"/>
    <mergeCell ref="B309:C309"/>
    <mergeCell ref="B113:C113"/>
    <mergeCell ref="B100:C100"/>
    <mergeCell ref="B267:F268"/>
    <mergeCell ref="B336:C336"/>
    <mergeCell ref="B165:C165"/>
    <mergeCell ref="C159:F159"/>
    <mergeCell ref="B283:F284"/>
    <mergeCell ref="D179:F179"/>
    <mergeCell ref="B115:C115"/>
    <mergeCell ref="D166:F166"/>
    <mergeCell ref="B102:C102"/>
    <mergeCell ref="D212:F212"/>
    <mergeCell ref="A71:C71"/>
    <mergeCell ref="D37:F37"/>
    <mergeCell ref="D230:F230"/>
    <mergeCell ref="B251:F252"/>
    <mergeCell ref="D256:F256"/>
    <mergeCell ref="B178:C178"/>
    <mergeCell ref="A334:F334"/>
    <mergeCell ref="A1:F1"/>
    <mergeCell ref="D229:F229"/>
    <mergeCell ref="A78:F78"/>
    <mergeCell ref="D198:F198"/>
    <mergeCell ref="B321:C321"/>
    <mergeCell ref="B150:C150"/>
    <mergeCell ref="B187:F188"/>
    <mergeCell ref="D306:F306"/>
    <mergeCell ref="D135:F135"/>
    <mergeCell ref="D298:F298"/>
    <mergeCell ref="E88:F88"/>
    <mergeCell ref="B323:C323"/>
    <mergeCell ref="B152:C152"/>
    <mergeCell ref="A302:F302"/>
    <mergeCell ref="B244:C244"/>
    <mergeCell ref="B229:C229"/>
    <mergeCell ref="B145:C145"/>
    <mergeCell ref="A311:C311"/>
    <mergeCell ref="B181:C181"/>
    <mergeCell ref="D322:F322"/>
    <mergeCell ref="B258:C258"/>
    <mergeCell ref="D260:F260"/>
    <mergeCell ref="B147:C147"/>
    <mergeCell ref="D274:F274"/>
    <mergeCell ref="D245:F245"/>
    <mergeCell ref="B210:C210"/>
    <mergeCell ref="A151:C151"/>
    <mergeCell ref="D122:F122"/>
    <mergeCell ref="D193:F193"/>
    <mergeCell ref="D224:F224"/>
    <mergeCell ref="B331:F332"/>
    <mergeCell ref="A215:C215"/>
    <mergeCell ref="B170:C170"/>
    <mergeCell ref="B234:C234"/>
    <mergeCell ref="A270:F270"/>
    <mergeCell ref="D138:F138"/>
    <mergeCell ref="C127:F127"/>
    <mergeCell ref="D309:F309"/>
    <mergeCell ref="B245:C245"/>
    <mergeCell ref="D324:F324"/>
    <mergeCell ref="B260:C260"/>
    <mergeCell ref="A279:C279"/>
    <mergeCell ref="D311:F311"/>
    <mergeCell ref="D261:F261"/>
    <mergeCell ref="A222:F222"/>
    <mergeCell ref="B203:F204"/>
    <mergeCell ref="D314:F314"/>
    <mergeCell ref="D69:F69"/>
    <mergeCell ref="A30:F30"/>
    <mergeCell ref="B213:C213"/>
    <mergeCell ref="B80:C80"/>
    <mergeCell ref="A153:F153"/>
    <mergeCell ref="B144:C144"/>
    <mergeCell ref="B242:C242"/>
    <mergeCell ref="A217:F217"/>
    <mergeCell ref="D145:F145"/>
    <mergeCell ref="B81:C81"/>
    <mergeCell ref="B208:C208"/>
    <mergeCell ref="D210:F210"/>
    <mergeCell ref="D87:F87"/>
    <mergeCell ref="D51:F51"/>
    <mergeCell ref="D82:F82"/>
    <mergeCell ref="B34:C34"/>
    <mergeCell ref="B99:C99"/>
    <mergeCell ref="C47:F47"/>
    <mergeCell ref="E72:F72"/>
    <mergeCell ref="D90:F90"/>
    <mergeCell ref="B59:F60"/>
    <mergeCell ref="B49:C49"/>
    <mergeCell ref="D33:F33"/>
    <mergeCell ref="D35:F35"/>
    <mergeCell ref="C335:F335"/>
    <mergeCell ref="E168:F168"/>
    <mergeCell ref="D119:F119"/>
    <mergeCell ref="D208:F208"/>
    <mergeCell ref="D183:F183"/>
    <mergeCell ref="B154:C154"/>
    <mergeCell ref="D275:F275"/>
    <mergeCell ref="B129:C129"/>
    <mergeCell ref="B200:C200"/>
    <mergeCell ref="D277:F277"/>
    <mergeCell ref="B131:C131"/>
    <mergeCell ref="D214:F214"/>
    <mergeCell ref="D259:F259"/>
    <mergeCell ref="B195:C195"/>
    <mergeCell ref="A263:C263"/>
    <mergeCell ref="C319:F319"/>
    <mergeCell ref="C175:F175"/>
    <mergeCell ref="A206:F206"/>
    <mergeCell ref="D130:F130"/>
    <mergeCell ref="B289:C289"/>
    <mergeCell ref="D132:F132"/>
    <mergeCell ref="D290:F290"/>
    <mergeCell ref="D272:F272"/>
    <mergeCell ref="D308:F308"/>
    <mergeCell ref="D195:F195"/>
    <mergeCell ref="D116:F116"/>
    <mergeCell ref="D66:F66"/>
    <mergeCell ref="D197:F197"/>
    <mergeCell ref="D53:F53"/>
    <mergeCell ref="D289:F289"/>
    <mergeCell ref="B248:C248"/>
    <mergeCell ref="B312:C312"/>
    <mergeCell ref="A318:F318"/>
    <mergeCell ref="B243:C243"/>
    <mergeCell ref="B314:C314"/>
    <mergeCell ref="D129:F129"/>
    <mergeCell ref="A249:F249"/>
    <mergeCell ref="D144:F144"/>
    <mergeCell ref="A55:C55"/>
    <mergeCell ref="C111:F111"/>
    <mergeCell ref="D74:F74"/>
    <mergeCell ref="D68:F68"/>
    <mergeCell ref="A62:F62"/>
    <mergeCell ref="D117:F117"/>
    <mergeCell ref="B53:C53"/>
    <mergeCell ref="D55:F55"/>
    <mergeCell ref="D67:F67"/>
    <mergeCell ref="B84:C84"/>
  </mergeCells>
  <phoneticPr fontId="9" type="noConversion"/>
  <dataValidations count="60">
    <dataValidation type="list" sqref="D39">
      <formula1>"애착·관계,보호자 교육태도,사람에 대한 사회성,비사회적 두려움,환경 적응·회복,개의 성향,특별히 없음"</formula1>
    </dataValidation>
    <dataValidation type="list" showErrorMessage="1" errorTitle="목록 확인" error="목록에서 항목을 선택해 주세요." sqref="B40">
      <formula1>"작성 중,완료"</formula1>
    </dataValidation>
    <dataValidation type="list" showErrorMessage="1" errorTitle="목록 확인" error="목록에서 항목을 선택해 주세요." sqref="B42">
      <formula1>"주저함 · 거리를 벌림,뚜렷한 치우침 없음,살피지 않고 들이닥침,자극에 따라 다름,판단보류"</formula1>
    </dataValidation>
    <dataValidation type="list" sqref="D55">
      <formula1>"애착·관계,보호자 교육태도,사람에 대한 사회성,비사회적 두려움,환경 적응·회복,개의 성향,특별히 없음"</formula1>
    </dataValidation>
    <dataValidation type="list" showErrorMessage="1" errorTitle="목록 확인" error="목록에서 항목을 선택해 주세요." sqref="B56">
      <formula1>"작성 중,완료"</formula1>
    </dataValidation>
    <dataValidation type="list" showErrorMessage="1" errorTitle="목록 확인" error="목록에서 항목을 선택해 주세요." sqref="B58">
      <formula1>"주저함 · 거리를 벌림,뚜렷한 치우침 없음,살피지 않고 들이닥침,자극에 따라 다름,판단보류"</formula1>
    </dataValidation>
    <dataValidation type="list" sqref="D71">
      <formula1>"애착·관계,보호자 교육태도,사람에 대한 사회성,비사회적 두려움,환경 적응·회복,개의 성향,특별히 없음"</formula1>
    </dataValidation>
    <dataValidation type="list" showErrorMessage="1" errorTitle="목록 확인" error="목록에서 항목을 선택해 주세요." sqref="B72">
      <formula1>"작성 중,완료"</formula1>
    </dataValidation>
    <dataValidation type="list" showErrorMessage="1" errorTitle="목록 확인" error="목록에서 항목을 선택해 주세요." sqref="B74">
      <formula1>"주저함 · 거리를 벌림,뚜렷한 치우침 없음,살피지 않고 들이닥침,자극에 따라 다름,판단보류"</formula1>
    </dataValidation>
    <dataValidation type="list" sqref="D87">
      <formula1>"애착·관계,보호자 교육태도,사람에 대한 사회성,비사회적 두려움,환경 적응·회복,개의 성향,특별히 없음"</formula1>
    </dataValidation>
    <dataValidation type="list" showErrorMessage="1" errorTitle="목록 확인" error="목록에서 항목을 선택해 주세요." sqref="B88">
      <formula1>"작성 중,완료"</formula1>
    </dataValidation>
    <dataValidation type="list" showErrorMessage="1" errorTitle="목록 확인" error="목록에서 항목을 선택해 주세요." sqref="B90">
      <formula1>"주저함 · 거리를 벌림,뚜렷한 치우침 없음,살피지 않고 들이닥침,자극에 따라 다름,판단보류"</formula1>
    </dataValidation>
    <dataValidation type="list" sqref="D103">
      <formula1>"애착·관계,보호자 교육태도,사람에 대한 사회성,비사회적 두려움,환경 적응·회복,개의 성향,특별히 없음"</formula1>
    </dataValidation>
    <dataValidation type="list" showErrorMessage="1" errorTitle="목록 확인" error="목록에서 항목을 선택해 주세요." sqref="B104">
      <formula1>"작성 중,완료"</formula1>
    </dataValidation>
    <dataValidation type="list" showErrorMessage="1" errorTitle="목록 확인" error="목록에서 항목을 선택해 주세요." sqref="B106">
      <formula1>"주저함 · 거리를 벌림,뚜렷한 치우침 없음,살피지 않고 들이닥침,자극에 따라 다름,판단보류"</formula1>
    </dataValidation>
    <dataValidation type="list" sqref="D119">
      <formula1>"애착·관계,보호자 교육태도,사람에 대한 사회성,비사회적 두려움,환경 적응·회복,개의 성향,특별히 없음"</formula1>
    </dataValidation>
    <dataValidation type="list" showErrorMessage="1" errorTitle="목록 확인" error="목록에서 항목을 선택해 주세요." sqref="B120">
      <formula1>"작성 중,완료"</formula1>
    </dataValidation>
    <dataValidation type="list" showErrorMessage="1" errorTitle="목록 확인" error="목록에서 항목을 선택해 주세요." sqref="B122">
      <formula1>"주저함 · 거리를 벌림,뚜렷한 치우침 없음,살피지 않고 들이닥침,자극에 따라 다름,판단보류"</formula1>
    </dataValidation>
    <dataValidation type="list" sqref="D135">
      <formula1>"애착·관계,보호자 교육태도,사람에 대한 사회성,비사회적 두려움,환경 적응·회복,개의 성향,특별히 없음"</formula1>
    </dataValidation>
    <dataValidation type="list" showErrorMessage="1" errorTitle="목록 확인" error="목록에서 항목을 선택해 주세요." sqref="B136">
      <formula1>"작성 중,완료"</formula1>
    </dataValidation>
    <dataValidation type="list" showErrorMessage="1" errorTitle="목록 확인" error="목록에서 항목을 선택해 주세요." sqref="B138">
      <formula1>"주저함 · 거리를 벌림,뚜렷한 치우침 없음,살피지 않고 들이닥침,자극에 따라 다름,판단보류"</formula1>
    </dataValidation>
    <dataValidation type="list" sqref="D151">
      <formula1>"애착·관계,보호자 교육태도,사람에 대한 사회성,비사회적 두려움,환경 적응·회복,개의 성향,특별히 없음"</formula1>
    </dataValidation>
    <dataValidation type="list" showErrorMessage="1" errorTitle="목록 확인" error="목록에서 항목을 선택해 주세요." sqref="B152">
      <formula1>"작성 중,완료"</formula1>
    </dataValidation>
    <dataValidation type="list" showErrorMessage="1" errorTitle="목록 확인" error="목록에서 항목을 선택해 주세요." sqref="B154">
      <formula1>"주저함 · 거리를 벌림,뚜렷한 치우침 없음,살피지 않고 들이닥침,자극에 따라 다름,판단보류"</formula1>
    </dataValidation>
    <dataValidation type="list" sqref="D167">
      <formula1>"애착·관계,보호자 교육태도,사람에 대한 사회성,비사회적 두려움,환경 적응·회복,개의 성향,특별히 없음"</formula1>
    </dataValidation>
    <dataValidation type="list" showErrorMessage="1" errorTitle="목록 확인" error="목록에서 항목을 선택해 주세요." sqref="B168">
      <formula1>"작성 중,완료"</formula1>
    </dataValidation>
    <dataValidation type="list" showErrorMessage="1" errorTitle="목록 확인" error="목록에서 항목을 선택해 주세요." sqref="B170">
      <formula1>"주저함 · 거리를 벌림,뚜렷한 치우침 없음,살피지 않고 들이닥침,자극에 따라 다름,판단보류"</formula1>
    </dataValidation>
    <dataValidation type="list" sqref="D183">
      <formula1>"애착·관계,보호자 교육태도,사람에 대한 사회성,비사회적 두려움,환경 적응·회복,개의 성향,특별히 없음"</formula1>
    </dataValidation>
    <dataValidation type="list" showErrorMessage="1" errorTitle="목록 확인" error="목록에서 항목을 선택해 주세요." sqref="B184">
      <formula1>"작성 중,완료"</formula1>
    </dataValidation>
    <dataValidation type="list" showErrorMessage="1" errorTitle="목록 확인" error="목록에서 항목을 선택해 주세요." sqref="B186">
      <formula1>"주저함 · 거리를 벌림,뚜렷한 치우침 없음,살피지 않고 들이닥침,자극에 따라 다름,판단보류"</formula1>
    </dataValidation>
    <dataValidation type="list" sqref="D199">
      <formula1>"애착·관계,보호자 교육태도,사람에 대한 사회성,비사회적 두려움,환경 적응·회복,개의 성향,특별히 없음"</formula1>
    </dataValidation>
    <dataValidation type="list" showErrorMessage="1" errorTitle="목록 확인" error="목록에서 항목을 선택해 주세요." sqref="B200">
      <formula1>"작성 중,완료"</formula1>
    </dataValidation>
    <dataValidation type="list" showErrorMessage="1" errorTitle="목록 확인" error="목록에서 항목을 선택해 주세요." sqref="B202">
      <formula1>"주저함 · 거리를 벌림,뚜렷한 치우침 없음,살피지 않고 들이닥침,자극에 따라 다름,판단보류"</formula1>
    </dataValidation>
    <dataValidation type="list" sqref="D215">
      <formula1>"애착·관계,보호자 교육태도,사람에 대한 사회성,비사회적 두려움,환경 적응·회복,개의 성향,특별히 없음"</formula1>
    </dataValidation>
    <dataValidation type="list" showErrorMessage="1" errorTitle="목록 확인" error="목록에서 항목을 선택해 주세요." sqref="B216">
      <formula1>"작성 중,완료"</formula1>
    </dataValidation>
    <dataValidation type="list" showErrorMessage="1" errorTitle="목록 확인" error="목록에서 항목을 선택해 주세요." sqref="B218">
      <formula1>"주저함 · 거리를 벌림,뚜렷한 치우침 없음,살피지 않고 들이닥침,자극에 따라 다름,판단보류"</formula1>
    </dataValidation>
    <dataValidation type="list" sqref="D231">
      <formula1>"애착·관계,보호자 교육태도,사람에 대한 사회성,비사회적 두려움,환경 적응·회복,개의 성향,특별히 없음"</formula1>
    </dataValidation>
    <dataValidation type="list" showErrorMessage="1" errorTitle="목록 확인" error="목록에서 항목을 선택해 주세요." sqref="B232">
      <formula1>"작성 중,완료"</formula1>
    </dataValidation>
    <dataValidation type="list" showErrorMessage="1" errorTitle="목록 확인" error="목록에서 항목을 선택해 주세요." sqref="B234">
      <formula1>"주저함 · 거리를 벌림,뚜렷한 치우침 없음,살피지 않고 들이닥침,자극에 따라 다름,판단보류"</formula1>
    </dataValidation>
    <dataValidation type="list" sqref="D247">
      <formula1>"애착·관계,보호자 교육태도,사람에 대한 사회성,비사회적 두려움,환경 적응·회복,개의 성향,특별히 없음"</formula1>
    </dataValidation>
    <dataValidation type="list" showErrorMessage="1" errorTitle="목록 확인" error="목록에서 항목을 선택해 주세요." sqref="B248">
      <formula1>"작성 중,완료"</formula1>
    </dataValidation>
    <dataValidation type="list" showErrorMessage="1" errorTitle="목록 확인" error="목록에서 항목을 선택해 주세요." sqref="B250">
      <formula1>"주저함 · 거리를 벌림,뚜렷한 치우침 없음,살피지 않고 들이닥침,자극에 따라 다름,판단보류"</formula1>
    </dataValidation>
    <dataValidation type="list" sqref="D263">
      <formula1>"애착·관계,보호자 교육태도,사람에 대한 사회성,비사회적 두려움,환경 적응·회복,개의 성향,특별히 없음"</formula1>
    </dataValidation>
    <dataValidation type="list" showErrorMessage="1" errorTitle="목록 확인" error="목록에서 항목을 선택해 주세요." sqref="B264">
      <formula1>"작성 중,완료"</formula1>
    </dataValidation>
    <dataValidation type="list" showErrorMessage="1" errorTitle="목록 확인" error="목록에서 항목을 선택해 주세요." sqref="B266">
      <formula1>"주저함 · 거리를 벌림,뚜렷한 치우침 없음,살피지 않고 들이닥침,자극에 따라 다름,판단보류"</formula1>
    </dataValidation>
    <dataValidation type="list" sqref="D279">
      <formula1>"애착·관계,보호자 교육태도,사람에 대한 사회성,비사회적 두려움,환경 적응·회복,개의 성향,특별히 없음"</formula1>
    </dataValidation>
    <dataValidation type="list" showErrorMessage="1" errorTitle="목록 확인" error="목록에서 항목을 선택해 주세요." sqref="B280">
      <formula1>"작성 중,완료"</formula1>
    </dataValidation>
    <dataValidation type="list" showErrorMessage="1" errorTitle="목록 확인" error="목록에서 항목을 선택해 주세요." sqref="B282">
      <formula1>"주저함 · 거리를 벌림,뚜렷한 치우침 없음,살피지 않고 들이닥침,자극에 따라 다름,판단보류"</formula1>
    </dataValidation>
    <dataValidation type="list" sqref="D295">
      <formula1>"애착·관계,보호자 교육태도,사람에 대한 사회성,비사회적 두려움,환경 적응·회복,개의 성향,특별히 없음"</formula1>
    </dataValidation>
    <dataValidation type="list" showErrorMessage="1" errorTitle="목록 확인" error="목록에서 항목을 선택해 주세요." sqref="B296">
      <formula1>"작성 중,완료"</formula1>
    </dataValidation>
    <dataValidation type="list" showErrorMessage="1" errorTitle="목록 확인" error="목록에서 항목을 선택해 주세요." sqref="B298">
      <formula1>"주저함 · 거리를 벌림,뚜렷한 치우침 없음,살피지 않고 들이닥침,자극에 따라 다름,판단보류"</formula1>
    </dataValidation>
    <dataValidation type="list" sqref="D311">
      <formula1>"애착·관계,보호자 교육태도,사람에 대한 사회성,비사회적 두려움,환경 적응·회복,개의 성향,특별히 없음"</formula1>
    </dataValidation>
    <dataValidation type="list" showErrorMessage="1" errorTitle="목록 확인" error="목록에서 항목을 선택해 주세요." sqref="B312">
      <formula1>"작성 중,완료"</formula1>
    </dataValidation>
    <dataValidation type="list" showErrorMessage="1" errorTitle="목록 확인" error="목록에서 항목을 선택해 주세요." sqref="B314">
      <formula1>"주저함 · 거리를 벌림,뚜렷한 치우침 없음,살피지 않고 들이닥침,자극에 따라 다름,판단보류"</formula1>
    </dataValidation>
    <dataValidation type="list" sqref="D327">
      <formula1>"애착·관계,보호자 교육태도,사람에 대한 사회성,비사회적 두려움,환경 적응·회복,개의 성향,특별히 없음"</formula1>
    </dataValidation>
    <dataValidation type="list" showErrorMessage="1" errorTitle="목록 확인" error="목록에서 항목을 선택해 주세요." sqref="B328">
      <formula1>"작성 중,완료"</formula1>
    </dataValidation>
    <dataValidation type="list" showErrorMessage="1" errorTitle="목록 확인" error="목록에서 항목을 선택해 주세요." sqref="B330">
      <formula1>"주저함 · 거리를 벌림,뚜렷한 치우침 없음,살피지 않고 들이닥침,자극에 따라 다름,판단보류"</formula1>
    </dataValidation>
    <dataValidation type="list" sqref="D343">
      <formula1>"애착·관계,보호자 교육태도,사람에 대한 사회성,비사회적 두려움,환경 적응·회복,개의 성향,특별히 없음"</formula1>
    </dataValidation>
    <dataValidation type="list" showErrorMessage="1" errorTitle="목록 확인" error="목록에서 항목을 선택해 주세요." sqref="B344">
      <formula1>"작성 중,완료"</formula1>
    </dataValidation>
    <dataValidation type="list" showErrorMessage="1" errorTitle="목록 확인" error="목록에서 항목을 선택해 주세요." sqref="B346">
      <formula1>"주저함 · 거리를 벌림,뚜렷한 치우침 없음,살피지 않고 들이닥침,자극에 따라 다름,판단보류"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zoomScale="85" workbookViewId="0">
      <pane ySplit="3" topLeftCell="A4" activePane="bottomLeft" state="frozen"/>
      <selection pane="bottomLeft"/>
    </sheetView>
  </sheetViews>
  <sheetFormatPr defaultRowHeight="16.5" x14ac:dyDescent="0.3"/>
  <cols>
    <col min="1" max="1" width="24" style="2" customWidth="1"/>
    <col min="2" max="2" width="21" style="2" customWidth="1"/>
    <col min="3" max="3" width="53" style="2" customWidth="1"/>
    <col min="4" max="4" width="16" style="2" customWidth="1"/>
    <col min="5" max="5" width="61" style="2" customWidth="1"/>
    <col min="6" max="6" width="25" style="2" customWidth="1"/>
    <col min="7" max="12" width="9" style="2" customWidth="1"/>
    <col min="13" max="16384" width="9" style="2"/>
  </cols>
  <sheetData>
    <row r="1" spans="1:6" ht="26.1" customHeight="1" x14ac:dyDescent="0.3">
      <c r="A1" s="57" t="s">
        <v>631</v>
      </c>
      <c r="B1" s="55"/>
      <c r="C1" s="55"/>
      <c r="D1" s="55"/>
      <c r="E1" s="55"/>
      <c r="F1" s="55"/>
    </row>
    <row r="2" spans="1:6" ht="26.1" customHeight="1" x14ac:dyDescent="0.3">
      <c r="A2" s="36"/>
      <c r="B2" s="36"/>
      <c r="C2" s="36"/>
      <c r="D2" s="36"/>
      <c r="E2" s="36"/>
      <c r="F2" s="36"/>
    </row>
    <row r="3" spans="1:6" ht="26.1" customHeight="1" x14ac:dyDescent="0.3">
      <c r="A3" s="36" t="s">
        <v>632</v>
      </c>
      <c r="B3" s="43">
        <v>1</v>
      </c>
      <c r="C3" s="36"/>
      <c r="D3" s="36" t="s">
        <v>606</v>
      </c>
      <c r="E3" s="54" t="str">
        <f>IF(LEN(TRIM(INDEX(여러쌍비교!$B$6:$B$25,$B$3)&amp;""))=0,"이름 미입력",INDEX(여러쌍비교!$B$6:$B$25,$B$3))</f>
        <v>이름 미입력</v>
      </c>
      <c r="F3" s="55"/>
    </row>
    <row r="4" spans="1:6" ht="26.1" customHeight="1" x14ac:dyDescent="0.3">
      <c r="A4" s="36"/>
      <c r="B4" s="36"/>
      <c r="C4" s="36"/>
      <c r="D4" s="36"/>
      <c r="E4" s="36"/>
      <c r="F4" s="36"/>
    </row>
    <row r="5" spans="1:6" ht="26.1" customHeight="1" x14ac:dyDescent="0.3">
      <c r="A5" s="56" t="s">
        <v>633</v>
      </c>
      <c r="B5" s="55"/>
      <c r="C5" s="55"/>
      <c r="D5" s="55"/>
      <c r="E5" s="55"/>
      <c r="F5" s="55"/>
    </row>
    <row r="6" spans="1:6" ht="48" customHeight="1" x14ac:dyDescent="0.3">
      <c r="A6" s="36" t="s">
        <v>610</v>
      </c>
      <c r="B6" s="54" t="str">
        <f>IF(LEN(TRIM(INDEX(여러쌍비교!$CC$6:$CC$25,$B$3)&amp;""))=0,"",INDEX(여러쌍비교!$CC$6:$CC$25,$B$3))</f>
        <v>자료 부족</v>
      </c>
      <c r="C6" s="55"/>
      <c r="D6" s="55"/>
      <c r="E6" s="55"/>
      <c r="F6" s="55"/>
    </row>
    <row r="7" spans="1:6" ht="111.95" customHeight="1" x14ac:dyDescent="0.3">
      <c r="A7" s="36" t="s">
        <v>613</v>
      </c>
      <c r="B7" s="54" t="str">
        <f>IF(LEN(TRIM(INDEX(여러쌍비교!$CL$6:$CL$25,$B$3)&amp;""))=0,"",INDEX(여러쌍비교!$CL$6:$CL$25,$B$3))</f>
        <v>분리 초기: 자료 부족 / 분리 이후: 자료 부족 / 변화: 미채점 / 분리·재회·무시 보조: 조건 미확인 / 재회·무시 패턴: 조건 미확인</v>
      </c>
      <c r="C7" s="55"/>
      <c r="D7" s="55"/>
      <c r="E7" s="55"/>
      <c r="F7" s="55"/>
    </row>
    <row r="8" spans="1:6" ht="48" customHeight="1" x14ac:dyDescent="0.3">
      <c r="A8" s="36" t="s">
        <v>615</v>
      </c>
      <c r="B8" s="54" t="str">
        <f>IF(LEN(TRIM(INDEX(여러쌍비교!$CM$6:$CM$25,$B$3)&amp;""))=0,"",INDEX(여러쌍비교!$CM$6:$CM$25,$B$3))</f>
        <v>판정보류 (자동 초안 · 근거 비율 미산출)</v>
      </c>
      <c r="C8" s="55"/>
      <c r="D8" s="55"/>
      <c r="E8" s="55"/>
      <c r="F8" s="55"/>
    </row>
    <row r="9" spans="1:6" ht="48" customHeight="1" x14ac:dyDescent="0.3">
      <c r="A9" s="36" t="s">
        <v>617</v>
      </c>
      <c r="B9" s="54" t="str">
        <f>IF(LEN(TRIM(INDEX(여러쌍비교!$CN$6:$CN$25,$B$3)&amp;""))=0,"",INDEX(여러쌍비교!$CN$6:$CN$25,$B$3))</f>
        <v>자료 부족</v>
      </c>
      <c r="C9" s="55"/>
      <c r="D9" s="55"/>
      <c r="E9" s="55"/>
      <c r="F9" s="55"/>
    </row>
    <row r="10" spans="1:6" ht="48" customHeight="1" x14ac:dyDescent="0.3">
      <c r="A10" s="36" t="s">
        <v>619</v>
      </c>
      <c r="B10" s="54" t="str">
        <f>IF(LEN(TRIM(INDEX(여러쌍비교!$CS$6:$CS$25,$B$3)&amp;""))=0,"",INDEX(여러쌍비교!$CS$6:$CS$25,$B$3))</f>
        <v/>
      </c>
      <c r="C10" s="55"/>
      <c r="D10" s="55"/>
      <c r="E10" s="55"/>
      <c r="F10" s="55"/>
    </row>
    <row r="11" spans="1:6" ht="48" customHeight="1" x14ac:dyDescent="0.3">
      <c r="A11" s="36" t="s">
        <v>621</v>
      </c>
      <c r="B11" s="54" t="str">
        <f>IF(LEN(TRIM(INDEX(여러쌍비교!$CO$6:$CO$25,$B$3)&amp;""))=0,"",INDEX(여러쌍비교!$CO$6:$CO$25,$B$3))</f>
        <v>조건 미확인</v>
      </c>
      <c r="C11" s="55"/>
      <c r="D11" s="55"/>
      <c r="E11" s="55"/>
      <c r="F11" s="55"/>
    </row>
    <row r="12" spans="1:6" ht="48" customHeight="1" x14ac:dyDescent="0.3">
      <c r="A12" s="36" t="s">
        <v>623</v>
      </c>
      <c r="B12" s="54" t="str">
        <f>IF(LEN(TRIM(INDEX(여러쌍비교!$CT$6:$CT$25,$B$3)&amp;""))=0,"",INDEX(여러쌍비교!$CT$6:$CT$25,$B$3))</f>
        <v/>
      </c>
      <c r="C12" s="55"/>
      <c r="D12" s="55"/>
      <c r="E12" s="55"/>
      <c r="F12" s="55"/>
    </row>
    <row r="13" spans="1:6" ht="48" customHeight="1" x14ac:dyDescent="0.3">
      <c r="A13" s="36" t="s">
        <v>625</v>
      </c>
      <c r="B13" s="54" t="str">
        <f>IF(LEN(TRIM(INDEX(여러쌍비교!$CP$6:$CP$25,$B$3)&amp;""))=0,"",INDEX(여러쌍비교!$CP$6:$CP$25,$B$3))</f>
        <v/>
      </c>
      <c r="C13" s="55"/>
      <c r="D13" s="55"/>
      <c r="E13" s="55"/>
      <c r="F13" s="55"/>
    </row>
    <row r="14" spans="1:6" ht="26.1" customHeight="1" x14ac:dyDescent="0.3">
      <c r="A14" s="36"/>
      <c r="B14" s="36"/>
      <c r="C14" s="36"/>
      <c r="D14" s="36"/>
      <c r="E14" s="36"/>
      <c r="F14" s="36"/>
    </row>
    <row r="15" spans="1:6" ht="26.1" customHeight="1" x14ac:dyDescent="0.3">
      <c r="A15" s="56" t="s">
        <v>634</v>
      </c>
      <c r="B15" s="55"/>
      <c r="C15" s="55"/>
      <c r="D15" s="55"/>
      <c r="E15" s="55"/>
      <c r="F15" s="55"/>
    </row>
    <row r="16" spans="1:6" ht="42" customHeight="1" x14ac:dyDescent="0.3">
      <c r="A16" s="36" t="s">
        <v>635</v>
      </c>
      <c r="B16" s="54" t="str">
        <f>INDEX(여러쌍비교!$M$6:$M$25,$B$3)</f>
        <v>미판정</v>
      </c>
      <c r="C16" s="55"/>
      <c r="D16" s="55"/>
      <c r="E16" s="55"/>
      <c r="F16" s="55"/>
    </row>
    <row r="17" spans="1:6" ht="42" customHeight="1" x14ac:dyDescent="0.3">
      <c r="A17" s="36" t="s">
        <v>636</v>
      </c>
      <c r="B17" s="54" t="str">
        <f>INDEX(여러쌍비교!$AQ$6:$AQ$25,$B$3)&amp;" / "&amp;INDEX(여러쌍비교!$CU$6:$CU$25,$B$3)</f>
        <v>판정보류 / 자동 초안</v>
      </c>
      <c r="C17" s="55"/>
      <c r="D17" s="55"/>
      <c r="E17" s="55"/>
      <c r="F17" s="55"/>
    </row>
    <row r="18" spans="1:6" ht="42" customHeight="1" x14ac:dyDescent="0.3">
      <c r="A18" s="36" t="s">
        <v>637</v>
      </c>
      <c r="B18" s="54" t="str">
        <f>IF(COUNT(INDEX('3_보호자행동'!$P$51:$P$70,$B$3))=0,"자료 부족","허용 "&amp;TEXT(INDEX('3_보호자행동'!$P$51:$P$70,$B$3),"0%")&amp;" / 조율 "&amp;TEXT(INDEX('3_보호자행동'!$Q$51:$Q$70,$B$3),"0%")&amp;" / 통제 "&amp;TEXT(INDEX('3_보호자행동'!$R$51:$R$70,$B$3),"0%")&amp;" (성격 확률이 아닌 근거 구성비)")</f>
        <v>자료 부족</v>
      </c>
      <c r="C18" s="55"/>
      <c r="D18" s="55"/>
      <c r="E18" s="55"/>
      <c r="F18" s="55"/>
    </row>
    <row r="19" spans="1:6" ht="42" customHeight="1" x14ac:dyDescent="0.3">
      <c r="A19" s="36" t="s">
        <v>638</v>
      </c>
      <c r="B19" s="54" t="str">
        <f>IF(COUNT(INDEX(여러쌍비교!$Z$6:$Z$25,$B$3))=0,"자료 부족",TEXT(INDEX(여러쌍비교!$Z$6:$Z$25,$B$3),"0%")&amp;" / 6국면 중 거리 등급 0·1의 비율")</f>
        <v>자료 부족</v>
      </c>
      <c r="C19" s="55"/>
      <c r="D19" s="55"/>
      <c r="E19" s="55"/>
      <c r="F19" s="55"/>
    </row>
    <row r="20" spans="1:6" ht="99.95" customHeight="1" x14ac:dyDescent="0.3">
      <c r="A20" s="36" t="s">
        <v>639</v>
      </c>
      <c r="B20" s="54" t="str">
        <f>INDEX(여러쌍비교!$CK$6:$CK$25,$B$3)</f>
        <v>미채점</v>
      </c>
      <c r="C20" s="55"/>
      <c r="D20" s="55"/>
      <c r="E20" s="55"/>
      <c r="F20" s="55"/>
    </row>
    <row r="21" spans="1:6" ht="87.95" customHeight="1" x14ac:dyDescent="0.3">
      <c r="A21" s="36" t="s">
        <v>640</v>
      </c>
      <c r="B21" s="54" t="str">
        <f>"분리 개58: "&amp;IF(COUNT(INDEX('2_개행동'!$J$58:$AC$58,1,$B$3))=0,"미관찰",TEXT(INDEX('2_개행동'!$J$58:$AC$58,1,$B$3),"+0;-0;0"))&amp;" → 재회 개18: "&amp;IF(COUNT(INDEX('2_개행동'!$J$18:$AC$18,1,$B$3))=0,"미관찰",TEXT(INDEX('2_개행동'!$J$18:$AC$18,1,$B$3),"+0;-0;0"))&amp;" / 변화 "&amp;IF(COUNT(INDEX(여러쌍비교!$W$6:$W$25,$B$3))=0,"미산출",TEXT(INDEX(여러쌍비교!$W$6:$W$25,$B$3),"+0;-0;0"))&amp;CHAR(10)&amp;"기준 개8: "&amp;IF(COUNT(INDEX('2_개행동'!$J$8:$AC$8,1,$B$3))=0,"미관찰",TEXT(INDEX('2_개행동'!$J$8:$AC$8,1,$B$3),"+0;-0;0"))&amp;" → 무시 개23: "&amp;IF(COUNT(INDEX('2_개행동'!$J$23:$AC$23,1,$B$3))=0,"미관찰",TEXT(INDEX('2_개행동'!$J$23:$AC$23,1,$B$3),"+0;-0;0"))&amp;" / 변화 "&amp;IF(COUNT(INDEX(여러쌍비교!$V$6:$V$25,$B$3))=0,"미산출",TEXT(INDEX(여러쌍비교!$V$6:$V$25,$B$3),"+0;-0;0"))&amp;CHAR(10)&amp;"변화 = 앞 원점수의 절대값 − 뒤 원점수의 절대값. 0→0과 −2→+2는 변화값이 같아도 행동이 다릅니다. 중앙범주·혼재 여부와 실제 장면을 함께 봅니다."</f>
        <v>분리 개58: 미관찰 → 재회 개18: 미관찰 / 변화 미산출
기준 개8: 미관찰 → 무시 개23: 미관찰 / 변화 미산출
변화 = 앞 원점수의 절대값 − 뒤 원점수의 절대값. 0→0과 −2→+2는 변화값이 같아도 행동이 다릅니다. 중앙범주·혼재 여부와 실제 장면을 함께 봅니다.</v>
      </c>
      <c r="C21" s="55"/>
      <c r="D21" s="55"/>
      <c r="E21" s="55"/>
      <c r="F21" s="55"/>
    </row>
    <row r="22" spans="1:6" ht="42" customHeight="1" x14ac:dyDescent="0.3">
      <c r="A22" s="36" t="s">
        <v>641</v>
      </c>
      <c r="B22" s="54" t="str">
        <f>IF(COUNT(INDEX(여러쌍비교!$AE$6:$AE$25,$B$3),INDEX(여러쌍비교!$AF$6:$AF$25,$B$3))&lt;2,"자료 부족·조건 확인","접촉 쪽 "&amp;INDEX(여러쌍비교!$AE$6:$AE$25,$B$3)&amp;" / 거리 쪽 "&amp;INDEX(여러쌍비교!$AF$6:$AF$25,$B$3)&amp;". 두 방향을 상쇄하지 않고 별도 표시.")</f>
        <v>자료 부족·조건 확인</v>
      </c>
      <c r="C22" s="55"/>
      <c r="D22" s="55"/>
      <c r="E22" s="55"/>
      <c r="F22" s="55"/>
    </row>
    <row r="23" spans="1:6" ht="42" customHeight="1" x14ac:dyDescent="0.3">
      <c r="A23" s="36" t="s">
        <v>642</v>
      </c>
      <c r="B23" s="54" t="str">
        <f>IF(INDEX(여러쌍비교!$BC$6:$BC$25,$B$3)=0,"자료 부족","−절댓값 "&amp;INDEX(여러쌍비교!$BA$6:$BA$25,$B$3)&amp;" / +합 "&amp;INDEX(여러쌍비교!$BB$6:$BB$25,$B$3)&amp;" / 관찰 "&amp;INDEX(여러쌍비교!$BC$6:$BC$25,$B$3)&amp;"개. 조건 적용 전 원관찰 분포.")</f>
        <v>자료 부족</v>
      </c>
      <c r="C23" s="55"/>
      <c r="D23" s="55"/>
      <c r="E23" s="55"/>
      <c r="F23" s="55"/>
    </row>
    <row r="24" spans="1:6" ht="42" customHeight="1" x14ac:dyDescent="0.3">
      <c r="A24" s="36" t="s">
        <v>643</v>
      </c>
      <c r="B24" s="54" t="str">
        <f>IF(INDEX(여러쌍비교!$BF$6:$BF$25,$B$3)=0,"자료 부족","−절댓값 "&amp;INDEX(여러쌍비교!$BD$6:$BD$25,$B$3)&amp;" / +합 "&amp;INDEX(여러쌍비교!$BE$6:$BE$25,$B$3)&amp;" / 관찰 "&amp;INDEX(여러쌍비교!$BF$6:$BF$25,$B$3)&amp;"개. 조건 적용 전 원관찰 분포.")</f>
        <v>자료 부족</v>
      </c>
      <c r="C24" s="55"/>
      <c r="D24" s="55"/>
      <c r="E24" s="55"/>
      <c r="F24" s="55"/>
    </row>
    <row r="25" spans="1:6" ht="99.95" customHeight="1" x14ac:dyDescent="0.3">
      <c r="A25" s="36" t="s">
        <v>644</v>
      </c>
      <c r="B25" s="54" t="str">
        <f>"무시: "&amp;IF(COUNT(INDEX('3_보호자행동'!$J$12:$AC$12,1,$B$3))=0,"미기록",INDEX('3_보호자행동'!$C$12:$E$12,1,INDEX('3_보호자행동'!$J$12:$AC$12,1,$B$3)))&amp;" / 걷기: "&amp;IF(COUNT(INDEX('3_보호자행동'!$J$13:$AC$13,1,$B$3))=0,"미기록",INDEX('3_보호자행동'!$C$13:$E$13,1,INDEX('3_보호자행동'!$J$13:$AC$13,1,$B$3)))</f>
        <v>무시: 미기록 / 걷기: 미기록</v>
      </c>
      <c r="C25" s="55"/>
      <c r="D25" s="55"/>
      <c r="E25" s="55"/>
      <c r="F25" s="55"/>
    </row>
    <row r="26" spans="1:6" ht="26.1" customHeight="1" x14ac:dyDescent="0.3">
      <c r="A26" s="36"/>
      <c r="B26" s="36"/>
      <c r="C26" s="36"/>
      <c r="D26" s="36"/>
      <c r="E26" s="36"/>
      <c r="F26" s="36"/>
    </row>
    <row r="27" spans="1:6" ht="26.1" customHeight="1" x14ac:dyDescent="0.3">
      <c r="A27" s="56" t="s">
        <v>645</v>
      </c>
      <c r="B27" s="55"/>
      <c r="C27" s="55"/>
      <c r="D27" s="55"/>
      <c r="E27" s="55"/>
      <c r="F27" s="55"/>
    </row>
    <row r="28" spans="1:6" ht="42" customHeight="1" x14ac:dyDescent="0.3">
      <c r="A28" s="36" t="s">
        <v>646</v>
      </c>
      <c r="B28" s="54" t="str">
        <f>INDEX(여러쌍비교!$CJ$6:$CJ$25,$B$3)</f>
        <v>미작성</v>
      </c>
      <c r="C28" s="55"/>
      <c r="D28" s="55"/>
      <c r="E28" s="55"/>
      <c r="F28" s="55"/>
    </row>
    <row r="29" spans="1:6" ht="42" customHeight="1" x14ac:dyDescent="0.3">
      <c r="A29" s="36" t="s">
        <v>609</v>
      </c>
      <c r="B29" s="54" t="str">
        <f>IF(LEN(TRIM(INDEX(여러쌍비교!$CI$6:$CI$25,$B$3)&amp;""))=0,"",INDEX(여러쌍비교!$CI$6:$CI$25,$B$3))</f>
        <v/>
      </c>
      <c r="C29" s="55"/>
      <c r="D29" s="55"/>
      <c r="E29" s="55"/>
      <c r="F29" s="55"/>
    </row>
    <row r="30" spans="1:6" ht="42" customHeight="1" x14ac:dyDescent="0.3">
      <c r="A30" s="36" t="s">
        <v>647</v>
      </c>
      <c r="B30" s="54" t="str">
        <f>IF(LEN(TRIM(INDEX(여러쌍비교!$BG$6:$BG$25,$B$3)&amp;""))=0,"",INDEX(여러쌍비교!$BG$6:$BG$25,$B$3))</f>
        <v/>
      </c>
      <c r="C30" s="55"/>
      <c r="D30" s="55"/>
      <c r="E30" s="55"/>
      <c r="F30" s="55"/>
    </row>
    <row r="31" spans="1:6" ht="42" customHeight="1" x14ac:dyDescent="0.3">
      <c r="A31" s="36" t="s">
        <v>648</v>
      </c>
      <c r="B31" s="54" t="str">
        <f>IF(LEN(TRIM(INDEX(여러쌍비교!$BH$6:$BH$25,$B$3)&amp;""))=0,"",INDEX(여러쌍비교!$BH$6:$BH$25,$B$3))</f>
        <v/>
      </c>
      <c r="C31" s="55"/>
      <c r="D31" s="55"/>
      <c r="E31" s="55"/>
      <c r="F31" s="55"/>
    </row>
    <row r="32" spans="1:6" ht="42" customHeight="1" x14ac:dyDescent="0.3">
      <c r="A32" s="36" t="s">
        <v>649</v>
      </c>
      <c r="B32" s="54" t="str">
        <f>IF(LEN(TRIM(INDEX(여러쌍비교!$BI$6:$BI$25,$B$3)&amp;""))=0,"",INDEX(여러쌍비교!$BI$6:$BI$25,$B$3))</f>
        <v>미판정</v>
      </c>
      <c r="C32" s="55"/>
      <c r="D32" s="55"/>
      <c r="E32" s="55"/>
      <c r="F32" s="55"/>
    </row>
    <row r="33" spans="1:6" ht="42" customHeight="1" x14ac:dyDescent="0.3">
      <c r="A33" s="36" t="s">
        <v>650</v>
      </c>
      <c r="B33" s="54" t="str">
        <f>IF(LEN(TRIM(INDEX(여러쌍비교!$AR$6:$AR$25,$B$3)&amp;""))=0,"",INDEX(여러쌍비교!$AR$6:$AR$25,$B$3))</f>
        <v/>
      </c>
      <c r="C33" s="55"/>
      <c r="D33" s="55"/>
      <c r="E33" s="55"/>
      <c r="F33" s="55"/>
    </row>
    <row r="34" spans="1:6" ht="42" customHeight="1" x14ac:dyDescent="0.3">
      <c r="A34" s="36" t="s">
        <v>651</v>
      </c>
      <c r="B34" s="54" t="str">
        <f>IF(LEN(TRIM(INDEX(여러쌍비교!$AS$6:$AS$25,$B$3)&amp;""))=0,"",INDEX(여러쌍비교!$AS$6:$AS$25,$B$3))</f>
        <v>자동 · 판정보류</v>
      </c>
      <c r="C34" s="55"/>
      <c r="D34" s="55"/>
      <c r="E34" s="55"/>
      <c r="F34" s="55"/>
    </row>
    <row r="35" spans="1:6" ht="42" customHeight="1" x14ac:dyDescent="0.3">
      <c r="A35" s="36" t="s">
        <v>652</v>
      </c>
      <c r="B35" s="54" t="str">
        <f>IF(LEN(TRIM(INDEX(여러쌍비교!$AT$6:$AT$25,$B$3)&amp;""))=0,"",INDEX(여러쌍비교!$AT$6:$AT$25,$B$3))</f>
        <v/>
      </c>
      <c r="C35" s="55"/>
      <c r="D35" s="55"/>
      <c r="E35" s="55"/>
      <c r="F35" s="55"/>
    </row>
    <row r="36" spans="1:6" ht="99.95" customHeight="1" x14ac:dyDescent="0.3">
      <c r="A36" s="36" t="s">
        <v>653</v>
      </c>
      <c r="B36" s="54" t="str">
        <f>IF(LEN(TRIM(INDEX(여러쌍비교!$BZ$6:$BZ$25,$B$3)&amp;""))=0,"",INDEX(여러쌍비교!$BZ$6:$BZ$25,$B$3))</f>
        <v>문 미확인 · 바닥 미확인 · 물건 보류  /  꼬리 기준대비 입장 미확인 · 바닥 미확인 · 물건 미확인  /  긴장 신호 미확인  /  냄새 미확인</v>
      </c>
      <c r="C36" s="55"/>
      <c r="D36" s="55"/>
      <c r="E36" s="55"/>
      <c r="F36" s="55"/>
    </row>
    <row r="37" spans="1:6" ht="42" customHeight="1" x14ac:dyDescent="0.3">
      <c r="A37" s="36" t="s">
        <v>654</v>
      </c>
      <c r="B37" s="54" t="str">
        <f>IF(LEN(TRIM(INDEX(여러쌍비교!$CB$6:$CB$25,$B$3)&amp;""))=0,"",INDEX(여러쌍비교!$CB$6:$CB$25,$B$3))</f>
        <v/>
      </c>
      <c r="C37" s="55"/>
      <c r="D37" s="55"/>
      <c r="E37" s="55"/>
      <c r="F37" s="55"/>
    </row>
    <row r="38" spans="1:6" ht="99.95" customHeight="1" x14ac:dyDescent="0.3">
      <c r="A38" s="36" t="s">
        <v>655</v>
      </c>
      <c r="B38" s="54" t="str">
        <f>IF(LEN(TRIM(INDEX('2_개행동'!$J$59:$AC$59,1,$B$3)&amp;""))=0,"",INDEX('2_개행동'!$J$59:$AC$59,1,$B$3))</f>
        <v/>
      </c>
      <c r="C38" s="55"/>
      <c r="D38" s="55"/>
      <c r="E38" s="55"/>
      <c r="F38" s="55"/>
    </row>
    <row r="39" spans="1:6" ht="72" customHeight="1" x14ac:dyDescent="0.3">
      <c r="A39" s="36" t="s">
        <v>656</v>
      </c>
      <c r="B39" s="54" t="str">
        <f>INDEX(여러쌍비교!$BK$6:$BK$25,$B$3)</f>
        <v>조건 미확인</v>
      </c>
      <c r="C39" s="55"/>
      <c r="D39" s="55"/>
      <c r="E39" s="54" t="s">
        <v>657</v>
      </c>
      <c r="F39" s="55"/>
    </row>
    <row r="40" spans="1:6" ht="96" customHeight="1" x14ac:dyDescent="0.3">
      <c r="A40" s="36" t="s">
        <v>658</v>
      </c>
      <c r="B40" s="54" t="str">
        <f>IF(COUNT(IFERROR(INDEX(여러쌍비교!$BL$6:$BL$25,$B$3),""),IFERROR(INDEX(여러쌍비교!$BM$6:$BM$25,$B$3),""),IFERROR(INDEX(여러쌍비교!$BQ$6:$BQ$25,$B$3),""),IFERROR(INDEX(여러쌍비교!$BP$6:$BP$25,$B$3),""),IFERROR(INDEX(여러쌍비교!$BN$6:$BN$25,$B$3),""),IFERROR(INDEX(여러쌍비교!$BO$6:$BO$25,$B$3),""))=0,"",IF(MAX(N(IFERROR(INDEX(여러쌍비교!$BL$6:$BL$25,$B$3),"")),N(IFERROR(INDEX(여러쌍비교!$BM$6:$BM$25,$B$3),"")),N(IFERROR(INDEX(여러쌍비교!$BQ$6:$BQ$25,$B$3),"")),N(IFERROR(INDEX(여러쌍비교!$BP$6:$BP$25,$B$3),"")),N(IFERROR(INDEX(여러쌍비교!$BN$6:$BN$25,$B$3),"")),N(IFERROR(INDEX(여러쌍비교!$BO$6:$BO$25,$B$3),"")))&gt;=-(MIN(N(IFERROR(INDEX(여러쌍비교!$BL$6:$BL$25,$B$3),"")),N(IFERROR(INDEX(여러쌍비교!$BM$6:$BM$25,$B$3),"")),N(IFERROR(INDEX(여러쌍비교!$BQ$6:$BQ$25,$B$3),"")),N(IFERROR(INDEX(여러쌍비교!$BP$6:$BP$25,$B$3),"")),N(IFERROR(INDEX(여러쌍비교!$BN$6:$BN$25,$B$3),"")),N(IFERROR(INDEX(여러쌍비교!$BO$6:$BO$25,$B$3),"")))),MAX(N(IFERROR(INDEX(여러쌍비교!$BL$6:$BL$25,$B$3),"")),N(IFERROR(INDEX(여러쌍비교!$BM$6:$BM$25,$B$3),"")),N(IFERROR(INDEX(여러쌍비교!$BQ$6:$BQ$25,$B$3),"")),N(IFERROR(INDEX(여러쌍비교!$BP$6:$BP$25,$B$3),"")),N(IFERROR(INDEX(여러쌍비교!$BN$6:$BN$25,$B$3),"")),N(IFERROR(INDEX(여러쌍비교!$BO$6:$BO$25,$B$3),""))),MIN(N(IFERROR(INDEX(여러쌍비교!$BL$6:$BL$25,$B$3),"")),N(IFERROR(INDEX(여러쌍비교!$BM$6:$BM$25,$B$3),"")),N(IFERROR(INDEX(여러쌍비교!$BQ$6:$BQ$25,$B$3),"")),N(IFERROR(INDEX(여러쌍비교!$BP$6:$BP$25,$B$3),"")),N(IFERROR(INDEX(여러쌍비교!$BN$6:$BN$25,$B$3),"")),N(IFERROR(INDEX(여러쌍비교!$BO$6:$BO$25,$B$3),"")))))</f>
        <v/>
      </c>
      <c r="C40" s="55"/>
      <c r="D40" s="55"/>
      <c r="E40" s="54" t="str">
        <f>IF($B40="","아직 입력 없음","기준 구간(20초)보다 "&amp;IF(ISNUMBER(IFERROR(INDEX(여러쌍비교!$BL$6:$BL$25,$B$3),"")),"입장 "&amp;SUBSTITUTE(TEXT(INDEX(여러쌍비교!$BL$6:$BL$25,$B$3),"+0;-0;0"),"-","−")&amp;" · ","")&amp;IF(ISNUMBER(IFERROR(INDEX(여러쌍비교!$BM$6:$BM$25,$B$3),"")),"혼자 "&amp;SUBSTITUTE(TEXT(INDEX(여러쌍비교!$BM$6:$BM$25,$B$3),"+0;-0;0"),"-","−")&amp;" · ","")&amp;IF(ISNUMBER(IFERROR(INDEX(여러쌍비교!$BQ$6:$BQ$25,$B$3),"")),"재회 "&amp;SUBSTITUTE(TEXT(INDEX(여러쌍비교!$BQ$6:$BQ$25,$B$3),"+0;-0;0"),"-","−")&amp;" · ","")&amp;IF(ISNUMBER(IFERROR(INDEX(여러쌍비교!$BP$6:$BP$25,$B$3),"")),"무시 "&amp;SUBSTITUTE(TEXT(INDEX(여러쌍비교!$BP$6:$BP$25,$B$3),"+0;-0;0"),"-","−")&amp;" · ","")&amp;IF(ISNUMBER(IFERROR(INDEX(여러쌍비교!$BN$6:$BN$25,$B$3),"")),"낯선 "&amp;SUBSTITUTE(TEXT(INDEX(여러쌍비교!$BN$6:$BN$25,$B$3),"+0;-0;0"),"-","−")&amp;" · ","")&amp;IF(ISNUMBER(IFERROR(INDEX(여러쌍비교!$BO$6:$BO$25,$B$3),"")),"퇴장 "&amp;SUBSTITUTE(TEXT(INDEX(여러쌍비교!$BO$6:$BO$25,$B$3),"+0;-0;0"),"-","−")&amp;" · ","")&amp;"  0 은 기준 구간과 같음 · − 는 내려감 · + 는 올라감. 말린 꼬리는 기준 구간에서 이미 높을 수 있어 이 차이로 읽습니다. 기준 20초도 낯선 장소이므로 «평소»가 아닙니다.")</f>
        <v>아직 입력 없음</v>
      </c>
      <c r="F40" s="55"/>
    </row>
    <row r="41" spans="1:6" ht="26.1" customHeight="1" x14ac:dyDescent="0.3">
      <c r="A41" s="54" t="s">
        <v>659</v>
      </c>
      <c r="B41" s="55"/>
      <c r="C41" s="55"/>
      <c r="D41" s="55"/>
      <c r="E41" s="55"/>
      <c r="F41" s="55"/>
    </row>
    <row r="42" spans="1:6" ht="26.1" customHeight="1" x14ac:dyDescent="0.3">
      <c r="A42" s="36"/>
      <c r="B42" s="36"/>
      <c r="C42" s="36"/>
      <c r="D42" s="36"/>
      <c r="E42" s="36"/>
      <c r="F42" s="36"/>
    </row>
    <row r="43" spans="1:6" ht="105" customHeight="1" x14ac:dyDescent="0.3">
      <c r="A43" s="47" t="s">
        <v>660</v>
      </c>
    </row>
    <row r="44" spans="1:6" ht="105" customHeight="1" x14ac:dyDescent="0.3">
      <c r="A44" s="43" t="s">
        <v>661</v>
      </c>
      <c r="B44" s="43" t="s">
        <v>49</v>
      </c>
      <c r="C44" s="43" t="s">
        <v>50</v>
      </c>
      <c r="D44" s="43" t="s">
        <v>662</v>
      </c>
      <c r="E44" s="43" t="s">
        <v>663</v>
      </c>
      <c r="F44" s="43" t="s">
        <v>664</v>
      </c>
    </row>
    <row r="45" spans="1:6" ht="105" customHeight="1" x14ac:dyDescent="0.3">
      <c r="A45" s="34" t="s">
        <v>665</v>
      </c>
      <c r="B45" s="34" t="str">
        <f>'3_보호자행동'!A5</f>
        <v>앞 당김</v>
      </c>
      <c r="C45" s="34" t="str">
        <f>'3_보호자행동'!B5</f>
        <v>앞에서 줄을 당길 때의 요청 표현. 실제 발화로 −1/0/+1 분류. 음량·어조·반복은 별도 메모. 발화 없음·요청 없음·판독 불가·기회 없음은 빈칸+사유. 여러 사건의 건수·시각은 개59에 기록.</v>
      </c>
      <c r="D45" s="48" t="str">
        <f>IF(LEN(TRIM(INDEX('3_보호자행동'!$J$5:$AC$5,1,$B$3)&amp;""))=0,"",INDEX('3_보호자행동'!$J$5:$AC$5,1,$B$3))</f>
        <v/>
      </c>
      <c r="E45" s="34" t="str">
        <f>IF(COUNT(D45)=0,"",IF(OR(D45&lt;-1,D45&gt;1,MOD(D45,1)&lt;&gt;0),"입력 확인",INDEX('3_보호자행동'!$C$5:$G$5,1,D45+3)))</f>
        <v/>
      </c>
      <c r="F45" s="34" t="s">
        <v>666</v>
      </c>
    </row>
    <row r="46" spans="1:6" ht="105" customHeight="1" x14ac:dyDescent="0.3">
      <c r="A46" s="36" t="s">
        <v>667</v>
      </c>
      <c r="B46" s="36" t="str">
        <f>'1_바디시그널'!A5</f>
        <v>입장</v>
      </c>
      <c r="C46" s="36" t="str">
        <f>'1_바디시그널'!B5</f>
        <v>[입장] 꼬리 — 위치 ※형태 관찰. 기준 20초(바38)와 원값을 나란히 봄. 기준도 낯선 장소에서의 상태이며 평소 꼬리가 아님. 가림·단미 등 판독 불가면 빈칸.</v>
      </c>
      <c r="D46" s="49" t="str">
        <f>IF(LEN(TRIM(INDEX('1_바디시그널'!$J$5:$AC$5,1,$B$3)&amp;""))=0,"",INDEX('1_바디시그널'!$J$5:$AC$5,1,$B$3))</f>
        <v/>
      </c>
      <c r="E46" s="36" t="str">
        <f>IF(COUNT(D46)=0,"",IF(OR(D46&lt;-2,D46&gt;2,MOD(D46,1)&lt;&gt;0),"입력 확인",INDEX('1_바디시그널'!$C$5:$G$5,1,D46+3)))</f>
        <v/>
      </c>
      <c r="F46" s="36" t="s">
        <v>668</v>
      </c>
    </row>
    <row r="47" spans="1:6" ht="105" customHeight="1" x14ac:dyDescent="0.3">
      <c r="A47" s="34" t="s">
        <v>669</v>
      </c>
      <c r="B47" s="34" t="str">
        <f>'1_바디시그널'!A6</f>
        <v>입장</v>
      </c>
      <c r="C47" s="34" t="str">
        <f>'1_바디시그널'!B6</f>
        <v>[입장] 발성량 ※0~3 시간 비중 · 입장 전체. 못 들으면 빈칸; 0은 들었으나 없음. 종류·시각·관찰 초는 메모. 꼬리로 소리 의미를 정하지 않음.</v>
      </c>
      <c r="D47" s="34" t="str">
        <f>IF(LEN(TRIM(INDEX('1_바디시그널'!$J$6:$AC$6,1,$B$3)&amp;""))=0,"",INDEX('1_바디시그널'!$J$6:$AC$6,1,$B$3))</f>
        <v/>
      </c>
      <c r="E47" s="34" t="str">
        <f>IF(COUNT(D47)=0,"",IF(OR(D47&lt;0,D47&gt;3,MOD(D47,1)&lt;&gt;0),"입력 확인",INDEX('1_바디시그널'!$C$6:$G$6,1,D47+1)))</f>
        <v/>
      </c>
      <c r="F47" s="34" t="s">
        <v>670</v>
      </c>
    </row>
    <row r="48" spans="1:6" ht="105" customHeight="1" x14ac:dyDescent="0.3">
      <c r="A48" s="36" t="s">
        <v>671</v>
      </c>
      <c r="B48" s="36" t="str">
        <f>'1_바디시그널'!A7</f>
        <v>입장</v>
      </c>
      <c r="C48" s="36" t="str">
        <f>'1_바디시그널'!B7</f>
        <v>[입장] 낯선 바닥 — 꼬리 위치 ※형태 관찰. 기준 20초(바38)와 원값을 나란히 봄. 기준도 낯선 장소에서의 상태이며 평소 꼬리가 아님. 가림·단미 등 판독 불가면 빈칸.</v>
      </c>
      <c r="D48" s="49" t="str">
        <f>IF(LEN(TRIM(INDEX('1_바디시그널'!$J$7:$AC$7,1,$B$3)&amp;""))=0,"",INDEX('1_바디시그널'!$J$7:$AC$7,1,$B$3))</f>
        <v/>
      </c>
      <c r="E48" s="36" t="str">
        <f>IF(COUNT(D48)=0,"",IF(OR(D48&lt;-2,D48&gt;2,MOD(D48,1)&lt;&gt;0),"입력 확인",INDEX('1_바디시그널'!$C$7:$G$7,1,D48+3)))</f>
        <v/>
      </c>
      <c r="F48" s="36" t="s">
        <v>672</v>
      </c>
    </row>
    <row r="49" spans="1:6" ht="105" customHeight="1" x14ac:dyDescent="0.3">
      <c r="A49" s="34" t="s">
        <v>673</v>
      </c>
      <c r="B49" s="34" t="str">
        <f>'1_바디시그널'!A8</f>
        <v>입장</v>
      </c>
      <c r="C49" s="34" t="str">
        <f>'1_바디시그널'!B8</f>
        <v>낯선 바닥 — 몸 털기  ※횟수 · 점수가 아닙니다</v>
      </c>
      <c r="D49" s="34" t="str">
        <f>IF(LEN(TRIM(INDEX('1_바디시그널'!$J$8:$AC$8,1,$B$3)&amp;""))=0,"",INDEX('1_바디시그널'!$J$8:$AC$8,1,$B$3))</f>
        <v/>
      </c>
      <c r="E49" s="34" t="str">
        <f>IF(LEN(TRIM(D49&amp;""))=0,"",IF(ISNUMBER(D49),"수치 기록","자유 기록"))</f>
        <v/>
      </c>
      <c r="F49" s="34" t="s">
        <v>674</v>
      </c>
    </row>
    <row r="50" spans="1:6" ht="105" customHeight="1" x14ac:dyDescent="0.3">
      <c r="A50" s="36" t="s">
        <v>675</v>
      </c>
      <c r="B50" s="36" t="str">
        <f>'1_바디시그널'!A14</f>
        <v>입장</v>
      </c>
      <c r="C50" s="36" t="str">
        <f>'1_바디시그널'!B14</f>
        <v>[입장] 몸 털기 횟수  ※구간 전체 ~30초 · 참고</v>
      </c>
      <c r="D50" s="36" t="str">
        <f>IF(LEN(TRIM(INDEX('1_바디시그널'!$J$14:$AC$14,1,$B$3)&amp;""))=0,"",INDEX('1_바디시그널'!$J$14:$AC$14,1,$B$3))</f>
        <v/>
      </c>
      <c r="E50" s="36" t="str">
        <f>IF(LEN(TRIM(D50&amp;""))=0,"",IF(ISNUMBER(D50),"수치 기록","자유 기록"))</f>
        <v/>
      </c>
      <c r="F50" s="36" t="s">
        <v>676</v>
      </c>
    </row>
    <row r="51" spans="1:6" ht="105" customHeight="1" x14ac:dyDescent="0.3">
      <c r="A51" s="34" t="s">
        <v>677</v>
      </c>
      <c r="B51" s="34" t="str">
        <f>'1_바디시그널'!A15</f>
        <v>입장</v>
      </c>
      <c r="C51" s="34" t="str">
        <f>'1_바디시그널'!B15</f>
        <v>[입장] 하품 횟수  ※구간 전체 ~30초 · 참고</v>
      </c>
      <c r="D51" s="34" t="str">
        <f>IF(LEN(TRIM(INDEX('1_바디시그널'!$J$15:$AC$15,1,$B$3)&amp;""))=0,"",INDEX('1_바디시그널'!$J$15:$AC$15,1,$B$3))</f>
        <v/>
      </c>
      <c r="E51" s="34" t="str">
        <f>IF(LEN(TRIM(D51&amp;""))=0,"",IF(ISNUMBER(D51),"수치 기록","자유 기록"))</f>
        <v/>
      </c>
      <c r="F51" s="34" t="s">
        <v>678</v>
      </c>
    </row>
    <row r="52" spans="1:6" ht="105" customHeight="1" x14ac:dyDescent="0.3">
      <c r="A52" s="36" t="s">
        <v>679</v>
      </c>
      <c r="B52" s="36" t="str">
        <f>'1_바디시그널'!A16</f>
        <v>입장</v>
      </c>
      <c r="C52" s="36" t="str">
        <f>'1_바디시그널'!B16</f>
        <v>[입장] 코 핥기 횟수  ※구간 전체 ~30초 · 참고</v>
      </c>
      <c r="D52" s="36" t="str">
        <f>IF(LEN(TRIM(INDEX('1_바디시그널'!$J$16:$AC$16,1,$B$3)&amp;""))=0,"",INDEX('1_바디시그널'!$J$16:$AC$16,1,$B$3))</f>
        <v/>
      </c>
      <c r="E52" s="36" t="str">
        <f>IF(LEN(TRIM(D52&amp;""))=0,"",IF(ISNUMBER(D52),"수치 기록","자유 기록"))</f>
        <v/>
      </c>
      <c r="F52" s="36" t="s">
        <v>680</v>
      </c>
    </row>
    <row r="53" spans="1:6" ht="105" customHeight="1" x14ac:dyDescent="0.3">
      <c r="A53" s="34" t="s">
        <v>681</v>
      </c>
      <c r="B53" s="34" t="str">
        <f>'2_개행동'!A5</f>
        <v>입장</v>
      </c>
      <c r="C53" s="34" t="str">
        <f>'2_개행동'!B5</f>
        <v>[입장] 방 문 통과 — 보호자보다 앞서는가</v>
      </c>
      <c r="D53" s="48" t="str">
        <f>IF(LEN(TRIM(INDEX('2_개행동'!$J$5:$AC$5,1,$B$3)&amp;""))=0,"",INDEX('2_개행동'!$J$5:$AC$5,1,$B$3))</f>
        <v/>
      </c>
      <c r="E53" s="34" t="str">
        <f>IF(COUNT(D53)=0,"",IF(OR(D53&lt;-2,D53&gt;2,MOD(D53,1)&lt;&gt;0),"입력 확인",INDEX('2_개행동'!$C$5:$G$5,1,D53+3)))</f>
        <v/>
      </c>
      <c r="F53" s="34" t="s">
        <v>682</v>
      </c>
    </row>
    <row r="54" spans="1:6" ht="105" customHeight="1" x14ac:dyDescent="0.3">
      <c r="A54" s="36" t="s">
        <v>683</v>
      </c>
      <c r="B54" s="36" t="str">
        <f>'2_개행동'!A6</f>
        <v>입장</v>
      </c>
      <c r="C54" s="36" t="str">
        <f>'2_개행동'!B6</f>
        <v>[입장] 비닐 바닥 통과 ※눈에 보인 움직임만 기록. 뛰어서 지난 이유·바닥을 인식했는지는 단정하지 않음.</v>
      </c>
      <c r="D54" s="49" t="str">
        <f>IF(LEN(TRIM(INDEX('2_개행동'!$J$6:$AC$6,1,$B$3)&amp;""))=0,"",INDEX('2_개행동'!$J$6:$AC$6,1,$B$3))</f>
        <v/>
      </c>
      <c r="E54" s="36" t="str">
        <f>IF(COUNT(D54)=0,"",IF(OR(D54&lt;-2,D54&gt;2,MOD(D54,1)&lt;&gt;0),"입력 확인",INDEX('2_개행동'!$C$6:$G$6,1,D54+3)))</f>
        <v/>
      </c>
      <c r="F54" s="36" t="s">
        <v>684</v>
      </c>
    </row>
    <row r="55" spans="1:6" ht="105" customHeight="1" x14ac:dyDescent="0.3">
      <c r="A55" s="34" t="s">
        <v>685</v>
      </c>
      <c r="B55" s="34" t="str">
        <f>'2_개행동'!A7</f>
        <v>입장</v>
      </c>
      <c r="C55" s="34" t="str">
        <f>'2_개행동'!B7</f>
        <v>[입장] 냄새 — 코를 쓰는가</v>
      </c>
      <c r="D55" s="34" t="str">
        <f>IF(LEN(TRIM(INDEX('2_개행동'!$J$7:$AC$7,1,$B$3)&amp;""))=0,"",INDEX('2_개행동'!$J$7:$AC$7,1,$B$3))</f>
        <v/>
      </c>
      <c r="E55" s="34" t="str">
        <f>IF(COUNT(D55)=0,"",IF(OR(D55&lt;0,D55&gt;1,MOD(D55,1)&lt;&gt;0),"입력 확인",INDEX('2_개행동'!$C$7:$G$7,1,D55+1)))</f>
        <v/>
      </c>
      <c r="F55" s="34" t="s">
        <v>686</v>
      </c>
    </row>
    <row r="56" spans="1:6" ht="105" customHeight="1" x14ac:dyDescent="0.3">
      <c r="A56" s="36" t="s">
        <v>687</v>
      </c>
      <c r="B56" s="36" t="str">
        <f>'2_개행동'!A30</f>
        <v>입장</v>
      </c>
      <c r="C56" s="36" t="str">
        <f>'2_개행동'!B30</f>
        <v>[입장] 새 물건 반응 ※5초 정지+통과. +2→−2→−1→0→+1 순으로 확인. 여러 반응이면 순서·시각 기록. 정지 신호와 목줄 유도 조건은 보14 확인.</v>
      </c>
      <c r="D56" s="49" t="str">
        <f>IF(LEN(TRIM(INDEX('2_개행동'!$J$30:$AC$30,1,$B$3)&amp;""))=0,"",INDEX('2_개행동'!$J$30:$AC$30,1,$B$3))</f>
        <v/>
      </c>
      <c r="E56" s="36" t="str">
        <f>IF(COUNT(D56)=0,"",IF(OR(D56&lt;-2,D56&gt;2,MOD(D56,1)&lt;&gt;0),"입력 확인",INDEX('2_개행동'!$C$30:$G$30,1,D56+3)))</f>
        <v/>
      </c>
      <c r="F56" s="36" t="s">
        <v>688</v>
      </c>
    </row>
    <row r="57" spans="1:6" ht="105" customHeight="1" x14ac:dyDescent="0.3">
      <c r="A57" s="34" t="s">
        <v>689</v>
      </c>
      <c r="B57" s="34" t="str">
        <f>'2_개행동'!A32</f>
        <v>입장</v>
      </c>
      <c r="C57" s="34" t="str">
        <f>'2_개행동'!B32</f>
        <v>[입장] 새 물건 — 첫 코 접촉  ※초 · 참고</v>
      </c>
      <c r="D57" s="34" t="str">
        <f>IF(LEN(TRIM(INDEX('2_개행동'!$J$32:$AC$32,1,$B$3)&amp;""))=0,"",INDEX('2_개행동'!$J$32:$AC$32,1,$B$3))</f>
        <v/>
      </c>
      <c r="E57" s="34" t="str">
        <f>IF(LEN(TRIM(D57&amp;""))=0,"",IF(ISNUMBER(D57),"수치 기록","자유 기록"))</f>
        <v/>
      </c>
      <c r="F57" s="34" t="s">
        <v>690</v>
      </c>
    </row>
    <row r="58" spans="1:6" ht="105" customHeight="1" x14ac:dyDescent="0.3">
      <c r="A58" s="36" t="s">
        <v>691</v>
      </c>
      <c r="B58" s="36" t="str">
        <f>'3_보호자행동'!A14</f>
        <v>입장</v>
      </c>
      <c r="C58" s="36" t="str">
        <f>'3_보호자행동'!B14</f>
        <v>[물건] 조건 준수 ※입장·퇴장 각 5초. 복지 중단과 단순 지시 이탈은 메모로 구분. 코드3이면 물건 비교 보류. 제외된 개 모양 물체 항목은 채점하지 않음.</v>
      </c>
      <c r="D58" s="36" t="str">
        <f>IF(LEN(TRIM(INDEX('3_보호자행동'!$J$14:$AC$14,1,$B$3)&amp;""))=0,"",INDEX('3_보호자행동'!$J$14:$AC$14,1,$B$3))</f>
        <v/>
      </c>
      <c r="E58" s="36" t="str">
        <f>IF(COUNT(D58)=0,"",IF(OR(D58&lt;1,D58&gt;3,MOD(D58,1)&lt;&gt;0),"입력 확인",INDEX('3_보호자행동'!$C$14:$G$14,1,D58+0)))</f>
        <v/>
      </c>
      <c r="F58" s="36" t="s">
        <v>692</v>
      </c>
    </row>
    <row r="59" spans="1:6" ht="105" customHeight="1" x14ac:dyDescent="0.3">
      <c r="A59" s="34" t="s">
        <v>693</v>
      </c>
      <c r="B59" s="34" t="str">
        <f>'1_바디시그널'!A38</f>
        <v>기준</v>
      </c>
      <c r="C59" s="34" t="str">
        <f>'1_바디시그널'!B38</f>
        <v>[기준] 꼬리 위치 ※낯선 장소의 기준 20초. 평소 꼬리의 대표값이 아님. 다른 구간과 형태만 비교하며 꼬리 형태·단미·가림은 메모.</v>
      </c>
      <c r="D59" s="48" t="str">
        <f>IF(LEN(TRIM(INDEX('1_바디시그널'!$J$38:$AC$38,1,$B$3)&amp;""))=0,"",INDEX('1_바디시그널'!$J$38:$AC$38,1,$B$3))</f>
        <v/>
      </c>
      <c r="E59" s="34" t="str">
        <f>IF(COUNT(D59)=0,"",IF(OR(D59&lt;-2,D59&gt;2,MOD(D59,1)&lt;&gt;0),"입력 확인",INDEX('1_바디시그널'!$C$38:$G$38,1,D59+3)))</f>
        <v/>
      </c>
      <c r="F59" s="34" t="s">
        <v>694</v>
      </c>
    </row>
    <row r="60" spans="1:6" ht="105" customHeight="1" x14ac:dyDescent="0.3">
      <c r="A60" s="36" t="s">
        <v>695</v>
      </c>
      <c r="B60" s="36" t="str">
        <f>'1_바디시그널'!A40</f>
        <v>기준</v>
      </c>
      <c r="C60" s="36" t="str">
        <f>'1_바디시그널'!B40</f>
        <v>[기준] 꼬리 움직임 ※낯선 장소의 기준 20초. 원속도 연속 영상으로 관찰. 평소 흔들림·감정의 확정값이 아님.</v>
      </c>
      <c r="D60" s="49" t="str">
        <f>IF(LEN(TRIM(INDEX('1_바디시그널'!$J$40:$AC$40,1,$B$3)&amp;""))=0,"",INDEX('1_바디시그널'!$J$40:$AC$40,1,$B$3))</f>
        <v/>
      </c>
      <c r="E60" s="36" t="str">
        <f>IF(COUNT(D60)=0,"",IF(OR(D60&lt;-2,D60&gt;2,MOD(D60,1)&lt;&gt;0),"입력 확인",INDEX('1_바디시그널'!$C$40:$G$40,1,D60+3)))</f>
        <v/>
      </c>
      <c r="F60" s="36" t="s">
        <v>696</v>
      </c>
    </row>
    <row r="61" spans="1:6" ht="105" customHeight="1" x14ac:dyDescent="0.3">
      <c r="A61" s="34" t="s">
        <v>697</v>
      </c>
      <c r="B61" s="34" t="str">
        <f>'2_개행동'!A8</f>
        <v>기준</v>
      </c>
      <c r="C61" s="34" t="str">
        <f>'2_개행동'!B8</f>
        <v>[기준] 몸 상태 ※목줄을 푼 뒤 20초. 낯선 실험실의 초기 상태이며 평소 안정 상태로 간주하지 않음.</v>
      </c>
      <c r="D61" s="48" t="str">
        <f>IF(LEN(TRIM(INDEX('2_개행동'!$J$8:$AC$8,1,$B$3)&amp;""))=0,"",INDEX('2_개행동'!$J$8:$AC$8,1,$B$3))</f>
        <v/>
      </c>
      <c r="E61" s="34" t="str">
        <f>IF(COUNT(D61)=0,"",IF(OR(D61&lt;-2,D61&gt;2,MOD(D61,1)&lt;&gt;0),"입력 확인",INDEX('2_개행동'!$C$8:$G$8,1,D61+3)))</f>
        <v/>
      </c>
      <c r="F61" s="34" t="s">
        <v>698</v>
      </c>
    </row>
    <row r="62" spans="1:6" ht="105" customHeight="1" x14ac:dyDescent="0.3">
      <c r="A62" s="36" t="s">
        <v>699</v>
      </c>
      <c r="B62" s="36" t="str">
        <f>'1_바디시그널'!A9</f>
        <v>혼자</v>
      </c>
      <c r="C62" s="36" t="str">
        <f>'1_바디시그널'!B9</f>
        <v>[혼자] 꼬리 — 위치 ※형태 관찰. 기준 20초(바38)와 원값을 나란히 봄. 기준도 낯선 장소에서의 상태이며 평소 꼬리가 아님. 가림·단미 등 판독 불가면 빈칸.</v>
      </c>
      <c r="D62" s="49" t="str">
        <f>IF(LEN(TRIM(INDEX('1_바디시그널'!$J$9:$AC$9,1,$B$3)&amp;""))=0,"",INDEX('1_바디시그널'!$J$9:$AC$9,1,$B$3))</f>
        <v/>
      </c>
      <c r="E62" s="36" t="str">
        <f>IF(COUNT(D62)=0,"",IF(OR(D62&lt;-2,D62&gt;2,MOD(D62,1)&lt;&gt;0),"입력 확인",INDEX('1_바디시그널'!$C$9:$G$9,1,D62+3)))</f>
        <v/>
      </c>
      <c r="F62" s="36" t="s">
        <v>700</v>
      </c>
    </row>
    <row r="63" spans="1:6" ht="105" customHeight="1" x14ac:dyDescent="0.3">
      <c r="A63" s="34" t="s">
        <v>701</v>
      </c>
      <c r="B63" s="34" t="str">
        <f>'1_바디시그널'!A10</f>
        <v>혼자</v>
      </c>
      <c r="C63" s="34" t="str">
        <f>'1_바디시그널'!B10</f>
        <v>분리 — 몸 털기  ※횟수 · 점수가 아닙니다</v>
      </c>
      <c r="D63" s="34" t="str">
        <f>IF(LEN(TRIM(INDEX('1_바디시그널'!$J$10:$AC$10,1,$B$3)&amp;""))=0,"",INDEX('1_바디시그널'!$J$10:$AC$10,1,$B$3))</f>
        <v/>
      </c>
      <c r="E63" s="34" t="str">
        <f>IF(LEN(TRIM(D63&amp;""))=0,"",IF(ISNUMBER(D63),"수치 기록","자유 기록"))</f>
        <v/>
      </c>
      <c r="F63" s="34" t="s">
        <v>702</v>
      </c>
    </row>
    <row r="64" spans="1:6" ht="105" customHeight="1" x14ac:dyDescent="0.3">
      <c r="A64" s="36" t="s">
        <v>703</v>
      </c>
      <c r="B64" s="36" t="str">
        <f>'1_바디시그널'!A20</f>
        <v>혼자</v>
      </c>
      <c r="C64" s="36" t="str">
        <f>'1_바디시그널'!B20</f>
        <v>[혼자] 몸 털기 횟수  ※구간 전체 1분 · 참고</v>
      </c>
      <c r="D64" s="36" t="str">
        <f>IF(LEN(TRIM(INDEX('1_바디시그널'!$J$20:$AC$20,1,$B$3)&amp;""))=0,"",INDEX('1_바디시그널'!$J$20:$AC$20,1,$B$3))</f>
        <v/>
      </c>
      <c r="E64" s="36" t="str">
        <f>IF(LEN(TRIM(D64&amp;""))=0,"",IF(ISNUMBER(D64),"수치 기록","자유 기록"))</f>
        <v/>
      </c>
      <c r="F64" s="36" t="s">
        <v>704</v>
      </c>
    </row>
    <row r="65" spans="1:6" ht="105" customHeight="1" x14ac:dyDescent="0.3">
      <c r="A65" s="34" t="s">
        <v>705</v>
      </c>
      <c r="B65" s="34" t="str">
        <f>'1_바디시그널'!A21</f>
        <v>혼자</v>
      </c>
      <c r="C65" s="34" t="str">
        <f>'1_바디시그널'!B21</f>
        <v>[혼자] 하품 횟수  ※구간 전체 1분 · 참고</v>
      </c>
      <c r="D65" s="34" t="str">
        <f>IF(LEN(TRIM(INDEX('1_바디시그널'!$J$21:$AC$21,1,$B$3)&amp;""))=0,"",INDEX('1_바디시그널'!$J$21:$AC$21,1,$B$3))</f>
        <v/>
      </c>
      <c r="E65" s="34" t="str">
        <f>IF(LEN(TRIM(D65&amp;""))=0,"",IF(ISNUMBER(D65),"수치 기록","자유 기록"))</f>
        <v/>
      </c>
      <c r="F65" s="34" t="s">
        <v>706</v>
      </c>
    </row>
    <row r="66" spans="1:6" ht="105" customHeight="1" x14ac:dyDescent="0.3">
      <c r="A66" s="36" t="s">
        <v>707</v>
      </c>
      <c r="B66" s="36" t="str">
        <f>'1_바디시그널'!A22</f>
        <v>혼자</v>
      </c>
      <c r="C66" s="36" t="str">
        <f>'1_바디시그널'!B22</f>
        <v>[혼자] 코 핥기 횟수  ※구간 전체 1분 · 참고</v>
      </c>
      <c r="D66" s="36" t="str">
        <f>IF(LEN(TRIM(INDEX('1_바디시그널'!$J$22:$AC$22,1,$B$3)&amp;""))=0,"",INDEX('1_바디시그널'!$J$22:$AC$22,1,$B$3))</f>
        <v/>
      </c>
      <c r="E66" s="36" t="str">
        <f>IF(LEN(TRIM(D66&amp;""))=0,"",IF(ISNUMBER(D66),"수치 기록","자유 기록"))</f>
        <v/>
      </c>
      <c r="F66" s="36" t="s">
        <v>708</v>
      </c>
    </row>
    <row r="67" spans="1:6" ht="105" customHeight="1" x14ac:dyDescent="0.3">
      <c r="A67" s="34" t="s">
        <v>709</v>
      </c>
      <c r="B67" s="34" t="str">
        <f>'2_개행동'!A9</f>
        <v>혼자</v>
      </c>
      <c r="C67" s="34" t="str">
        <f>'2_개행동'!B9</f>
        <v>[혼자 초기] 나간 문 쪽 반응 · 보호자의 몸이 완전히 문밖으로 나간 순간부터 처음 10초. C→G 순으로 먼저 해당하는 범주를 선택. 문 지향 반응이며 불안의 단독 증거가 아님.</v>
      </c>
      <c r="D67" s="48" t="str">
        <f>IF(LEN(TRIM(INDEX('2_개행동'!$J$9:$AC$9,1,$B$3)&amp;""))=0,"",INDEX('2_개행동'!$J$9:$AC$9,1,$B$3))</f>
        <v/>
      </c>
      <c r="E67" s="34" t="str">
        <f>IF(COUNT(D67)=0,"",IF(OR(D67&lt;-2,D67&gt;2,MOD(D67,1)&lt;&gt;0),"입력 확인",INDEX('2_개행동'!$C$9:$G$9,1,D67+3)))</f>
        <v/>
      </c>
      <c r="F67" s="34" t="s">
        <v>710</v>
      </c>
    </row>
    <row r="68" spans="1:6" ht="105" customHeight="1" x14ac:dyDescent="0.3">
      <c r="A68" s="36" t="s">
        <v>711</v>
      </c>
      <c r="B68" s="36" t="str">
        <f>'2_개행동'!A10</f>
        <v>혼자</v>
      </c>
      <c r="C68" s="36" t="str">
        <f>'2_개행동'!B10</f>
        <v>[혼자 이후] 공간 사용 양상 · 처음 10초 이후~60초까지 50초. C→G 순으로 먼저 해당하는 범주를 선택. 아래 초는 이후 50초 안에서 셈. 해당 없음·관찰 불가·구간 단축은 빈칸과 개59 메모.</v>
      </c>
      <c r="D68" s="49" t="str">
        <f>IF(LEN(TRIM(INDEX('2_개행동'!$J$10:$AC$10,1,$B$3)&amp;""))=0,"",INDEX('2_개행동'!$J$10:$AC$10,1,$B$3))</f>
        <v/>
      </c>
      <c r="E68" s="36" t="str">
        <f>IF(COUNT(D68)=0,"",IF(OR(D68&lt;-2,D68&gt;2,MOD(D68,1)&lt;&gt;0),"입력 확인",INDEX('2_개행동'!$C$10:$G$10,1,D68+3)))</f>
        <v/>
      </c>
      <c r="F68" s="36" t="s">
        <v>712</v>
      </c>
    </row>
    <row r="69" spans="1:6" ht="105" customHeight="1" x14ac:dyDescent="0.3">
      <c r="A69" s="34" t="s">
        <v>713</v>
      </c>
      <c r="B69" s="34" t="str">
        <f>'2_개행동'!A11</f>
        <v>혼자</v>
      </c>
      <c r="C69" s="34" t="str">
        <f>'2_개행동'!B11</f>
        <v>[혼자] 발성량 ※0~3 시간 비중 · 혼자 실제 구간. 못 들으면 빈칸; 0은 들었으나 없음. 종류·시각·관찰 초는 메모. 꼬리로 소리 의미를 정하지 않음.</v>
      </c>
      <c r="D69" s="34" t="str">
        <f>IF(LEN(TRIM(INDEX('2_개행동'!$J$11:$AC$11,1,$B$3)&amp;""))=0,"",INDEX('2_개행동'!$J$11:$AC$11,1,$B$3))</f>
        <v/>
      </c>
      <c r="E69" s="34" t="str">
        <f>IF(COUNT(D69)=0,"",IF(OR(D69&lt;0,D69&gt;3,MOD(D69,1)&lt;&gt;0),"입력 확인",INDEX('2_개행동'!$C$11:$G$11,1,D69+1)))</f>
        <v/>
      </c>
      <c r="F69" s="34" t="s">
        <v>714</v>
      </c>
    </row>
    <row r="70" spans="1:6" ht="105" customHeight="1" x14ac:dyDescent="0.3">
      <c r="A70" s="36" t="s">
        <v>715</v>
      </c>
      <c r="B70" s="36" t="str">
        <f>'2_개행동'!A12</f>
        <v>혼자</v>
      </c>
      <c r="C70" s="36" t="str">
        <f>'2_개행동'!B12</f>
        <v>[혼자] 탐색 변화 ※보호자 유무의 균형·반복 비교가 아니므로 안전기지 효과의 단독 판정 제외. 실제 탐색 초와 기준·혼자 관찰 가능 초를 개59에 기록. 아래는 참고 범주.</v>
      </c>
      <c r="D70" s="49" t="str">
        <f>IF(LEN(TRIM(INDEX('2_개행동'!$J$12:$AC$12,1,$B$3)&amp;""))=0,"",INDEX('2_개행동'!$J$12:$AC$12,1,$B$3))</f>
        <v/>
      </c>
      <c r="E70" s="36" t="str">
        <f>IF(COUNT(D70)=0,"",IF(OR(D70&lt;-2,D70&gt;2,MOD(D70,1)&lt;&gt;0),"입력 확인",INDEX('2_개행동'!$C$12:$G$12,1,D70+3)))</f>
        <v/>
      </c>
      <c r="F70" s="36" t="s">
        <v>716</v>
      </c>
    </row>
    <row r="71" spans="1:6" ht="105" customHeight="1" x14ac:dyDescent="0.3">
      <c r="A71" s="34" t="s">
        <v>717</v>
      </c>
      <c r="B71" s="34" t="str">
        <f>'3_보호자행동'!A10</f>
        <v>혼자</v>
      </c>
      <c r="C71" s="34" t="str">
        <f>'3_보호자행동'!B10</f>
        <v>[분리] 출입문으로 나가기 전 상호작용 · G→C 순으로 먼저 해당하는 범주 선택. 말·접촉 동시 또는 연속 상호작용은 1회, 멈췄다가 다시 시작하면 새 1회. 횟수·시각은 개59 메모. 숫자는 행동 종류 코드임.</v>
      </c>
      <c r="D71" s="48" t="str">
        <f>IF(LEN(TRIM(INDEX('3_보호자행동'!$J$10:$AC$10,1,$B$3)&amp;""))=0,"",INDEX('3_보호자행동'!$J$10:$AC$10,1,$B$3))</f>
        <v/>
      </c>
      <c r="E71" s="34" t="str">
        <f>IF(COUNT(D71)=0,"",IF(OR(D71&lt;-2,D71&gt;2,MOD(D71,1)&lt;&gt;0),"입력 확인",INDEX('3_보호자행동'!$C$10:$G$10,1,D71+3)))</f>
        <v/>
      </c>
      <c r="F71" s="34" t="s">
        <v>718</v>
      </c>
    </row>
    <row r="72" spans="1:6" ht="105" customHeight="1" x14ac:dyDescent="0.3">
      <c r="A72" s="36" t="s">
        <v>719</v>
      </c>
      <c r="B72" s="36" t="str">
        <f>'1_바디시그널'!A11</f>
        <v>낯선</v>
      </c>
      <c r="C72" s="36" t="str">
        <f>'1_바디시그널'!B11</f>
        <v>[낯선] 꼬리 — 위치 ※형태 관찰. 기준 20초(바38)와 원값을 나란히 봄. 기준도 낯선 장소에서의 상태이며 평소 꼬리가 아님. 가림·단미 등 판독 불가면 빈칸.</v>
      </c>
      <c r="D72" s="49" t="str">
        <f>IF(LEN(TRIM(INDEX('1_바디시그널'!$J$11:$AC$11,1,$B$3)&amp;""))=0,"",INDEX('1_바디시그널'!$J$11:$AC$11,1,$B$3))</f>
        <v/>
      </c>
      <c r="E72" s="36" t="str">
        <f>IF(COUNT(D72)=0,"",IF(OR(D72&lt;-2,D72&gt;2,MOD(D72,1)&lt;&gt;0),"입력 확인",INDEX('1_바디시그널'!$C$11:$G$11,1,D72+3)))</f>
        <v/>
      </c>
      <c r="F72" s="36" t="s">
        <v>720</v>
      </c>
    </row>
    <row r="73" spans="1:6" ht="105" customHeight="1" x14ac:dyDescent="0.3">
      <c r="A73" s="34" t="s">
        <v>721</v>
      </c>
      <c r="B73" s="34" t="str">
        <f>'1_바디시그널'!A23</f>
        <v>낯선</v>
      </c>
      <c r="C73" s="34" t="str">
        <f>'1_바디시그널'!B23</f>
        <v>[낯선 사람] 몸 털기 횟수  ※구간 전체 30초 · 참고</v>
      </c>
      <c r="D73" s="34" t="str">
        <f>IF(LEN(TRIM(INDEX('1_바디시그널'!$J$23:$AC$23,1,$B$3)&amp;""))=0,"",INDEX('1_바디시그널'!$J$23:$AC$23,1,$B$3))</f>
        <v/>
      </c>
      <c r="E73" s="34" t="str">
        <f>IF(LEN(TRIM(D73&amp;""))=0,"",IF(ISNUMBER(D73),"수치 기록","자유 기록"))</f>
        <v/>
      </c>
      <c r="F73" s="34" t="s">
        <v>722</v>
      </c>
    </row>
    <row r="74" spans="1:6" ht="105" customHeight="1" x14ac:dyDescent="0.3">
      <c r="A74" s="36" t="s">
        <v>723</v>
      </c>
      <c r="B74" s="36" t="str">
        <f>'1_바디시그널'!A24</f>
        <v>낯선</v>
      </c>
      <c r="C74" s="36" t="str">
        <f>'1_바디시그널'!B24</f>
        <v>[낯선 사람] 하품 횟수  ※구간 전체 30초 · 참고</v>
      </c>
      <c r="D74" s="36" t="str">
        <f>IF(LEN(TRIM(INDEX('1_바디시그널'!$J$24:$AC$24,1,$B$3)&amp;""))=0,"",INDEX('1_바디시그널'!$J$24:$AC$24,1,$B$3))</f>
        <v/>
      </c>
      <c r="E74" s="36" t="str">
        <f>IF(LEN(TRIM(D74&amp;""))=0,"",IF(ISNUMBER(D74),"수치 기록","자유 기록"))</f>
        <v/>
      </c>
      <c r="F74" s="36" t="s">
        <v>724</v>
      </c>
    </row>
    <row r="75" spans="1:6" ht="105" customHeight="1" x14ac:dyDescent="0.3">
      <c r="A75" s="34" t="s">
        <v>725</v>
      </c>
      <c r="B75" s="34" t="str">
        <f>'1_바디시그널'!A25</f>
        <v>낯선</v>
      </c>
      <c r="C75" s="34" t="str">
        <f>'1_바디시그널'!B25</f>
        <v>[낯선 사람] 코 핥기 횟수  ※구간 전체 30초 · 참고</v>
      </c>
      <c r="D75" s="34" t="str">
        <f>IF(LEN(TRIM(INDEX('1_바디시그널'!$J$25:$AC$25,1,$B$3)&amp;""))=0,"",INDEX('1_바디시그널'!$J$25:$AC$25,1,$B$3))</f>
        <v/>
      </c>
      <c r="E75" s="34" t="str">
        <f>IF(LEN(TRIM(D75&amp;""))=0,"",IF(ISNUMBER(D75),"수치 기록","자유 기록"))</f>
        <v/>
      </c>
      <c r="F75" s="34" t="s">
        <v>726</v>
      </c>
    </row>
    <row r="76" spans="1:6" ht="105" customHeight="1" x14ac:dyDescent="0.3">
      <c r="A76" s="36" t="s">
        <v>727</v>
      </c>
      <c r="B76" s="36" t="str">
        <f>'1_바디시그널'!A41</f>
        <v>낯선</v>
      </c>
      <c r="C76" s="36" t="str">
        <f>'1_바디시그널'!B41</f>
        <v>[낯선] 꼬리 — 흔들림 ※원속도 영상에서 관찰. 빠르기는 영상의 연속 움직임으로 확인하며 초당 5장 추출만으로 판단하지 않음. 감정 확정 금지.</v>
      </c>
      <c r="D76" s="49" t="str">
        <f>IF(LEN(TRIM(INDEX('1_바디시그널'!$J$41:$AC$41,1,$B$3)&amp;""))=0,"",INDEX('1_바디시그널'!$J$41:$AC$41,1,$B$3))</f>
        <v/>
      </c>
      <c r="E76" s="36" t="str">
        <f>IF(COUNT(D76)=0,"",IF(OR(D76&lt;-2,D76&gt;2,MOD(D76,1)&lt;&gt;0),"입력 확인",INDEX('1_바디시그널'!$C$41:$G$41,1,D76+3)))</f>
        <v/>
      </c>
      <c r="F76" s="36" t="s">
        <v>728</v>
      </c>
    </row>
    <row r="77" spans="1:6" ht="105" customHeight="1" x14ac:dyDescent="0.3">
      <c r="A77" s="34" t="s">
        <v>729</v>
      </c>
      <c r="B77" s="34" t="str">
        <f>'2_개행동'!A13</f>
        <v>낯선</v>
      </c>
      <c r="C77" s="34" t="str">
        <f>'2_개행동'!B13</f>
        <v>[낯선] 안전문 밖 요원 반응 ※첫 10초. 사람 직접 접촉을 채점하지 않음. +2→+1→−2→0→−1 순으로 해당 여부 확인; 반대 반응 혼재는 사건 시각 기록. 이 우선순위는 운영안. 안전문이 불투명하거나 시야가 가리면 미관찰로 기록.</v>
      </c>
      <c r="D77" s="48" t="str">
        <f>IF(LEN(TRIM(INDEX('2_개행동'!$J$13:$AC$13,1,$B$3)&amp;""))=0,"",INDEX('2_개행동'!$J$13:$AC$13,1,$B$3))</f>
        <v/>
      </c>
      <c r="E77" s="34" t="str">
        <f>IF(COUNT(D77)=0,"",IF(OR(D77&lt;-2,D77&gt;2,MOD(D77,1)&lt;&gt;0),"입력 확인",INDEX('2_개행동'!$C$13:$G$13,1,D77+3)))</f>
        <v/>
      </c>
      <c r="F77" s="34" t="s">
        <v>730</v>
      </c>
    </row>
    <row r="78" spans="1:6" ht="105" customHeight="1" x14ac:dyDescent="0.3">
      <c r="A78" s="36" t="s">
        <v>731</v>
      </c>
      <c r="B78" s="36" t="str">
        <f>'2_개행동'!A14</f>
        <v>낯선</v>
      </c>
      <c r="C78" s="36" t="str">
        <f>'2_개행동'!B14</f>
        <v>[낯선] 몸 상태 ※요원 등장~퇴장 전체의 주된 모습. 접근·접촉·퇴장 단계에서 반대 반응이 있었으면 메모.</v>
      </c>
      <c r="D78" s="49" t="str">
        <f>IF(LEN(TRIM(INDEX('2_개행동'!$J$14:$AC$14,1,$B$3)&amp;""))=0,"",INDEX('2_개행동'!$J$14:$AC$14,1,$B$3))</f>
        <v/>
      </c>
      <c r="E78" s="36" t="str">
        <f>IF(COUNT(D78)=0,"",IF(OR(D78&lt;-2,D78&gt;2,MOD(D78,1)&lt;&gt;0),"입력 확인",INDEX('2_개행동'!$C$14:$G$14,1,D78+3)))</f>
        <v/>
      </c>
      <c r="F78" s="36" t="s">
        <v>732</v>
      </c>
    </row>
    <row r="79" spans="1:6" ht="105" customHeight="1" x14ac:dyDescent="0.3">
      <c r="A79" s="34" t="s">
        <v>733</v>
      </c>
      <c r="B79" s="34" t="str">
        <f>'2_개행동'!A15</f>
        <v>낯선</v>
      </c>
      <c r="C79" s="34" t="str">
        <f>'2_개행동'!B15</f>
        <v>[낯선] 부름 뒤 반응 ※정지선에서 이름 1회 후 4초. 요원은 움직이지 않음. 접근했다면 +1/+2, 접근하지 않았다면 반응 잠재기로 −2/−1/0. 부르기 전 이미 곁에 있으면 접근 변화는 메모.</v>
      </c>
      <c r="D79" s="48" t="str">
        <f>IF(LEN(TRIM(INDEX('2_개행동'!$J$15:$AC$15,1,$B$3)&amp;""))=0,"",INDEX('2_개행동'!$J$15:$AC$15,1,$B$3))</f>
        <v/>
      </c>
      <c r="E79" s="34" t="str">
        <f>IF(COUNT(D79)=0,"",IF(OR(D79&lt;-2,D79&gt;2,MOD(D79,1)&lt;&gt;0),"입력 확인",INDEX('2_개행동'!$C$15:$G$15,1,D79+3)))</f>
        <v/>
      </c>
      <c r="F79" s="34" t="s">
        <v>734</v>
      </c>
    </row>
    <row r="80" spans="1:6" ht="105" customHeight="1" x14ac:dyDescent="0.3">
      <c r="A80" s="36" t="s">
        <v>735</v>
      </c>
      <c r="B80" s="36" t="str">
        <f>'2_개행동'!A16</f>
        <v>낯선</v>
      </c>
      <c r="C80" s="36" t="str">
        <f>'2_개행동'!B16</f>
        <v>[낯선] 거리 확보·위협 관련 신호 ※0~4 범주. 여러 신호는 가장 큰 코드와 나머지 시각을 기록. 강도의 등간 척도·합산값으로 사용하지 않음. 단독 고개 돌림을 두려움으로 확정하지 않음.</v>
      </c>
      <c r="D80" s="36" t="str">
        <f>IF(LEN(TRIM(INDEX('2_개행동'!$J$16:$AC$16,1,$B$3)&amp;""))=0,"",INDEX('2_개행동'!$J$16:$AC$16,1,$B$3))</f>
        <v/>
      </c>
      <c r="E80" s="36" t="str">
        <f>IF(COUNT(D80)=0,"",IF(OR(D80&lt;0,D80&gt;4,MOD(D80,1)&lt;&gt;0),"입력 확인",INDEX('2_개행동'!$C$16:$G$16,1,D80+1)))</f>
        <v/>
      </c>
      <c r="F80" s="36" t="s">
        <v>736</v>
      </c>
    </row>
    <row r="81" spans="1:6" ht="105" customHeight="1" x14ac:dyDescent="0.3">
      <c r="A81" s="34" t="s">
        <v>737</v>
      </c>
      <c r="B81" s="34" t="str">
        <f>'1_바디시그널'!A26</f>
        <v>재회</v>
      </c>
      <c r="C81" s="34" t="str">
        <f>'1_바디시그널'!B26</f>
        <v>[재회] 몸 털기 횟수  ※구간 전체 30초 · 참고</v>
      </c>
      <c r="D81" s="34" t="str">
        <f>IF(LEN(TRIM(INDEX('1_바디시그널'!$J$26:$AC$26,1,$B$3)&amp;""))=0,"",INDEX('1_바디시그널'!$J$26:$AC$26,1,$B$3))</f>
        <v/>
      </c>
      <c r="E81" s="34" t="str">
        <f>IF(LEN(TRIM(D81&amp;""))=0,"",IF(ISNUMBER(D81),"수치 기록","자유 기록"))</f>
        <v/>
      </c>
      <c r="F81" s="34" t="s">
        <v>738</v>
      </c>
    </row>
    <row r="82" spans="1:6" ht="105" customHeight="1" x14ac:dyDescent="0.3">
      <c r="A82" s="36" t="s">
        <v>739</v>
      </c>
      <c r="B82" s="36" t="str">
        <f>'1_바디시그널'!A27</f>
        <v>재회</v>
      </c>
      <c r="C82" s="36" t="str">
        <f>'1_바디시그널'!B27</f>
        <v>[재회] 하품 횟수  ※구간 전체 30초 · 참고</v>
      </c>
      <c r="D82" s="36" t="str">
        <f>IF(LEN(TRIM(INDEX('1_바디시그널'!$J$27:$AC$27,1,$B$3)&amp;""))=0,"",INDEX('1_바디시그널'!$J$27:$AC$27,1,$B$3))</f>
        <v/>
      </c>
      <c r="E82" s="36" t="str">
        <f>IF(LEN(TRIM(D82&amp;""))=0,"",IF(ISNUMBER(D82),"수치 기록","자유 기록"))</f>
        <v/>
      </c>
      <c r="F82" s="36" t="s">
        <v>740</v>
      </c>
    </row>
    <row r="83" spans="1:6" ht="105" customHeight="1" x14ac:dyDescent="0.3">
      <c r="A83" s="34" t="s">
        <v>741</v>
      </c>
      <c r="B83" s="34" t="str">
        <f>'1_바디시그널'!A28</f>
        <v>재회</v>
      </c>
      <c r="C83" s="34" t="str">
        <f>'1_바디시그널'!B28</f>
        <v>[재회] 코 핥기 횟수  ※구간 전체 30초 · 참고</v>
      </c>
      <c r="D83" s="34" t="str">
        <f>IF(LEN(TRIM(INDEX('1_바디시그널'!$J$28:$AC$28,1,$B$3)&amp;""))=0,"",INDEX('1_바디시그널'!$J$28:$AC$28,1,$B$3))</f>
        <v/>
      </c>
      <c r="E83" s="34" t="str">
        <f>IF(LEN(TRIM(D83&amp;""))=0,"",IF(ISNUMBER(D83),"수치 기록","자유 기록"))</f>
        <v/>
      </c>
      <c r="F83" s="34" t="s">
        <v>742</v>
      </c>
    </row>
    <row r="84" spans="1:6" ht="105" customHeight="1" x14ac:dyDescent="0.3">
      <c r="A84" s="36" t="s">
        <v>743</v>
      </c>
      <c r="B84" s="36" t="str">
        <f>'1_바디시그널'!A42</f>
        <v>재회</v>
      </c>
      <c r="C84" s="36" t="str">
        <f>'1_바디시그널'!B42</f>
        <v>[재회 접촉] 꼬리 — 흔들림 ※원속도 영상에서 관찰. 빠르기는 영상의 연속 움직임으로 확인하며 초당 5장 추출만으로 판단하지 않음. 감정 확정 금지.</v>
      </c>
      <c r="D84" s="49" t="str">
        <f>IF(LEN(TRIM(INDEX('1_바디시그널'!$J$42:$AC$42,1,$B$3)&amp;""))=0,"",INDEX('1_바디시그널'!$J$42:$AC$42,1,$B$3))</f>
        <v/>
      </c>
      <c r="E84" s="36" t="str">
        <f>IF(COUNT(D84)=0,"",IF(OR(D84&lt;-2,D84&gt;2,MOD(D84,1)&lt;&gt;0),"입력 확인",INDEX('1_바디시그널'!$C$42:$G$42,1,D84+3)))</f>
        <v/>
      </c>
      <c r="F84" s="36" t="s">
        <v>744</v>
      </c>
    </row>
    <row r="85" spans="1:6" ht="105" customHeight="1" x14ac:dyDescent="0.3">
      <c r="A85" s="34" t="s">
        <v>745</v>
      </c>
      <c r="B85" s="34" t="str">
        <f>'1_바디시그널'!A43</f>
        <v>재회</v>
      </c>
      <c r="C85" s="34" t="str">
        <f>'1_바디시그널'!B43</f>
        <v>[재회 접촉] 꼬리 — 위치 ※형태 관찰. 기준 20초(바38)와 원값을 나란히 봄. 기준도 낯선 장소에서의 상태이며 평소 꼬리가 아님. 가림·단미 등 판독 불가면 빈칸.</v>
      </c>
      <c r="D85" s="48" t="str">
        <f>IF(LEN(TRIM(INDEX('1_바디시그널'!$J$43:$AC$43,1,$B$3)&amp;""))=0,"",INDEX('1_바디시그널'!$J$43:$AC$43,1,$B$3))</f>
        <v/>
      </c>
      <c r="E85" s="34" t="str">
        <f>IF(COUNT(D85)=0,"",IF(OR(D85&lt;-2,D85&gt;2,MOD(D85,1)&lt;&gt;0),"입력 확인",INDEX('1_바디시그널'!$C$43:$G$43,1,D85+3)))</f>
        <v/>
      </c>
      <c r="F85" s="34" t="s">
        <v>746</v>
      </c>
    </row>
    <row r="86" spans="1:6" ht="105" customHeight="1" x14ac:dyDescent="0.3">
      <c r="A86" s="36" t="s">
        <v>747</v>
      </c>
      <c r="B86" s="36" t="str">
        <f>'2_개행동'!A17</f>
        <v>재회</v>
      </c>
      <c r="C86" s="36" t="str">
        <f>'2_개행동'!B17</f>
        <v>[재회] 접근·거리 ※문 열림 0~15초, 보호자 이동·착석·대기 중 먼저 부르거나 만지지 않음. 앉는 시점과 관계없이 15초로 고정.</v>
      </c>
      <c r="D86" s="49" t="str">
        <f>IF(LEN(TRIM(INDEX('2_개행동'!$J$17:$AC$17,1,$B$3)&amp;""))=0,"",INDEX('2_개행동'!$J$17:$AC$17,1,$B$3))</f>
        <v/>
      </c>
      <c r="E86" s="36" t="str">
        <f>IF(COUNT(D86)=0,"",IF(OR(D86&lt;-2,D86&gt;2,MOD(D86,1)&lt;&gt;0),"입력 확인",INDEX('2_개행동'!$C$17:$G$17,1,D86+3)))</f>
        <v/>
      </c>
      <c r="F86" s="36" t="s">
        <v>748</v>
      </c>
    </row>
    <row r="87" spans="1:6" ht="105" customHeight="1" x14ac:dyDescent="0.3">
      <c r="A87" s="34" t="s">
        <v>749</v>
      </c>
      <c r="B87" s="34" t="str">
        <f>'2_개행동'!A18</f>
        <v>재회</v>
      </c>
      <c r="C87" s="34" t="str">
        <f>'2_개행동'!B18</f>
        <v>[재회] 후반 몸 상태 ※문 열림 15~30초, 접촉 지시 구간 전체. 실제 접촉 여부를 별도 기록. 개58과 같은 눈금의 기술적 변화만 계산.</v>
      </c>
      <c r="D87" s="48" t="str">
        <f>IF(LEN(TRIM(INDEX('2_개행동'!$J$18:$AC$18,1,$B$3)&amp;""))=0,"",INDEX('2_개행동'!$J$18:$AC$18,1,$B$3))</f>
        <v/>
      </c>
      <c r="E87" s="34" t="str">
        <f>IF(COUNT(D87)=0,"",IF(OR(D87&lt;-2,D87&gt;2,MOD(D87,1)&lt;&gt;0),"입력 확인",INDEX('2_개행동'!$C$18:$G$18,1,D87+3)))</f>
        <v/>
      </c>
      <c r="F87" s="34" t="s">
        <v>750</v>
      </c>
    </row>
    <row r="88" spans="1:6" ht="105" customHeight="1" x14ac:dyDescent="0.3">
      <c r="A88" s="36" t="s">
        <v>751</v>
      </c>
      <c r="B88" s="36" t="str">
        <f>'2_개행동'!A19</f>
        <v>재회</v>
      </c>
      <c r="C88" s="36" t="str">
        <f>'2_개행동'!B19</f>
        <v>[재회 접촉] 몸의 중심 ※15~30초 실제 접촉이 이루어진 시간만. 미접촉이면 빈칸. 낯선 접촉과 부호 방향은 반대이며 시간·자세도 달라 직접 점수 차이를 애착으로 해석하지 않음.</v>
      </c>
      <c r="D88" s="49" t="str">
        <f>IF(LEN(TRIM(INDEX('2_개행동'!$J$19:$AC$19,1,$B$3)&amp;""))=0,"",INDEX('2_개행동'!$J$19:$AC$19,1,$B$3))</f>
        <v/>
      </c>
      <c r="E88" s="36" t="str">
        <f>IF(COUNT(D88)=0,"",IF(OR(D88&lt;-2,D88&gt;2,MOD(D88,1)&lt;&gt;0),"입력 확인",INDEX('2_개행동'!$C$19:$G$19,1,D88+3)))</f>
        <v/>
      </c>
      <c r="F88" s="36" t="s">
        <v>752</v>
      </c>
    </row>
    <row r="89" spans="1:6" ht="105" customHeight="1" x14ac:dyDescent="0.3">
      <c r="A89" s="34" t="s">
        <v>753</v>
      </c>
      <c r="B89" s="34" t="str">
        <f>'2_개행동'!A21</f>
        <v>재회</v>
      </c>
      <c r="C89" s="34" t="str">
        <f>'2_개행동'!B21</f>
        <v>[재회] 접근 변화 사건 횟수 ※멈춤·고개 돌림·지나침·되돌아섬·굳음을 사건으로 기록. 연속 동작은 1건, 다시 접근을 시작한 뒤 별도 발생하면 추가. 유형·시각은 메모. 1건으로 전체 분류를 무효화하지 않음.</v>
      </c>
      <c r="D89" s="34" t="str">
        <f>IF(LEN(TRIM(INDEX('2_개행동'!$J$21:$AC$21,1,$B$3)&amp;""))=0,"",INDEX('2_개행동'!$J$21:$AC$21,1,$B$3))</f>
        <v/>
      </c>
      <c r="E89" s="34" t="str">
        <f>IF(LEN(TRIM(D89&amp;""))=0,"",IF(ISNUMBER(D89),"수치 기록","자유 기록"))</f>
        <v/>
      </c>
      <c r="F89" s="34" t="s">
        <v>754</v>
      </c>
    </row>
    <row r="90" spans="1:6" ht="105" customHeight="1" x14ac:dyDescent="0.3">
      <c r="A90" s="36" t="s">
        <v>755</v>
      </c>
      <c r="B90" s="36" t="str">
        <f>'2_개행동'!A44</f>
        <v>재회</v>
      </c>
      <c r="C90" s="36" t="str">
        <f>'2_개행동'!B44</f>
        <v>[재회 접촉] 몸의 움직임 · 실제 접촉 시간 ※몸통 자세·자발적 움직임을 함께 봄. 엉덩이 흔들림이나 C자 자세가 없다는 이유만으로 긴장 판정하지 않음. 미접촉은 빈칸.</v>
      </c>
      <c r="D90" s="49" t="str">
        <f>IF(LEN(TRIM(INDEX('2_개행동'!$J$44:$AC$44,1,$B$3)&amp;""))=0,"",INDEX('2_개행동'!$J$44:$AC$44,1,$B$3))</f>
        <v/>
      </c>
      <c r="E90" s="36" t="str">
        <f>IF(COUNT(D90)=0,"",IF(OR(D90&lt;-2,D90&gt;2,MOD(D90,1)&lt;&gt;0),"입력 확인",INDEX('2_개행동'!$C$44:$G$44,1,D90+3)))</f>
        <v/>
      </c>
      <c r="F90" s="36" t="s">
        <v>756</v>
      </c>
    </row>
    <row r="91" spans="1:6" ht="105" customHeight="1" x14ac:dyDescent="0.3">
      <c r="A91" s="34" t="s">
        <v>757</v>
      </c>
      <c r="B91" s="34" t="str">
        <f>'3_보호자행동'!A11</f>
        <v>재회</v>
      </c>
      <c r="C91" s="34" t="str">
        <f>'3_보호자행동'!B11</f>
        <v>[재회] 신체접촉 방식 · 후반 15초. G→C 순으로 먼저 해당하는 범주 선택. 칭찬 톤·횟수, 밀어 내려보냄, 접촉이 없었던 이유는 개59 메모. 보22 회피 후 대응과 함께 유형 판단에 사용. 숫자는 행동 종류 코드임.</v>
      </c>
      <c r="D91" s="48" t="str">
        <f>IF(LEN(TRIM(INDEX('3_보호자행동'!$J$11:$AC$11,1,$B$3)&amp;""))=0,"",INDEX('3_보호자행동'!$J$11:$AC$11,1,$B$3))</f>
        <v/>
      </c>
      <c r="E91" s="34" t="str">
        <f>IF(COUNT(D91)=0,"",IF(OR(D91&lt;-2,D91&gt;2,MOD(D91,1)&lt;&gt;0),"입력 확인",INDEX('3_보호자행동'!$C$11:$G$11,1,D91+3)))</f>
        <v/>
      </c>
      <c r="F91" s="34" t="s">
        <v>758</v>
      </c>
    </row>
    <row r="92" spans="1:6" ht="105" customHeight="1" x14ac:dyDescent="0.3">
      <c r="A92" s="36" t="s">
        <v>759</v>
      </c>
      <c r="B92" s="36" t="str">
        <f>'1_바디시그널'!A29</f>
        <v>무시</v>
      </c>
      <c r="C92" s="36" t="str">
        <f>'1_바디시그널'!B29</f>
        <v>[무시] 몸 털기 횟수  ※구간 전체 20초 · 참고</v>
      </c>
      <c r="D92" s="36" t="str">
        <f>IF(LEN(TRIM(INDEX('1_바디시그널'!$J$29:$AC$29,1,$B$3)&amp;""))=0,"",INDEX('1_바디시그널'!$J$29:$AC$29,1,$B$3))</f>
        <v/>
      </c>
      <c r="E92" s="36" t="str">
        <f>IF(LEN(TRIM(D92&amp;""))=0,"",IF(ISNUMBER(D92),"수치 기록","자유 기록"))</f>
        <v/>
      </c>
      <c r="F92" s="36" t="s">
        <v>760</v>
      </c>
    </row>
    <row r="93" spans="1:6" ht="105" customHeight="1" x14ac:dyDescent="0.3">
      <c r="A93" s="34" t="s">
        <v>761</v>
      </c>
      <c r="B93" s="34" t="str">
        <f>'1_바디시그널'!A30</f>
        <v>무시</v>
      </c>
      <c r="C93" s="34" t="str">
        <f>'1_바디시그널'!B30</f>
        <v>[무시] 하품 횟수  ※구간 전체 20초 · 참고</v>
      </c>
      <c r="D93" s="34" t="str">
        <f>IF(LEN(TRIM(INDEX('1_바디시그널'!$J$30:$AC$30,1,$B$3)&amp;""))=0,"",INDEX('1_바디시그널'!$J$30:$AC$30,1,$B$3))</f>
        <v/>
      </c>
      <c r="E93" s="34" t="str">
        <f>IF(LEN(TRIM(D93&amp;""))=0,"",IF(ISNUMBER(D93),"수치 기록","자유 기록"))</f>
        <v/>
      </c>
      <c r="F93" s="34" t="s">
        <v>762</v>
      </c>
    </row>
    <row r="94" spans="1:6" ht="105" customHeight="1" x14ac:dyDescent="0.3">
      <c r="A94" s="36" t="s">
        <v>763</v>
      </c>
      <c r="B94" s="36" t="str">
        <f>'1_바디시그널'!A31</f>
        <v>무시</v>
      </c>
      <c r="C94" s="36" t="str">
        <f>'1_바디시그널'!B31</f>
        <v>[무시] 코 핥기 횟수  ※구간 전체 20초 · 참고</v>
      </c>
      <c r="D94" s="36" t="str">
        <f>IF(LEN(TRIM(INDEX('1_바디시그널'!$J$31:$AC$31,1,$B$3)&amp;""))=0,"",INDEX('1_바디시그널'!$J$31:$AC$31,1,$B$3))</f>
        <v/>
      </c>
      <c r="E94" s="36" t="str">
        <f>IF(LEN(TRIM(D94&amp;""))=0,"",IF(ISNUMBER(D94),"수치 기록","자유 기록"))</f>
        <v/>
      </c>
      <c r="F94" s="36" t="s">
        <v>764</v>
      </c>
    </row>
    <row r="95" spans="1:6" ht="105" customHeight="1" x14ac:dyDescent="0.3">
      <c r="A95" s="34" t="s">
        <v>765</v>
      </c>
      <c r="B95" s="34" t="str">
        <f>'1_바디시그널'!A39</f>
        <v>무시</v>
      </c>
      <c r="C95" s="34" t="str">
        <f>'1_바디시그널'!B39</f>
        <v>[무시] 꼬리 — 위치 ※형태 관찰. 기준 20초(바38)와 원값을 나란히 봄. 기준도 낯선 장소에서의 상태이며 평소 꼬리가 아님. 가림·단미 등 판독 불가면 빈칸.</v>
      </c>
      <c r="D95" s="48" t="str">
        <f>IF(LEN(TRIM(INDEX('1_바디시그널'!$J$39:$AC$39,1,$B$3)&amp;""))=0,"",INDEX('1_바디시그널'!$J$39:$AC$39,1,$B$3))</f>
        <v/>
      </c>
      <c r="E95" s="34" t="str">
        <f>IF(COUNT(D95)=0,"",IF(OR(D95&lt;-2,D95&gt;2,MOD(D95,1)&lt;&gt;0),"입력 확인",INDEX('1_바디시그널'!$C$39:$G$39,1,D95+3)))</f>
        <v/>
      </c>
      <c r="F95" s="34" t="s">
        <v>766</v>
      </c>
    </row>
    <row r="96" spans="1:6" ht="105" customHeight="1" x14ac:dyDescent="0.3">
      <c r="A96" s="36" t="s">
        <v>767</v>
      </c>
      <c r="B96" s="36" t="str">
        <f>'2_개행동'!A22</f>
        <v>무시</v>
      </c>
      <c r="C96" s="36" t="str">
        <f>'2_개행동'!B22</f>
        <v>[무시] 보호자와의 거리·확인 ※접촉 종료 뒤 20초. 보12 조건을 함께 확인. 거리 유지와 시선이 함께 든 기존 범주이며 단일 친밀감·애착 강도는 아님.</v>
      </c>
      <c r="D96" s="49" t="str">
        <f>IF(LEN(TRIM(INDEX('2_개행동'!$J$22:$AC$22,1,$B$3)&amp;""))=0,"",INDEX('2_개행동'!$J$22:$AC$22,1,$B$3))</f>
        <v/>
      </c>
      <c r="E96" s="36" t="str">
        <f>IF(COUNT(D96)=0,"",IF(OR(D96&lt;-2,D96&gt;2,MOD(D96,1)&lt;&gt;0),"입력 확인",INDEX('2_개행동'!$C$22:$G$22,1,D96+3)))</f>
        <v/>
      </c>
      <c r="F96" s="36" t="s">
        <v>768</v>
      </c>
    </row>
    <row r="97" spans="1:6" ht="105" customHeight="1" x14ac:dyDescent="0.3">
      <c r="A97" s="34" t="s">
        <v>769</v>
      </c>
      <c r="B97" s="34" t="str">
        <f>'2_개행동'!A23</f>
        <v>무시</v>
      </c>
      <c r="C97" s="34" t="str">
        <f>'2_개행동'!B23</f>
        <v>[무시] 몸 상태 ※접촉 종료 뒤 20초. 개8과 같은 눈금. 실험 이력·무시 지시의 영향이 함께 포함됨.</v>
      </c>
      <c r="D97" s="48" t="str">
        <f>IF(LEN(TRIM(INDEX('2_개행동'!$J$23:$AC$23,1,$B$3)&amp;""))=0,"",INDEX('2_개행동'!$J$23:$AC$23,1,$B$3))</f>
        <v/>
      </c>
      <c r="E97" s="34" t="str">
        <f>IF(COUNT(D97)=0,"",IF(OR(D97&lt;-2,D97&gt;2,MOD(D97,1)&lt;&gt;0),"입력 확인",INDEX('2_개행동'!$C$23:$G$23,1,D97+3)))</f>
        <v/>
      </c>
      <c r="F97" s="34" t="s">
        <v>770</v>
      </c>
    </row>
    <row r="98" spans="1:6" ht="105" customHeight="1" x14ac:dyDescent="0.3">
      <c r="A98" s="36" t="s">
        <v>771</v>
      </c>
      <c r="B98" s="36" t="str">
        <f>'3_보호자행동'!A12</f>
        <v>무시</v>
      </c>
      <c r="C98" s="36" t="str">
        <f>'3_보호자행동'!B12</f>
        <v>[무시] 지시 준수  ※참고 · 조건 준수 확인 · 이 칸만 1~3 입니다</v>
      </c>
      <c r="D98" s="36" t="str">
        <f>IF(LEN(TRIM(INDEX('3_보호자행동'!$J$12:$AC$12,1,$B$3)&amp;""))=0,"",INDEX('3_보호자행동'!$J$12:$AC$12,1,$B$3))</f>
        <v/>
      </c>
      <c r="E98" s="36" t="str">
        <f>IF(COUNT(D98)=0,"",IF(OR(D98&lt;1,D98&gt;3,MOD(D98,1)&lt;&gt;0),"입력 확인",INDEX('3_보호자행동'!$C$12:$G$12,1,D98+0)))</f>
        <v/>
      </c>
      <c r="F98" s="36" t="s">
        <v>772</v>
      </c>
    </row>
    <row r="99" spans="1:6" ht="105" customHeight="1" x14ac:dyDescent="0.3">
      <c r="A99" s="34" t="s">
        <v>773</v>
      </c>
      <c r="B99" s="34" t="str">
        <f>'1_바디시그널'!A12</f>
        <v>걷기</v>
      </c>
      <c r="C99" s="34" t="str">
        <f>'1_바디시그널'!B12</f>
        <v>[걷기] 꼬리 — 위치 ※형태 관찰. 기준 20초(바38)와 원값을 나란히 봄. 기준도 낯선 장소에서의 상태이며 평소 꼬리가 아님. 가림·단미 등 판독 불가면 빈칸.</v>
      </c>
      <c r="D99" s="48" t="str">
        <f>IF(LEN(TRIM(INDEX('1_바디시그널'!$J$12:$AC$12,1,$B$3)&amp;""))=0,"",INDEX('1_바디시그널'!$J$12:$AC$12,1,$B$3))</f>
        <v/>
      </c>
      <c r="E99" s="34" t="str">
        <f>IF(COUNT(D99)=0,"",IF(OR(D99&lt;-2,D99&gt;2,MOD(D99,1)&lt;&gt;0),"입력 확인",INDEX('1_바디시그널'!$C$12:$G$12,1,D99+3)))</f>
        <v/>
      </c>
      <c r="F99" s="34" t="s">
        <v>774</v>
      </c>
    </row>
    <row r="100" spans="1:6" ht="105" customHeight="1" x14ac:dyDescent="0.3">
      <c r="A100" s="36" t="s">
        <v>775</v>
      </c>
      <c r="B100" s="36" t="str">
        <f>'1_바디시그널'!A32</f>
        <v>걷기</v>
      </c>
      <c r="C100" s="36" t="str">
        <f>'1_바디시그널'!B32</f>
        <v>[걷기] 몸 털기 횟수  ※구간 전체 약 30초 · 참고</v>
      </c>
      <c r="D100" s="36" t="str">
        <f>IF(LEN(TRIM(INDEX('1_바디시그널'!$J$32:$AC$32,1,$B$3)&amp;""))=0,"",INDEX('1_바디시그널'!$J$32:$AC$32,1,$B$3))</f>
        <v/>
      </c>
      <c r="E100" s="36" t="str">
        <f>IF(LEN(TRIM(D100&amp;""))=0,"",IF(ISNUMBER(D100),"수치 기록","자유 기록"))</f>
        <v/>
      </c>
      <c r="F100" s="36" t="s">
        <v>776</v>
      </c>
    </row>
    <row r="101" spans="1:6" ht="105" customHeight="1" x14ac:dyDescent="0.3">
      <c r="A101" s="34" t="s">
        <v>777</v>
      </c>
      <c r="B101" s="34" t="str">
        <f>'1_바디시그널'!A33</f>
        <v>걷기</v>
      </c>
      <c r="C101" s="34" t="str">
        <f>'1_바디시그널'!B33</f>
        <v>[걷기] 하품 횟수  ※구간 전체 약 30초 · 참고</v>
      </c>
      <c r="D101" s="34" t="str">
        <f>IF(LEN(TRIM(INDEX('1_바디시그널'!$J$33:$AC$33,1,$B$3)&amp;""))=0,"",INDEX('1_바디시그널'!$J$33:$AC$33,1,$B$3))</f>
        <v/>
      </c>
      <c r="E101" s="34" t="str">
        <f>IF(LEN(TRIM(D101&amp;""))=0,"",IF(ISNUMBER(D101),"수치 기록","자유 기록"))</f>
        <v/>
      </c>
      <c r="F101" s="34" t="s">
        <v>778</v>
      </c>
    </row>
    <row r="102" spans="1:6" ht="105" customHeight="1" x14ac:dyDescent="0.3">
      <c r="A102" s="36" t="s">
        <v>779</v>
      </c>
      <c r="B102" s="36" t="str">
        <f>'1_바디시그널'!A34</f>
        <v>걷기</v>
      </c>
      <c r="C102" s="36" t="str">
        <f>'1_바디시그널'!B34</f>
        <v>[걷기] 코 핥기 횟수  ※구간 전체 약 30초 · 참고</v>
      </c>
      <c r="D102" s="36" t="str">
        <f>IF(LEN(TRIM(INDEX('1_바디시그널'!$J$34:$AC$34,1,$B$3)&amp;""))=0,"",INDEX('1_바디시그널'!$J$34:$AC$34,1,$B$3))</f>
        <v/>
      </c>
      <c r="E102" s="36" t="str">
        <f>IF(LEN(TRIM(D102&amp;""))=0,"",IF(ISNUMBER(D102),"수치 기록","자유 기록"))</f>
        <v/>
      </c>
      <c r="F102" s="36" t="s">
        <v>780</v>
      </c>
    </row>
    <row r="103" spans="1:6" ht="105" customHeight="1" x14ac:dyDescent="0.3">
      <c r="A103" s="34" t="s">
        <v>781</v>
      </c>
      <c r="B103" s="34" t="str">
        <f>'2_개행동'!A24</f>
        <v>걷기</v>
      </c>
      <c r="C103" s="34" t="str">
        <f>'2_개행동'!B24</f>
        <v>[걷기] 주된 거리 ※구간 시간 절반 초과를 차지한 범주. 한 번 멀어진 것만으로 전체 +1로 정하지 않음. 동률이면 시작 범주·혼재 사유 기록.</v>
      </c>
      <c r="D103" s="48" t="str">
        <f>IF(LEN(TRIM(INDEX('2_개행동'!$J$24:$AC$24,1,$B$3)&amp;""))=0,"",INDEX('2_개행동'!$J$24:$AC$24,1,$B$3))</f>
        <v/>
      </c>
      <c r="E103" s="34" t="str">
        <f>IF(COUNT(D103)=0,"",IF(OR(D103&lt;-2,D103&gt;2,MOD(D103,1)&lt;&gt;0),"입력 확인",INDEX('2_개행동'!$C$24:$G$24,1,D103+3)))</f>
        <v/>
      </c>
      <c r="F103" s="34" t="s">
        <v>782</v>
      </c>
    </row>
    <row r="104" spans="1:6" ht="105" customHeight="1" x14ac:dyDescent="0.3">
      <c r="A104" s="36" t="s">
        <v>783</v>
      </c>
      <c r="B104" s="36" t="str">
        <f>'2_개행동'!A25</f>
        <v>걷기</v>
      </c>
      <c r="C104" s="36" t="str">
        <f>'2_개행동'!B25</f>
        <v>[걷기] 보호자 확인 ※시선 관찰만. 개24·근접 비율에 합산하지 않음. 친밀감·의존의 직접 판정으로 사용하지 않음.</v>
      </c>
      <c r="D104" s="49" t="str">
        <f>IF(LEN(TRIM(INDEX('2_개행동'!$J$25:$AC$25,1,$B$3)&amp;""))=0,"",INDEX('2_개행동'!$J$25:$AC$25,1,$B$3))</f>
        <v/>
      </c>
      <c r="E104" s="36" t="str">
        <f>IF(COUNT(D104)=0,"",IF(OR(D104&lt;-2,D104&gt;2,MOD(D104,1)&lt;&gt;0),"입력 확인",INDEX('2_개행동'!$C$25:$G$25,1,D104+3)))</f>
        <v/>
      </c>
      <c r="F104" s="36" t="s">
        <v>784</v>
      </c>
    </row>
    <row r="105" spans="1:6" ht="105" customHeight="1" x14ac:dyDescent="0.3">
      <c r="A105" s="34" t="s">
        <v>785</v>
      </c>
      <c r="B105" s="34" t="str">
        <f>'2_개행동'!A26</f>
        <v>걷기</v>
      </c>
      <c r="C105" s="34" t="str">
        <f>'2_개행동'!B26</f>
        <v>[걷기] 이동 — 곁에 있던 국면 수  ※자동 계산 · 입력하지 마세요</v>
      </c>
      <c r="D105" s="34" t="str">
        <f>IF(LEN(TRIM(INDEX('2_개행동'!$J$26:$AC$26,1,$B$3)&amp;""))=0,"",INDEX('2_개행동'!$J$26:$AC$26,1,$B$3))</f>
        <v/>
      </c>
      <c r="E105" s="34" t="str">
        <f>IF(LEN(TRIM(D105&amp;""))=0,"",IF(ISNUMBER(D105),"자동 계산값","자동 관찰 요약"))</f>
        <v/>
      </c>
      <c r="F105" s="34" t="s">
        <v>786</v>
      </c>
    </row>
    <row r="106" spans="1:6" ht="105" customHeight="1" x14ac:dyDescent="0.3">
      <c r="A106" s="36" t="s">
        <v>787</v>
      </c>
      <c r="B106" s="36" t="str">
        <f>'2_개행동'!A27</f>
        <v>걷기</v>
      </c>
      <c r="C106" s="36" t="str">
        <f>'2_개행동'!B27</f>
        <v>[걷기] 근접 국면 비율 ※자동. 사람·AI 공통 항목으로 사용 가능. 상태 전환 동조율과 다름.</v>
      </c>
      <c r="D106" s="35" t="str">
        <f>IF(LEN(TRIM(INDEX('2_개행동'!$J$27:$AC$27,1,$B$3)&amp;""))=0,"",INDEX('2_개행동'!$J$27:$AC$27,1,$B$3))</f>
        <v/>
      </c>
      <c r="E106" s="36" t="str">
        <f>IF(LEN(TRIM(D106&amp;""))=0,"",IF(ISNUMBER(D106),"자동 계산값","자동 관찰 요약"))</f>
        <v/>
      </c>
      <c r="F106" s="36" t="s">
        <v>788</v>
      </c>
    </row>
    <row r="107" spans="1:6" ht="105" customHeight="1" x14ac:dyDescent="0.3">
      <c r="A107" s="34" t="s">
        <v>789</v>
      </c>
      <c r="B107" s="34" t="str">
        <f>'2_개행동'!A36</f>
        <v>걷기</v>
      </c>
      <c r="C107" s="34" t="str">
        <f>'2_개행동'!B36</f>
        <v>[걷기] 정지 — 곁에 있던 국면 수  ※자동 계산 · 입력하지 마세요</v>
      </c>
      <c r="D107" s="34" t="str">
        <f>IF(LEN(TRIM(INDEX('2_개행동'!$J$36:$AC$36,1,$B$3)&amp;""))=0,"",INDEX('2_개행동'!$J$36:$AC$36,1,$B$3))</f>
        <v/>
      </c>
      <c r="E107" s="34" t="str">
        <f>IF(LEN(TRIM(D107&amp;""))=0,"",IF(ISNUMBER(D107),"자동 계산값","자동 관찰 요약"))</f>
        <v/>
      </c>
      <c r="F107" s="34" t="s">
        <v>790</v>
      </c>
    </row>
    <row r="108" spans="1:6" ht="105" customHeight="1" x14ac:dyDescent="0.3">
      <c r="A108" s="36" t="s">
        <v>791</v>
      </c>
      <c r="B108" s="36" t="str">
        <f>'2_개행동'!A37</f>
        <v>걷기</v>
      </c>
      <c r="C108" s="36" t="str">
        <f>'2_개행동'!B37</f>
        <v>[걷기] 0 시작 — 첫 걸음 직전  ※거리 등급 0~3</v>
      </c>
      <c r="D108" s="36" t="str">
        <f>IF(LEN(TRIM(INDEX('2_개행동'!$J$37:$AC$37,1,$B$3)&amp;""))=0,"",INDEX('2_개행동'!$J$37:$AC$37,1,$B$3))</f>
        <v/>
      </c>
      <c r="E108" s="36" t="str">
        <f>IF(COUNT(D108)=0,"",IF(OR(D108&lt;0,D108&gt;3,MOD(D108,1)&lt;&gt;0),"입력 확인","기록 코드 "&amp;D108&amp;" / "&amp;'2_개행동'!C37))</f>
        <v/>
      </c>
      <c r="F108" s="36" t="s">
        <v>792</v>
      </c>
    </row>
    <row r="109" spans="1:6" ht="105" customHeight="1" x14ac:dyDescent="0.3">
      <c r="A109" s="34" t="s">
        <v>793</v>
      </c>
      <c r="B109" s="34" t="str">
        <f>'2_개행동'!A38</f>
        <v>걷기</v>
      </c>
      <c r="C109" s="34" t="str">
        <f>'2_개행동'!B38</f>
        <v>[걷기] 1 이동 S→A (오른쪽 4걸음)  ※거리 등급 0~3</v>
      </c>
      <c r="D109" s="34" t="str">
        <f>IF(LEN(TRIM(INDEX('2_개행동'!$J$38:$AC$38,1,$B$3)&amp;""))=0,"",INDEX('2_개행동'!$J$38:$AC$38,1,$B$3))</f>
        <v/>
      </c>
      <c r="E109" s="34" t="str">
        <f>IF(COUNT(D109)=0,"",IF(OR(D109&lt;0,D109&gt;3,MOD(D109,1)&lt;&gt;0),"입력 확인","기록 코드 "&amp;D109&amp;" / "&amp;'2_개행동'!C38))</f>
        <v/>
      </c>
      <c r="F109" s="34" t="s">
        <v>794</v>
      </c>
    </row>
    <row r="110" spans="1:6" ht="105" customHeight="1" x14ac:dyDescent="0.3">
      <c r="A110" s="36" t="s">
        <v>795</v>
      </c>
      <c r="B110" s="36" t="str">
        <f>'2_개행동'!A39</f>
        <v>걷기</v>
      </c>
      <c r="C110" s="36" t="str">
        <f>'2_개행동'!B39</f>
        <v>[걷기] 2 정지 A — 다시 걷기 전까지  ※거리 등급 0~3</v>
      </c>
      <c r="D110" s="36" t="str">
        <f>IF(LEN(TRIM(INDEX('2_개행동'!$J$39:$AC$39,1,$B$3)&amp;""))=0,"",INDEX('2_개행동'!$J$39:$AC$39,1,$B$3))</f>
        <v/>
      </c>
      <c r="E110" s="36" t="str">
        <f>IF(COUNT(D110)=0,"",IF(OR(D110&lt;0,D110&gt;3,MOD(D110,1)&lt;&gt;0),"입력 확인","기록 코드 "&amp;D110&amp;" / "&amp;'2_개행동'!C39))</f>
        <v/>
      </c>
      <c r="F110" s="36" t="s">
        <v>796</v>
      </c>
    </row>
    <row r="111" spans="1:6" ht="105" customHeight="1" x14ac:dyDescent="0.3">
      <c r="A111" s="34" t="s">
        <v>797</v>
      </c>
      <c r="B111" s="34" t="str">
        <f>'2_개행동'!A40</f>
        <v>걷기</v>
      </c>
      <c r="C111" s="34" t="str">
        <f>'2_개행동'!B40</f>
        <v>[걷기] 3 이동 A→C (왼쪽 8걸음 · S 지나감)  ※거리 등급 0~3</v>
      </c>
      <c r="D111" s="34" t="str">
        <f>IF(LEN(TRIM(INDEX('2_개행동'!$J$40:$AC$40,1,$B$3)&amp;""))=0,"",INDEX('2_개행동'!$J$40:$AC$40,1,$B$3))</f>
        <v/>
      </c>
      <c r="E111" s="34" t="str">
        <f>IF(COUNT(D111)=0,"",IF(OR(D111&lt;0,D111&gt;3,MOD(D111,1)&lt;&gt;0),"입력 확인","기록 코드 "&amp;D111&amp;" / "&amp;'2_개행동'!C40))</f>
        <v/>
      </c>
      <c r="F111" s="34" t="s">
        <v>798</v>
      </c>
    </row>
    <row r="112" spans="1:6" ht="105" customHeight="1" x14ac:dyDescent="0.3">
      <c r="A112" s="36" t="s">
        <v>799</v>
      </c>
      <c r="B112" s="36" t="str">
        <f>'2_개행동'!A41</f>
        <v>걷기</v>
      </c>
      <c r="C112" s="36" t="str">
        <f>'2_개행동'!B41</f>
        <v>[걷기] 4 정지 C — 다시 걷기 전까지  ※거리 등급 0~3</v>
      </c>
      <c r="D112" s="36" t="str">
        <f>IF(LEN(TRIM(INDEX('2_개행동'!$J$41:$AC$41,1,$B$3)&amp;""))=0,"",INDEX('2_개행동'!$J$41:$AC$41,1,$B$3))</f>
        <v/>
      </c>
      <c r="E112" s="36" t="str">
        <f>IF(COUNT(D112)=0,"",IF(OR(D112&lt;0,D112&gt;3,MOD(D112,1)&lt;&gt;0),"입력 확인","기록 코드 "&amp;D112&amp;" / "&amp;'2_개행동'!C41))</f>
        <v/>
      </c>
      <c r="F112" s="36" t="s">
        <v>800</v>
      </c>
    </row>
    <row r="113" spans="1:6" ht="105" customHeight="1" x14ac:dyDescent="0.3">
      <c r="A113" s="34" t="s">
        <v>801</v>
      </c>
      <c r="B113" s="34" t="str">
        <f>'2_개행동'!A42</f>
        <v>걷기</v>
      </c>
      <c r="C113" s="34" t="str">
        <f>'2_개행동'!B42</f>
        <v>[걷기] 5 이동 C→S (4걸음)  ※거리 등급 0~3</v>
      </c>
      <c r="D113" s="34" t="str">
        <f>IF(LEN(TRIM(INDEX('2_개행동'!$J$42:$AC$42,1,$B$3)&amp;""))=0,"",INDEX('2_개행동'!$J$42:$AC$42,1,$B$3))</f>
        <v/>
      </c>
      <c r="E113" s="34" t="str">
        <f>IF(COUNT(D113)=0,"",IF(OR(D113&lt;0,D113&gt;3,MOD(D113,1)&lt;&gt;0),"입력 확인","기록 코드 "&amp;D113&amp;" / "&amp;'2_개행동'!C42))</f>
        <v/>
      </c>
      <c r="F113" s="34" t="s">
        <v>802</v>
      </c>
    </row>
    <row r="114" spans="1:6" ht="105" customHeight="1" x14ac:dyDescent="0.3">
      <c r="A114" s="36" t="s">
        <v>803</v>
      </c>
      <c r="B114" s="36" t="str">
        <f>'2_개행동'!A43</f>
        <v>걷기</v>
      </c>
      <c r="C114" s="36" t="str">
        <f>'2_개행동'!B43</f>
        <v>[걷기] 6 정지 S — 구간이 끝날 때까지  ※거리 등급 0~3</v>
      </c>
      <c r="D114" s="36" t="str">
        <f>IF(LEN(TRIM(INDEX('2_개행동'!$J$43:$AC$43,1,$B$3)&amp;""))=0,"",INDEX('2_개행동'!$J$43:$AC$43,1,$B$3))</f>
        <v/>
      </c>
      <c r="E114" s="36" t="str">
        <f>IF(COUNT(D114)=0,"",IF(OR(D114&lt;0,D114&gt;3,MOD(D114,1)&lt;&gt;0),"입력 확인","기록 코드 "&amp;D114&amp;" / "&amp;'2_개행동'!C43))</f>
        <v/>
      </c>
      <c r="F114" s="36" t="s">
        <v>804</v>
      </c>
    </row>
    <row r="115" spans="1:6" ht="105" customHeight="1" x14ac:dyDescent="0.3">
      <c r="A115" s="34" t="s">
        <v>805</v>
      </c>
      <c r="B115" s="34" t="str">
        <f>'3_보호자행동'!A13</f>
        <v>걷기</v>
      </c>
      <c r="C115" s="34" t="str">
        <f>'3_보호자행동'!B13</f>
        <v>[걷기] 시행 유효성  ※참고 · 조건 준수 확인 · 이 칸만 1~3 입니다</v>
      </c>
      <c r="D115" s="34" t="str">
        <f>IF(LEN(TRIM(INDEX('3_보호자행동'!$J$13:$AC$13,1,$B$3)&amp;""))=0,"",INDEX('3_보호자행동'!$J$13:$AC$13,1,$B$3))</f>
        <v/>
      </c>
      <c r="E115" s="34" t="str">
        <f>IF(COUNT(D115)=0,"",IF(OR(D115&lt;1,D115&gt;3,MOD(D115,1)&lt;&gt;0),"입력 확인",INDEX('3_보호자행동'!$C$13:$G$13,1,D115+0)))</f>
        <v/>
      </c>
      <c r="F115" s="34" t="s">
        <v>806</v>
      </c>
    </row>
    <row r="116" spans="1:6" ht="105" customHeight="1" x14ac:dyDescent="0.3">
      <c r="A116" s="36" t="s">
        <v>807</v>
      </c>
      <c r="B116" s="36" t="str">
        <f>'1_바디시그널'!A13</f>
        <v>퇴장</v>
      </c>
      <c r="C116" s="36" t="str">
        <f>'1_바디시그널'!B13</f>
        <v>[퇴장] 꼬리 — 위치 ※형태 관찰. 기준 20초(바38)와 원값을 나란히 봄. 기준도 낯선 장소에서의 상태이며 평소 꼬리가 아님. 가림·단미 등 판독 불가면 빈칸.</v>
      </c>
      <c r="D116" s="49" t="str">
        <f>IF(LEN(TRIM(INDEX('1_바디시그널'!$J$13:$AC$13,1,$B$3)&amp;""))=0,"",INDEX('1_바디시그널'!$J$13:$AC$13,1,$B$3))</f>
        <v/>
      </c>
      <c r="E116" s="36" t="str">
        <f>IF(COUNT(D116)=0,"",IF(OR(D116&lt;-2,D116&gt;2,MOD(D116,1)&lt;&gt;0),"입력 확인",INDEX('1_바디시그널'!$C$13:$G$13,1,D116+3)))</f>
        <v/>
      </c>
      <c r="F116" s="36" t="s">
        <v>808</v>
      </c>
    </row>
    <row r="117" spans="1:6" ht="105" customHeight="1" x14ac:dyDescent="0.3">
      <c r="A117" s="34" t="s">
        <v>809</v>
      </c>
      <c r="B117" s="34" t="str">
        <f>'1_바디시그널'!A35</f>
        <v>퇴장</v>
      </c>
      <c r="C117" s="34" t="str">
        <f>'1_바디시그널'!B35</f>
        <v>[퇴장] 몸 털기 횟수  ※구간 전체 ~30초 · 참고</v>
      </c>
      <c r="D117" s="34" t="str">
        <f>IF(LEN(TRIM(INDEX('1_바디시그널'!$J$35:$AC$35,1,$B$3)&amp;""))=0,"",INDEX('1_바디시그널'!$J$35:$AC$35,1,$B$3))</f>
        <v/>
      </c>
      <c r="E117" s="34" t="str">
        <f>IF(LEN(TRIM(D117&amp;""))=0,"",IF(ISNUMBER(D117),"수치 기록","자유 기록"))</f>
        <v/>
      </c>
      <c r="F117" s="34" t="s">
        <v>810</v>
      </c>
    </row>
    <row r="118" spans="1:6" ht="105" customHeight="1" x14ac:dyDescent="0.3">
      <c r="A118" s="36" t="s">
        <v>811</v>
      </c>
      <c r="B118" s="36" t="str">
        <f>'1_바디시그널'!A36</f>
        <v>퇴장</v>
      </c>
      <c r="C118" s="36" t="str">
        <f>'1_바디시그널'!B36</f>
        <v>[퇴장] 하품 횟수  ※구간 전체 ~30초 · 참고</v>
      </c>
      <c r="D118" s="36" t="str">
        <f>IF(LEN(TRIM(INDEX('1_바디시그널'!$J$36:$AC$36,1,$B$3)&amp;""))=0,"",INDEX('1_바디시그널'!$J$36:$AC$36,1,$B$3))</f>
        <v/>
      </c>
      <c r="E118" s="36" t="str">
        <f>IF(LEN(TRIM(D118&amp;""))=0,"",IF(ISNUMBER(D118),"수치 기록","자유 기록"))</f>
        <v/>
      </c>
      <c r="F118" s="36" t="s">
        <v>812</v>
      </c>
    </row>
    <row r="119" spans="1:6" ht="105" customHeight="1" x14ac:dyDescent="0.3">
      <c r="A119" s="34" t="s">
        <v>813</v>
      </c>
      <c r="B119" s="34" t="str">
        <f>'1_바디시그널'!A37</f>
        <v>퇴장</v>
      </c>
      <c r="C119" s="34" t="str">
        <f>'1_바디시그널'!B37</f>
        <v>[퇴장] 코 핥기 횟수  ※구간 전체 ~30초 · 참고</v>
      </c>
      <c r="D119" s="34" t="str">
        <f>IF(LEN(TRIM(INDEX('1_바디시그널'!$J$37:$AC$37,1,$B$3)&amp;""))=0,"",INDEX('1_바디시그널'!$J$37:$AC$37,1,$B$3))</f>
        <v/>
      </c>
      <c r="E119" s="34" t="str">
        <f>IF(LEN(TRIM(D119&amp;""))=0,"",IF(ISNUMBER(D119),"수치 기록","자유 기록"))</f>
        <v/>
      </c>
      <c r="F119" s="34" t="s">
        <v>814</v>
      </c>
    </row>
    <row r="120" spans="1:6" ht="105" customHeight="1" x14ac:dyDescent="0.3">
      <c r="A120" s="36" t="s">
        <v>815</v>
      </c>
      <c r="B120" s="36" t="str">
        <f>'2_개행동'!A28</f>
        <v>퇴장</v>
      </c>
      <c r="C120" s="36" t="str">
        <f>'2_개행동'!B28</f>
        <v>[퇴장] 문 통과 ※입장 개5와 같은 관찰 기준. 앞서 나감의 이유나 환경 적응을 이 한 항목으로 정하지 않음.</v>
      </c>
      <c r="D120" s="49" t="str">
        <f>IF(LEN(TRIM(INDEX('2_개행동'!$J$28:$AC$28,1,$B$3)&amp;""))=0,"",INDEX('2_개행동'!$J$28:$AC$28,1,$B$3))</f>
        <v/>
      </c>
      <c r="E120" s="36" t="str">
        <f>IF(COUNT(D120)=0,"",IF(OR(D120&lt;-2,D120&gt;2,MOD(D120,1)&lt;&gt;0),"입력 확인",INDEX('2_개행동'!$C$28:$G$28,1,D120+3)))</f>
        <v/>
      </c>
      <c r="F120" s="36" t="s">
        <v>816</v>
      </c>
    </row>
    <row r="121" spans="1:6" ht="105" customHeight="1" x14ac:dyDescent="0.3">
      <c r="A121" s="34" t="s">
        <v>817</v>
      </c>
      <c r="B121" s="34" t="str">
        <f>'2_개행동'!A29</f>
        <v>퇴장</v>
      </c>
      <c r="C121" s="34" t="str">
        <f>'2_개행동'!B29</f>
        <v>[퇴장] 냄새 — 나가면서 코를 쓰는가</v>
      </c>
      <c r="D121" s="34" t="str">
        <f>IF(LEN(TRIM(INDEX('2_개행동'!$J$29:$AC$29,1,$B$3)&amp;""))=0,"",INDEX('2_개행동'!$J$29:$AC$29,1,$B$3))</f>
        <v/>
      </c>
      <c r="E121" s="34" t="str">
        <f>IF(COUNT(D121)=0,"",IF(OR(D121&lt;0,D121&gt;1,MOD(D121,1)&lt;&gt;0),"입력 확인",INDEX('2_개행동'!$C$29:$G$29,1,D121+1)))</f>
        <v/>
      </c>
      <c r="F121" s="34" t="s">
        <v>818</v>
      </c>
    </row>
    <row r="122" spans="1:6" ht="105" customHeight="1" x14ac:dyDescent="0.3">
      <c r="A122" s="36" t="s">
        <v>819</v>
      </c>
      <c r="B122" s="36" t="str">
        <f>'2_개행동'!A34</f>
        <v>퇴장</v>
      </c>
      <c r="C122" s="36" t="str">
        <f>'2_개행동'!B34</f>
        <v>[퇴장] 새 물건 반응 ※5초 정지+통과. +2→−2→−1→0→+1 순으로 확인. 여러 반응이면 순서·시각 기록. 정지 신호와 목줄 유도 조건은 보14 확인.</v>
      </c>
      <c r="D122" s="49" t="str">
        <f>IF(LEN(TRIM(INDEX('2_개행동'!$J$34:$AC$34,1,$B$3)&amp;""))=0,"",INDEX('2_개행동'!$J$34:$AC$34,1,$B$3))</f>
        <v/>
      </c>
      <c r="E122" s="36" t="str">
        <f>IF(COUNT(D122)=0,"",IF(OR(D122&lt;-2,D122&gt;2,MOD(D122,1)&lt;&gt;0),"입력 확인",INDEX('2_개행동'!$C$34:$G$34,1,D122+3)))</f>
        <v/>
      </c>
      <c r="F122" s="36" t="s">
        <v>820</v>
      </c>
    </row>
    <row r="123" spans="1:6" ht="105" customHeight="1" x14ac:dyDescent="0.3">
      <c r="A123" s="34" t="s">
        <v>821</v>
      </c>
      <c r="B123" s="34" t="str">
        <f>'3_보호자행동'!A6</f>
        <v>전 구간</v>
      </c>
      <c r="C123" s="34" t="str">
        <f>'3_보호자행동'!B6</f>
        <v>앞에서 당기는 개에 대한 줄 대처 ※당김이 발생한 사건. 줄 팽팽함의 원인을 보호자 힘으로 추정하지 않음. 복수 사건은 개59 또는 보25~27에 시각·상반 반응 기록.</v>
      </c>
      <c r="D123" s="48" t="str">
        <f>IF(LEN(TRIM(INDEX('3_보호자행동'!$J$6:$AC$6,1,$B$3)&amp;""))=0,"",INDEX('3_보호자행동'!$J$6:$AC$6,1,$B$3))</f>
        <v/>
      </c>
      <c r="E123" s="34" t="str">
        <f>IF(COUNT(D123)=0,"",IF(OR(D123&lt;-2,D123&gt;2,MOD(D123,1)&lt;&gt;0),"입력 확인",INDEX('3_보호자행동'!$C$6:$G$6,1,D123+3)))</f>
        <v/>
      </c>
      <c r="F123" s="34" t="s">
        <v>822</v>
      </c>
    </row>
    <row r="124" spans="1:6" ht="105" customHeight="1" x14ac:dyDescent="0.3">
      <c r="A124" s="36" t="s">
        <v>823</v>
      </c>
      <c r="B124" s="36" t="str">
        <f>'3_보호자행동'!A9</f>
        <v>전 구간</v>
      </c>
      <c r="C124" s="36" t="str">
        <f>'3_보호자행동'!B9</f>
        <v>뒤처지거나 버티는 개에 대한 줄 대처 ※버팀 사건이 있을 때. 안아 옮김은 이 축과 별도 메모. 복수 반응은 사건별 시각을 남기고 주된 반응을 선택.</v>
      </c>
      <c r="D124" s="49" t="str">
        <f>IF(LEN(TRIM(INDEX('3_보호자행동'!$J$9:$AC$9,1,$B$3)&amp;""))=0,"",INDEX('3_보호자행동'!$J$9:$AC$9,1,$B$3))</f>
        <v/>
      </c>
      <c r="E124" s="36" t="str">
        <f>IF(COUNT(D124)=0,"",IF(OR(D124&lt;-2,D124&gt;2,MOD(D124,1)&lt;&gt;0),"입력 확인",INDEX('3_보호자행동'!$C$9:$G$9,1,D124+3)))</f>
        <v/>
      </c>
      <c r="F124" s="36" t="s">
        <v>824</v>
      </c>
    </row>
    <row r="125" spans="1:6" ht="105" customHeight="1" x14ac:dyDescent="0.3">
      <c r="A125" s="34" t="s">
        <v>825</v>
      </c>
      <c r="B125" s="34" t="str">
        <f>'2_개행동'!A45</f>
        <v>입장</v>
      </c>
      <c r="C125" s="34" t="str">
        <f>'2_개행동'!B45</f>
        <v>[입장] 리드줄 상태 — 줄당김 체크  ※참고 · 방 문부터 의자까지 대체로 어느 쪽이었는지(물건 앞 5초 멈춤은 빼고) — 보6 · 보9 는 이 값과 따로, 당긴 장면 · 버틴 장면이 있었는지로 매깁니다</v>
      </c>
      <c r="D125" s="48" t="str">
        <f>IF(LEN(TRIM(INDEX('2_개행동'!$J$45:$AC$45,1,$B$3)&amp;""))=0,"",INDEX('2_개행동'!$J$45:$AC$45,1,$B$3))</f>
        <v/>
      </c>
      <c r="E125" s="34" t="str">
        <f>IF(COUNT(D125)=0,"",IF(OR(D125&lt;-2,D125&gt;2,MOD(D125,1)&lt;&gt;0),"입력 확인",INDEX('2_개행동'!$C$45:$G$45,1,D125+3)))</f>
        <v/>
      </c>
      <c r="F125" s="34" t="s">
        <v>826</v>
      </c>
    </row>
    <row r="126" spans="1:6" ht="105" customHeight="1" x14ac:dyDescent="0.3">
      <c r="A126" s="36" t="s">
        <v>827</v>
      </c>
      <c r="B126" s="36" t="str">
        <f>'2_개행동'!A46</f>
        <v>퇴장</v>
      </c>
      <c r="C126" s="36" t="str">
        <f>'2_개행동'!B46</f>
        <v>[퇴장] 리드줄 상태 — 줄당김 체크  ※참고 · 목줄을 채운 뒤 문을 나갈 때까지 대체로 어느 쪽이었는지(물건 앞 5초 멈춤은 빼고) — 보6 · 보9 는 이 값과 따로, 당긴 장면 · 버틴 장면이 있었는지로 매깁니다</v>
      </c>
      <c r="D126" s="49" t="str">
        <f>IF(LEN(TRIM(INDEX('2_개행동'!$J$46:$AC$46,1,$B$3)&amp;""))=0,"",INDEX('2_개행동'!$J$46:$AC$46,1,$B$3))</f>
        <v/>
      </c>
      <c r="E126" s="36" t="str">
        <f>IF(COUNT(D126)=0,"",IF(OR(D126&lt;-2,D126&gt;2,MOD(D126,1)&lt;&gt;0),"입력 확인",INDEX('2_개행동'!$C$46:$G$46,1,D126+3)))</f>
        <v/>
      </c>
      <c r="F126" s="36" t="s">
        <v>828</v>
      </c>
    </row>
    <row r="127" spans="1:6" ht="105" customHeight="1" x14ac:dyDescent="0.3">
      <c r="A127" s="34" t="s">
        <v>829</v>
      </c>
      <c r="B127" s="34" t="str">
        <f>'1_바디시그널'!A44</f>
        <v>입장</v>
      </c>
      <c r="C127" s="34" t="str">
        <f>'1_바디시그널'!B44</f>
        <v>[입장] 새 물건 곁 — 꼬리 위치 ※형태 관찰. 기준 20초(바38)와 원값을 나란히 봄. 기준도 낯선 장소에서의 상태이며 평소 꼬리가 아님. 가림·단미 등 판독 불가면 빈칸.</v>
      </c>
      <c r="D127" s="48" t="str">
        <f>IF(LEN(TRIM(INDEX('1_바디시그널'!$J$44:$AC$44,1,$B$3)&amp;""))=0,"",INDEX('1_바디시그널'!$J$44:$AC$44,1,$B$3))</f>
        <v/>
      </c>
      <c r="E127" s="34" t="str">
        <f>IF(COUNT(D127)=0,"",IF(OR(D127&lt;-2,D127&gt;2,MOD(D127,1)&lt;&gt;0),"입력 확인",INDEX('1_바디시그널'!$C$44:$G$44,1,D127+3)))</f>
        <v/>
      </c>
      <c r="F127" s="34" t="s">
        <v>830</v>
      </c>
    </row>
    <row r="128" spans="1:6" ht="105" customHeight="1" x14ac:dyDescent="0.3">
      <c r="A128" s="36" t="s">
        <v>831</v>
      </c>
      <c r="B128" s="36" t="str">
        <f>'2_개행동'!A47</f>
        <v>재회</v>
      </c>
      <c r="C128" s="36" t="str">
        <f>'2_개행동'!B47</f>
        <v>[재회] 발성량 ※0~3 시간 비중 · 문 열림부터 30초 전체. 못 들으면 빈칸; 0은 들었으나 없음. 종류·시각·관찰 초는 메모. 꼬리로 소리 의미를 정하지 않음.</v>
      </c>
      <c r="D128" s="36" t="str">
        <f>IF(LEN(TRIM(INDEX('2_개행동'!$J$47:$AC$47,1,$B$3)&amp;""))=0,"",INDEX('2_개행동'!$J$47:$AC$47,1,$B$3))</f>
        <v/>
      </c>
      <c r="E128" s="36" t="str">
        <f>IF(COUNT(D128)=0,"",IF(OR(D128&lt;0,D128&gt;3,MOD(D128,1)&lt;&gt;0),"입력 확인",INDEX('2_개행동'!$C$47:$G$47,1,D128+1)))</f>
        <v/>
      </c>
      <c r="F128" s="36" t="s">
        <v>832</v>
      </c>
    </row>
    <row r="129" spans="1:6" ht="105" customHeight="1" x14ac:dyDescent="0.3">
      <c r="A129" s="34" t="s">
        <v>833</v>
      </c>
      <c r="B129" s="34" t="str">
        <f>'2_개행동'!A48</f>
        <v>무시</v>
      </c>
      <c r="C129" s="34" t="str">
        <f>'2_개행동'!B48</f>
        <v>[무시] 발성량 ※0~3 시간 비중 · 접촉 종료 뒤 20초. 못 들으면 빈칸; 0은 들었으나 없음. 종류·시각·관찰 초는 메모. 꼬리로 소리 의미를 정하지 않음.</v>
      </c>
      <c r="D129" s="34" t="str">
        <f>IF(LEN(TRIM(INDEX('2_개행동'!$J$48:$AC$48,1,$B$3)&amp;""))=0,"",INDEX('2_개행동'!$J$48:$AC$48,1,$B$3))</f>
        <v/>
      </c>
      <c r="E129" s="34" t="str">
        <f>IF(COUNT(D129)=0,"",IF(OR(D129&lt;0,D129&gt;3,MOD(D129,1)&lt;&gt;0),"입력 확인",INDEX('2_개행동'!$C$48:$G$48,1,D129+1)))</f>
        <v/>
      </c>
      <c r="F129" s="34" t="s">
        <v>834</v>
      </c>
    </row>
    <row r="130" spans="1:6" ht="105" customHeight="1" x14ac:dyDescent="0.3">
      <c r="A130" s="36" t="s">
        <v>835</v>
      </c>
      <c r="B130" s="36" t="str">
        <f>'2_개행동'!A49</f>
        <v>낯선</v>
      </c>
      <c r="C130" s="36" t="str">
        <f>'2_개행동'!B49</f>
        <v>[낯선] 발성량 ※0~3 시간 비중 · 요원 등장~퇴장. 못 들으면 빈칸; 0은 들었으나 없음. 종류·시각·관찰 초는 메모. 꼬리로 소리 의미를 정하지 않음.</v>
      </c>
      <c r="D130" s="36" t="str">
        <f>IF(LEN(TRIM(INDEX('2_개행동'!$J$49:$AC$49,1,$B$3)&amp;""))=0,"",INDEX('2_개행동'!$J$49:$AC$49,1,$B$3))</f>
        <v/>
      </c>
      <c r="E130" s="36" t="str">
        <f>IF(COUNT(D130)=0,"",IF(OR(D130&lt;0,D130&gt;3,MOD(D130,1)&lt;&gt;0),"입력 확인",INDEX('2_개행동'!$C$49:$G$49,1,D130+1)))</f>
        <v/>
      </c>
      <c r="F130" s="36" t="s">
        <v>836</v>
      </c>
    </row>
    <row r="131" spans="1:6" ht="105" customHeight="1" x14ac:dyDescent="0.3">
      <c r="A131" s="34" t="s">
        <v>837</v>
      </c>
      <c r="B131" s="34" t="str">
        <f>'2_개행동'!A50</f>
        <v>퇴장</v>
      </c>
      <c r="C131" s="34" t="str">
        <f>'2_개행동'!B50</f>
        <v>[퇴장] 발성량 ※0~3 시간 비중 · 퇴장 전체. 못 들으면 빈칸; 0은 들었으나 없음. 종류·시각·관찰 초는 메모. 꼬리로 소리 의미를 정하지 않음.</v>
      </c>
      <c r="D131" s="34" t="str">
        <f>IF(LEN(TRIM(INDEX('2_개행동'!$J$50:$AC$50,1,$B$3)&amp;""))=0,"",INDEX('2_개행동'!$J$50:$AC$50,1,$B$3))</f>
        <v/>
      </c>
      <c r="E131" s="34" t="str">
        <f>IF(COUNT(D131)=0,"",IF(OR(D131&lt;0,D131&gt;3,MOD(D131,1)&lt;&gt;0),"입력 확인",INDEX('2_개행동'!$C$50:$G$50,1,D131+1)))</f>
        <v/>
      </c>
      <c r="F131" s="34" t="s">
        <v>838</v>
      </c>
    </row>
    <row r="132" spans="1:6" ht="105" customHeight="1" x14ac:dyDescent="0.3">
      <c r="A132" s="36" t="s">
        <v>839</v>
      </c>
      <c r="B132" s="36" t="str">
        <f>'2_개행동'!A51</f>
        <v>낯선</v>
      </c>
      <c r="C132" s="36" t="str">
        <f>'2_개행동'!B51</f>
        <v>[낯선 접촉] 몸의 중심 ※정지선에서 자발적으로 손 닿는 곳에 있고 회피하지 않을 때 최대 3초. 안 왔거나 접촉 전 중단이면 빈칸·개53 경로 기록. 보호자 접촉과 반대 부호·다른 조건임.</v>
      </c>
      <c r="D132" s="49" t="str">
        <f>IF(LEN(TRIM(INDEX('2_개행동'!$J$51:$AC$51,1,$B$3)&amp;""))=0,"",INDEX('2_개행동'!$J$51:$AC$51,1,$B$3))</f>
        <v/>
      </c>
      <c r="E132" s="36" t="str">
        <f>IF(COUNT(D132)=0,"",IF(OR(D132&lt;-2,D132&gt;2,MOD(D132,1)&lt;&gt;0),"입력 확인",INDEX('2_개행동'!$C$51:$G$51,1,D132+3)))</f>
        <v/>
      </c>
      <c r="F132" s="36" t="s">
        <v>840</v>
      </c>
    </row>
    <row r="133" spans="1:6" ht="105" customHeight="1" x14ac:dyDescent="0.3">
      <c r="A133" s="34" t="s">
        <v>841</v>
      </c>
      <c r="B133" s="34" t="str">
        <f>'2_개행동'!A52</f>
        <v>낯선</v>
      </c>
      <c r="C133" s="34" t="str">
        <f>'2_개행동'!B52</f>
        <v>[낯선 접촉] 몸의 움직임 · 최대 3초 ※몸통 자세·자발적 움직임을 함께 봄. 엉덩이 흔들림이나 C자 자세가 없다는 이유만으로 긴장 판정하지 않음. 미접촉은 빈칸.</v>
      </c>
      <c r="D133" s="48" t="str">
        <f>IF(LEN(TRIM(INDEX('2_개행동'!$J$52:$AC$52,1,$B$3)&amp;""))=0,"",INDEX('2_개행동'!$J$52:$AC$52,1,$B$3))</f>
        <v/>
      </c>
      <c r="E133" s="34" t="str">
        <f>IF(COUNT(D133)=0,"",IF(OR(D133&lt;-2,D133&gt;2,MOD(D133,1)&lt;&gt;0),"입력 확인",INDEX('2_개행동'!$C$52:$G$52,1,D133+3)))</f>
        <v/>
      </c>
      <c r="F133" s="34" t="s">
        <v>842</v>
      </c>
    </row>
    <row r="134" spans="1:6" ht="105" customHeight="1" x14ac:dyDescent="0.3">
      <c r="A134" s="36" t="s">
        <v>843</v>
      </c>
      <c r="B134" s="36" t="str">
        <f>'2_개행동'!A53</f>
        <v>낯선</v>
      </c>
      <c r="C134" s="36" t="str">
        <f>'2_개행동'!B53</f>
        <v>[낯선] 접촉 경로 ※0~3 범주. 최초 접근 경로와 실제 접촉 성립을 기록. 요원은 20초 전에는 만지지 않음. 미접촉은 0이 아님.</v>
      </c>
      <c r="D134" s="36" t="str">
        <f>IF(LEN(TRIM(INDEX('2_개행동'!$J$53:$AC$53,1,$B$3)&amp;""))=0,"",INDEX('2_개행동'!$J$53:$AC$53,1,$B$3))</f>
        <v/>
      </c>
      <c r="E134" s="36" t="str">
        <f>IF(COUNT(D134)=0,"",IF(OR(D134&lt;0,D134&gt;3,MOD(D134,1)&lt;&gt;0),"입력 확인",INDEX('2_개행동'!$C$53:$G$53,1,D134+1)))</f>
        <v/>
      </c>
      <c r="F134" s="36" t="s">
        <v>844</v>
      </c>
    </row>
    <row r="135" spans="1:6" ht="105" customHeight="1" x14ac:dyDescent="0.3">
      <c r="A135" s="34" t="s">
        <v>845</v>
      </c>
      <c r="B135" s="34" t="str">
        <f>'2_개행동'!A54</f>
        <v>낯선</v>
      </c>
      <c r="C135" s="34" t="str">
        <f>'2_개행동'!B54</f>
        <v>[낯선] 퇴장 시 따라가기 ※요원이 정지선에서 돌아 첫걸음을 뗀 순간~안전문 통과. 추가 부름·손짓 없음. 회피 후 조기 중단이면 정상 시행과 구분해 비우고 메모.</v>
      </c>
      <c r="D135" s="48" t="str">
        <f>IF(LEN(TRIM(INDEX('2_개행동'!$J$54:$AC$54,1,$B$3)&amp;""))=0,"",INDEX('2_개행동'!$J$54:$AC$54,1,$B$3))</f>
        <v/>
      </c>
      <c r="E135" s="34" t="str">
        <f>IF(COUNT(D135)=0,"",IF(OR(D135&lt;-2,D135&gt;2,MOD(D135,1)&lt;&gt;0),"입력 확인",INDEX('2_개행동'!$C$54:$G$54,1,D135+3)))</f>
        <v/>
      </c>
      <c r="F135" s="34" t="s">
        <v>846</v>
      </c>
    </row>
    <row r="136" spans="1:6" ht="105" customHeight="1" x14ac:dyDescent="0.3">
      <c r="A136" s="36" t="s">
        <v>847</v>
      </c>
      <c r="B136" s="36" t="str">
        <f>'1_바디시그널'!A45</f>
        <v>낯선</v>
      </c>
      <c r="C136" s="36" t="str">
        <f>'1_바디시그널'!B45</f>
        <v>[낯선 접촉] 꼬리 — 위치 ※형태 관찰. 기준 20초(바38)와 원값을 나란히 봄. 기준도 낯선 장소에서의 상태이며 평소 꼬리가 아님. 가림·단미 등 판독 불가면 빈칸.</v>
      </c>
      <c r="D136" s="49" t="str">
        <f>IF(LEN(TRIM(INDEX('1_바디시그널'!$J$45:$AC$45,1,$B$3)&amp;""))=0,"",INDEX('1_바디시그널'!$J$45:$AC$45,1,$B$3))</f>
        <v/>
      </c>
      <c r="E136" s="36" t="str">
        <f>IF(COUNT(D136)=0,"",IF(OR(D136&lt;-2,D136&gt;2,MOD(D136,1)&lt;&gt;0),"입력 확인",INDEX('1_바디시그널'!$C$45:$G$45,1,D136+3)))</f>
        <v/>
      </c>
      <c r="F136" s="36" t="s">
        <v>848</v>
      </c>
    </row>
    <row r="137" spans="1:6" ht="105" customHeight="1" x14ac:dyDescent="0.3">
      <c r="A137" s="34" t="s">
        <v>849</v>
      </c>
      <c r="B137" s="34" t="str">
        <f>'2_개행동'!A55</f>
        <v>낯선</v>
      </c>
      <c r="C137" s="34" t="str">
        <f>'2_개행동'!B55</f>
        <v>[낯선] 정지선 접근 반응 ※이름 부르기 전, 안전문 안으로 들어와 정지선까지 이동하는 동안. 정지선은 상한이며 회피·굳음·으르렁이면 그 전에 중단.</v>
      </c>
      <c r="D137" s="48" t="str">
        <f>IF(LEN(TRIM(INDEX('2_개행동'!$J$55:$AC$55,1,$B$3)&amp;""))=0,"",INDEX('2_개행동'!$J$55:$AC$55,1,$B$3))</f>
        <v/>
      </c>
      <c r="E137" s="34" t="str">
        <f>IF(COUNT(D137)=0,"",IF(OR(D137&lt;-2,D137&gt;2,MOD(D137,1)&lt;&gt;0),"입력 확인",INDEX('2_개행동'!$C$55:$G$55,1,D137+3)))</f>
        <v/>
      </c>
      <c r="F137" s="34" t="s">
        <v>850</v>
      </c>
    </row>
    <row r="138" spans="1:6" ht="105" customHeight="1" x14ac:dyDescent="0.3">
      <c r="A138" s="36" t="s">
        <v>851</v>
      </c>
      <c r="B138" s="36" t="str">
        <f>'2_개행동'!A56</f>
        <v>낯선</v>
      </c>
      <c r="C138" s="36" t="str">
        <f>'2_개행동'!B56</f>
        <v>[낯선] 보호자 확인 ※관찰된 시선 방향. 사회적 참조 기능을 시선만으로 확정하지 않음. 보호자 반응 시각과 연결해 검토.</v>
      </c>
      <c r="D138" s="49" t="str">
        <f>IF(LEN(TRIM(INDEX('2_개행동'!$J$56:$AC$56,1,$B$3)&amp;""))=0,"",INDEX('2_개행동'!$J$56:$AC$56,1,$B$3))</f>
        <v/>
      </c>
      <c r="E138" s="36" t="str">
        <f>IF(COUNT(D138)=0,"",IF(OR(D138&lt;-2,D138&gt;2,MOD(D138,1)&lt;&gt;0),"입력 확인",INDEX('2_개행동'!$C$56:$G$56,1,D138+3)))</f>
        <v/>
      </c>
      <c r="F138" s="36" t="s">
        <v>852</v>
      </c>
    </row>
    <row r="139" spans="1:6" ht="105" customHeight="1" x14ac:dyDescent="0.3">
      <c r="A139" s="34" t="s">
        <v>853</v>
      </c>
      <c r="B139" s="34" t="str">
        <f>'2_개행동'!A57</f>
        <v>낯선</v>
      </c>
      <c r="C139" s="34" t="str">
        <f>'2_개행동'!B57</f>
        <v>[낯선] 보호자 왕복 경로 ※0~3 범주. 갔다가 다시 나온 사실만 기록. 안전기지 효과의 직접 검증·애착 유형 판정에 단독 사용하지 않음.</v>
      </c>
      <c r="D139" s="34" t="str">
        <f>IF(LEN(TRIM(INDEX('2_개행동'!$J$57:$AC$57,1,$B$3)&amp;""))=0,"",INDEX('2_개행동'!$J$57:$AC$57,1,$B$3))</f>
        <v/>
      </c>
      <c r="E139" s="34" t="str">
        <f>IF(COUNT(D139)=0,"",IF(OR(D139&lt;0,D139&gt;3,MOD(D139,1)&lt;&gt;0),"입력 확인",INDEX('2_개행동'!$C$57:$G$57,1,D139+1)))</f>
        <v/>
      </c>
      <c r="F139" s="34" t="s">
        <v>854</v>
      </c>
    </row>
    <row r="140" spans="1:6" ht="105" customHeight="1" x14ac:dyDescent="0.3">
      <c r="A140" s="36" t="s">
        <v>855</v>
      </c>
      <c r="B140" s="36" t="str">
        <f>'3_보호자행동'!A16</f>
        <v>낯선</v>
      </c>
      <c r="C140" s="36" t="str">
        <f>'3_보호자행동'!B16</f>
        <v>[낯선] 보호자 — 개에게 말을 걸거나 이름을 불렀다  ※0 또는 1 · 발생 기록 · 해당하면 1</v>
      </c>
      <c r="D140" s="36" t="str">
        <f>IF(LEN(TRIM(INDEX('3_보호자행동'!$J$16:$AC$16,1,$B$3)&amp;""))=0,"",INDEX('3_보호자행동'!$J$16:$AC$16,1,$B$3))</f>
        <v/>
      </c>
      <c r="E140" s="36" t="str">
        <f>IF(COUNT(D140)=0,"",IF(OR(D140&lt;0,D140&gt;1,MOD(D140,1)&lt;&gt;0),"입력 확인",INDEX('3_보호자행동'!$C$16:$G$16,1,D140+1)))</f>
        <v/>
      </c>
      <c r="F140" s="36" t="s">
        <v>856</v>
      </c>
    </row>
    <row r="141" spans="1:6" ht="105" customHeight="1" x14ac:dyDescent="0.3">
      <c r="A141" s="34" t="s">
        <v>857</v>
      </c>
      <c r="B141" s="34" t="str">
        <f>'3_보호자행동'!A17</f>
        <v>낯선</v>
      </c>
      <c r="C141" s="34" t="str">
        <f>'3_보호자행동'!B17</f>
        <v>[낯선] 보호자 — 개를 붙잡거나 안아 올렸다  ※0 또는 1 · 발생 기록 · 해당하면 1</v>
      </c>
      <c r="D141" s="34" t="str">
        <f>IF(LEN(TRIM(INDEX('3_보호자행동'!$J$17:$AC$17,1,$B$3)&amp;""))=0,"",INDEX('3_보호자행동'!$J$17:$AC$17,1,$B$3))</f>
        <v/>
      </c>
      <c r="E141" s="34" t="str">
        <f>IF(COUNT(D141)=0,"",IF(OR(D141&lt;0,D141&gt;1,MOD(D141,1)&lt;&gt;0),"입력 확인",INDEX('3_보호자행동'!$C$17:$G$17,1,D141+1)))</f>
        <v/>
      </c>
      <c r="F141" s="34" t="s">
        <v>858</v>
      </c>
    </row>
    <row r="142" spans="1:6" ht="105" customHeight="1" x14ac:dyDescent="0.3">
      <c r="A142" s="36" t="s">
        <v>859</v>
      </c>
      <c r="B142" s="36" t="str">
        <f>'3_보호자행동'!A18</f>
        <v>낯선</v>
      </c>
      <c r="C142" s="36" t="str">
        <f>'3_보호자행동'!B18</f>
        <v>[낯선] 보호자 — 일어서거나 자리를 옮겼다 (개 앞으로 몸을 옮긴 것 포함)  ※0 또는 1 · 발생 기록 · 해당하면 1</v>
      </c>
      <c r="D142" s="36" t="str">
        <f>IF(LEN(TRIM(INDEX('3_보호자행동'!$J$18:$AC$18,1,$B$3)&amp;""))=0,"",INDEX('3_보호자행동'!$J$18:$AC$18,1,$B$3))</f>
        <v/>
      </c>
      <c r="E142" s="36" t="str">
        <f>IF(COUNT(D142)=0,"",IF(OR(D142&lt;0,D142&gt;1,MOD(D142,1)&lt;&gt;0),"입력 확인",INDEX('3_보호자행동'!$C$18:$G$18,1,D142+1)))</f>
        <v/>
      </c>
      <c r="F142" s="36" t="s">
        <v>860</v>
      </c>
    </row>
    <row r="143" spans="1:6" ht="105" customHeight="1" x14ac:dyDescent="0.3">
      <c r="A143" s="34" t="s">
        <v>861</v>
      </c>
      <c r="B143" s="34" t="str">
        <f>'1_바디시그널'!A17</f>
        <v>기준</v>
      </c>
      <c r="C143" s="34" t="str">
        <f>'1_바디시그널'!B17</f>
        <v>[기준] 몸 털기 횟수  ※구간 전체 20초 · 참고</v>
      </c>
      <c r="D143" s="34" t="str">
        <f>IF(LEN(TRIM(INDEX('1_바디시그널'!$J$17:$AC$17,1,$B$3)&amp;""))=0,"",INDEX('1_바디시그널'!$J$17:$AC$17,1,$B$3))</f>
        <v/>
      </c>
      <c r="E143" s="34" t="str">
        <f>IF(LEN(TRIM(D143&amp;""))=0,"",IF(ISNUMBER(D143),"수치 기록","자유 기록"))</f>
        <v/>
      </c>
      <c r="F143" s="34" t="s">
        <v>862</v>
      </c>
    </row>
    <row r="144" spans="1:6" ht="105" customHeight="1" x14ac:dyDescent="0.3">
      <c r="A144" s="36" t="s">
        <v>863</v>
      </c>
      <c r="B144" s="36" t="str">
        <f>'1_바디시그널'!A18</f>
        <v>기준</v>
      </c>
      <c r="C144" s="36" t="str">
        <f>'1_바디시그널'!B18</f>
        <v>[기준] 하품 횟수  ※구간 전체 20초 · 참고</v>
      </c>
      <c r="D144" s="36" t="str">
        <f>IF(LEN(TRIM(INDEX('1_바디시그널'!$J$18:$AC$18,1,$B$3)&amp;""))=0,"",INDEX('1_바디시그널'!$J$18:$AC$18,1,$B$3))</f>
        <v/>
      </c>
      <c r="E144" s="36" t="str">
        <f>IF(LEN(TRIM(D144&amp;""))=0,"",IF(ISNUMBER(D144),"수치 기록","자유 기록"))</f>
        <v/>
      </c>
      <c r="F144" s="36" t="s">
        <v>864</v>
      </c>
    </row>
    <row r="145" spans="1:6" ht="105" customHeight="1" x14ac:dyDescent="0.3">
      <c r="A145" s="34" t="s">
        <v>865</v>
      </c>
      <c r="B145" s="34" t="str">
        <f>'1_바디시그널'!A19</f>
        <v>기준</v>
      </c>
      <c r="C145" s="34" t="str">
        <f>'1_바디시그널'!B19</f>
        <v>[기준] 코 핥기 횟수  ※구간 전체 20초 · 참고</v>
      </c>
      <c r="D145" s="34" t="str">
        <f>IF(LEN(TRIM(INDEX('1_바디시그널'!$J$19:$AC$19,1,$B$3)&amp;""))=0,"",INDEX('1_바디시그널'!$J$19:$AC$19,1,$B$3))</f>
        <v/>
      </c>
      <c r="E145" s="34" t="str">
        <f>IF(LEN(TRIM(D145&amp;""))=0,"",IF(ISNUMBER(D145),"수치 기록","자유 기록"))</f>
        <v/>
      </c>
      <c r="F145" s="34" t="s">
        <v>866</v>
      </c>
    </row>
    <row r="146" spans="1:6" ht="105" customHeight="1" x14ac:dyDescent="0.3">
      <c r="A146" s="36" t="s">
        <v>867</v>
      </c>
      <c r="B146" s="36" t="str">
        <f>'3_보호자행동'!A22</f>
        <v>재회</v>
      </c>
      <c r="C146" s="36" t="str">
        <f>'3_보호자행동'!B22</f>
        <v>[재회] 회피 뒤 접촉 변화 ※후반 15초 중 개가 고개·몸을 돌리거나 물러난 첫 명확한 사건 뒤 대응. 보38=2/3일 때만. 접근만 있었다면 채점하지 않음.</v>
      </c>
      <c r="D146" s="49" t="str">
        <f>IF(LEN(TRIM(INDEX('3_보호자행동'!$J$22:$AC$22,1,$B$3)&amp;""))=0,"",INDEX('3_보호자행동'!$J$22:$AC$22,1,$B$3))</f>
        <v/>
      </c>
      <c r="E146" s="36" t="str">
        <f>IF(COUNT(D146)=0,"",IF(OR(D146&lt;-2,D146&gt;2,MOD(D146,1)&lt;&gt;0),"입력 확인",INDEX('3_보호자행동'!$C$22:$G$22,1,D146+3)))</f>
        <v/>
      </c>
      <c r="F146" s="36" t="s">
        <v>868</v>
      </c>
    </row>
    <row r="147" spans="1:6" ht="105" customHeight="1" x14ac:dyDescent="0.3">
      <c r="A147" s="34" t="s">
        <v>869</v>
      </c>
      <c r="B147" s="34" t="str">
        <f>'3_보호자행동'!A23</f>
        <v>낯선</v>
      </c>
      <c r="C147" s="34" t="str">
        <f>'3_보호자행동'!B23</f>
        <v>[낯선] 앉은 상태의 지시 방식. 말·손짓으로 행동을 요청한 정도. G→C 순으로 선택. 반복은 같은 행동을 다시 요청한 횟수. 전 구간 관찰 시만 무지시 선택. 직원 지시·안전 조치는 별도 메모.</v>
      </c>
      <c r="D147" s="48" t="str">
        <f>IF(LEN(TRIM(INDEX('3_보호자행동'!$J$23:$AC$23,1,$B$3)&amp;""))=0,"",INDEX('3_보호자행동'!$J$23:$AC$23,1,$B$3))</f>
        <v/>
      </c>
      <c r="E147" s="34" t="str">
        <f>IF(COUNT(D147)=0,"",IF(OR(D147&lt;-2,D147&gt;2,MOD(D147,1)&lt;&gt;0),"입력 확인",INDEX('3_보호자행동'!$C$23:$G$23,1,D147+3)))</f>
        <v/>
      </c>
      <c r="F147" s="34" t="s">
        <v>870</v>
      </c>
    </row>
    <row r="148" spans="1:6" ht="105" customHeight="1" x14ac:dyDescent="0.3">
      <c r="A148" s="36" t="s">
        <v>871</v>
      </c>
      <c r="B148" s="36" t="str">
        <f>'3_보호자행동'!A24</f>
        <v>낯선</v>
      </c>
      <c r="C148" s="36" t="str">
        <f>'3_보호자행동'!B24</f>
        <v>[낯선] 찾아온 개에 대한 접촉 대응 v0.2. 보40=1/2일 때. 개가 먼저 시작한 접촉·움직임을 따르는지, 이후 접근·회피 신호에 따라 대응을 바꾸는지 구분. 해당 근거가 없으면 빈칸+사유.</v>
      </c>
      <c r="D148" s="49" t="str">
        <f>IF(LEN(TRIM(INDEX('3_보호자행동'!$J$24:$AC$24,1,$B$3)&amp;""))=0,"",INDEX('3_보호자행동'!$J$24:$AC$24,1,$B$3))</f>
        <v/>
      </c>
      <c r="E148" s="36" t="str">
        <f>IF(COUNT(D148)=0,"",IF(OR(D148&lt;-2,D148&gt;2,MOD(D148,1)&lt;&gt;0),"입력 확인",INDEX('3_보호자행동'!$C$24:$G$24,1,D148+3)))</f>
        <v/>
      </c>
      <c r="F148" s="36" t="s">
        <v>872</v>
      </c>
    </row>
    <row r="149" spans="1:6" ht="105" customHeight="1" x14ac:dyDescent="0.3">
      <c r="A149" s="34" t="s">
        <v>873</v>
      </c>
      <c r="B149" s="34" t="str">
        <f>'3_보호자행동'!A38</f>
        <v>재회</v>
      </c>
      <c r="C149" s="34" t="str">
        <f>'3_보호자행동'!B38</f>
        <v>보22 관찰 기회 ※0~3. 개가 보인 사건, 보호자의 좋고 나쁨 아님.</v>
      </c>
      <c r="D149" s="34" t="str">
        <f>IF(LEN(TRIM(INDEX('3_보호자행동'!$J$38:$AC$38,1,$B$3)&amp;""))=0,"",INDEX('3_보호자행동'!$J$38:$AC$38,1,$B$3))</f>
        <v/>
      </c>
      <c r="E149" s="34" t="str">
        <f>IF(COUNT(D149)=0,"",IF(OR(D149&lt;0,D149&gt;3,MOD(D149,1)&lt;&gt;0),"입력 확인",INDEX('3_보호자행동'!$C$38:$G$38,1,D149+1)))</f>
        <v/>
      </c>
      <c r="F149" s="34" t="s">
        <v>874</v>
      </c>
    </row>
    <row r="150" spans="1:6" ht="105" customHeight="1" x14ac:dyDescent="0.3">
      <c r="A150" s="36" t="s">
        <v>875</v>
      </c>
      <c r="B150" s="36" t="str">
        <f>'3_보호자행동'!A39</f>
        <v>재회</v>
      </c>
      <c r="C150" s="36" t="str">
        <f>'3_보호자행동'!B39</f>
        <v>[재회] 자발적 접근 뒤 접촉 대응 v0.2. 보38=1/3일 때. 개가 먼저 시작한 접촉에 맞춤과 이후 신호에 따른 대응 변화를 구분. 보22와 같은 사건이면 같은 재회 장면 안에서 평균.</v>
      </c>
      <c r="D150" s="36" t="str">
        <f>IF(LEN(TRIM(INDEX('3_보호자행동'!$J$39:$AC$39,1,$B$3)&amp;""))=0,"",INDEX('3_보호자행동'!$J$39:$AC$39,1,$B$3))</f>
        <v/>
      </c>
      <c r="E150" s="36" t="str">
        <f>IF(COUNT(D150)=0,"",IF(OR(D150&lt;0,D150&gt;3,MOD(D150,1)&lt;&gt;0),"입력 확인",INDEX('3_보호자행동'!$C$39:$G$39,1,D150+1)))</f>
        <v/>
      </c>
      <c r="F150" s="36" t="s">
        <v>876</v>
      </c>
    </row>
    <row r="151" spans="1:6" ht="105" customHeight="1" x14ac:dyDescent="0.3">
      <c r="A151" s="34" t="s">
        <v>877</v>
      </c>
      <c r="B151" s="34" t="str">
        <f>'3_보호자행동'!A40</f>
        <v>낯선</v>
      </c>
      <c r="C151" s="34" t="str">
        <f>'3_보호자행동'!B40</f>
        <v>보24 관찰 기회 ※0~3. 찾아온 뒤 개의 반응을 먼저 기록.</v>
      </c>
      <c r="D151" s="34" t="str">
        <f>IF(LEN(TRIM(INDEX('3_보호자행동'!$J$40:$AC$40,1,$B$3)&amp;""))=0,"",INDEX('3_보호자행동'!$J$40:$AC$40,1,$B$3))</f>
        <v/>
      </c>
      <c r="E151" s="34" t="str">
        <f>IF(COUNT(D151)=0,"",IF(OR(D151&lt;0,D151&gt;3,MOD(D151,1)&lt;&gt;0),"입력 확인",INDEX('3_보호자행동'!$C$40:$G$40,1,D151+1)))</f>
        <v/>
      </c>
      <c r="F151" s="34" t="s">
        <v>878</v>
      </c>
    </row>
    <row r="152" spans="1:6" ht="105" customHeight="1" x14ac:dyDescent="0.3">
      <c r="A152" s="36" t="s">
        <v>879</v>
      </c>
      <c r="B152" s="36" t="str">
        <f>'2_개행동'!A58</f>
        <v>혼자</v>
      </c>
      <c r="C152" s="36" t="str">
        <f>'2_개행동'!B58</f>
        <v>[혼자] 몸 상태 ※실제 분리 구간 전체의 주된 상태. 개8·18·23과 같은 눈금. 복지 중단·구간 길이는 메모.</v>
      </c>
      <c r="D152" s="49" t="str">
        <f>IF(LEN(TRIM(INDEX('2_개행동'!$J$58:$AC$58,1,$B$3)&amp;""))=0,"",INDEX('2_개행동'!$J$58:$AC$58,1,$B$3))</f>
        <v/>
      </c>
      <c r="E152" s="36" t="str">
        <f>IF(COUNT(D152)=0,"",IF(OR(D152&lt;-2,D152&gt;2,MOD(D152,1)&lt;&gt;0),"입력 확인",INDEX('2_개행동'!$C$58:$G$58,1,D152+3)))</f>
        <v/>
      </c>
      <c r="F152" s="36" t="s">
        <v>880</v>
      </c>
    </row>
    <row r="153" spans="1:6" ht="105" customHeight="1" x14ac:dyDescent="0.3">
      <c r="A153" s="34" t="s">
        <v>881</v>
      </c>
      <c r="B153" s="34" t="str">
        <f>'2_개행동'!A59</f>
        <v>기록</v>
      </c>
      <c r="C153" s="34" t="str">
        <f>'2_개행동'!B59</f>
        <v>실제 시각·기회·가림·복지 중단 메모 ※문 열림/착석/접촉 시작·끝/무시/걷기/요원 진입·부름·접촉·퇴장 시각, 관찰 가능한 초, 개21 사건, 접촉 미성립을 적습니다.</v>
      </c>
      <c r="D153" s="34" t="str">
        <f>IF(LEN(TRIM(INDEX('2_개행동'!$J$59:$AC$59,1,$B$3)&amp;""))=0,"",INDEX('2_개행동'!$J$59:$AC$59,1,$B$3))</f>
        <v/>
      </c>
      <c r="E153" s="34" t="str">
        <f>IF(LEN(TRIM(D153&amp;""))=0,"",IF(ISNUMBER(D153),"수치 기록","자유 기록"))</f>
        <v/>
      </c>
      <c r="F153" s="34" t="s">
        <v>882</v>
      </c>
    </row>
    <row r="154" spans="1:6" ht="105" customHeight="1" x14ac:dyDescent="0.3">
      <c r="A154" s="36" t="s">
        <v>883</v>
      </c>
      <c r="B154" s="36" t="str">
        <f>'2_개행동'!A20</f>
        <v>재회</v>
      </c>
      <c r="C154" s="36" t="str">
        <f>'2_개행동'!B20</f>
        <v>[재회 접촉] 꼬리  ※사용하지 않습니다 (2026-09-22) — 바43(재회 꼬리 — 위치)으로 옮겼습니다</v>
      </c>
      <c r="D154" s="36" t="str">
        <f>IF(LEN(TRIM(INDEX('2_개행동'!$J$20:$AC$20,1,$B$3)&amp;""))=0,"",INDEX('2_개행동'!$J$20:$AC$20,1,$B$3))</f>
        <v/>
      </c>
      <c r="E154" s="36" t="str">
        <f>IF(LEN(TRIM(D154&amp;""))=0,"",IF(ISNUMBER(D154),"수치 기록","자유 기록"))</f>
        <v/>
      </c>
      <c r="F154" s="36" t="s">
        <v>884</v>
      </c>
    </row>
    <row r="155" spans="1:6" ht="105" customHeight="1" x14ac:dyDescent="0.3">
      <c r="A155" s="34" t="s">
        <v>885</v>
      </c>
      <c r="B155" s="34" t="str">
        <f>'2_개행동'!A31</f>
        <v>입장</v>
      </c>
      <c r="C155" s="34" t="str">
        <f>'2_개행동'!B31</f>
        <v>[입장] 개 모양 물체 곁 지나감  ※장면 1-3 · 낯선 개 반응이 아닙니다  ※사용하지 않습니다 (2026-09-22) — 개 모양 물체를 절차에서 뺐습니다</v>
      </c>
      <c r="D155" s="34" t="str">
        <f>IF(LEN(TRIM(INDEX('2_개행동'!$J$31:$AC$31,1,$B$3)&amp;""))=0,"",INDEX('2_개행동'!$J$31:$AC$31,1,$B$3))</f>
        <v/>
      </c>
      <c r="E155" s="34" t="str">
        <f>IF(LEN(TRIM(D155&amp;""))=0,"",IF(ISNUMBER(D155),"수치 기록","자유 기록"))</f>
        <v/>
      </c>
      <c r="F155" s="34" t="s">
        <v>886</v>
      </c>
    </row>
    <row r="156" spans="1:6" ht="105" customHeight="1" x14ac:dyDescent="0.3">
      <c r="A156" s="36" t="s">
        <v>887</v>
      </c>
      <c r="B156" s="36" t="str">
        <f>'2_개행동'!A33</f>
        <v>입장</v>
      </c>
      <c r="C156" s="36" t="str">
        <f>'2_개행동'!B33</f>
        <v>[입장] 개 모양 물체 — 첫 코 접촉  ※초 · 참고  ※사용하지 않습니다 (2026-09-22) — 개 모양 물체를 절차에서 뺐습니다</v>
      </c>
      <c r="D156" s="36" t="str">
        <f>IF(LEN(TRIM(INDEX('2_개행동'!$J$33:$AC$33,1,$B$3)&amp;""))=0,"",INDEX('2_개행동'!$J$33:$AC$33,1,$B$3))</f>
        <v/>
      </c>
      <c r="E156" s="36" t="str">
        <f>IF(LEN(TRIM(D156&amp;""))=0,"",IF(ISNUMBER(D156),"수치 기록","자유 기록"))</f>
        <v/>
      </c>
      <c r="F156" s="36" t="s">
        <v>888</v>
      </c>
    </row>
    <row r="157" spans="1:6" ht="105" customHeight="1" x14ac:dyDescent="0.3">
      <c r="A157" s="34" t="s">
        <v>889</v>
      </c>
      <c r="B157" s="34" t="str">
        <f>'2_개행동'!A35</f>
        <v>퇴장</v>
      </c>
      <c r="C157" s="34" t="str">
        <f>'2_개행동'!B35</f>
        <v>[퇴장] 개 모양 물체 — 두 번째 곁 지나감  ※입장과 같게 5초 멈춤  ※사용하지 않습니다 (2026-09-22) — 개 모양 물체를 절차에서 뺐습니다</v>
      </c>
      <c r="D157" s="34" t="str">
        <f>IF(LEN(TRIM(INDEX('2_개행동'!$J$35:$AC$35,1,$B$3)&amp;""))=0,"",INDEX('2_개행동'!$J$35:$AC$35,1,$B$3))</f>
        <v/>
      </c>
      <c r="E157" s="34" t="str">
        <f>IF(LEN(TRIM(D157&amp;""))=0,"",IF(ISNUMBER(D157),"수치 기록","자유 기록"))</f>
        <v/>
      </c>
      <c r="F157" s="34" t="s">
        <v>890</v>
      </c>
    </row>
    <row r="158" spans="1:6" ht="105" customHeight="1" x14ac:dyDescent="0.3">
      <c r="A158" s="36" t="s">
        <v>891</v>
      </c>
      <c r="B158" s="36" t="str">
        <f>'2_개행동'!A60</f>
        <v>분리 변화</v>
      </c>
      <c r="C158" s="36" t="str">
        <f>'2_개행동'!B60</f>
        <v>개9 → 개10 조합 + 개58 · 개11 · 자동</v>
      </c>
      <c r="D158" s="36" t="str">
        <f>IF(LEN(TRIM(INDEX('2_개행동'!$J$60:$AC$60,1,$B$3)&amp;""))=0,"",INDEX('2_개행동'!$J$60:$AC$60,1,$B$3))</f>
        <v>미채점</v>
      </c>
      <c r="E158" s="36" t="str">
        <f>IF(LEN(TRIM(D158&amp;""))=0,"",IF(ISNUMBER(D158),"자동 계산값","자동 관찰 요약"))</f>
        <v>자동 관찰 요약</v>
      </c>
      <c r="F158" s="36" t="s">
        <v>892</v>
      </c>
    </row>
    <row r="159" spans="1:6" ht="105" customHeight="1" x14ac:dyDescent="0.3">
      <c r="A159" s="34" t="s">
        <v>893</v>
      </c>
      <c r="B159" s="34" t="str">
        <f>'3_보호자행동'!A25</f>
        <v>기록</v>
      </c>
      <c r="C159" s="34" t="str">
        <f>'3_보호자행동'!B25</f>
        <v>보22 사유・시각</v>
      </c>
      <c r="D159" s="34" t="str">
        <f>IF(LEN(TRIM(INDEX('3_보호자행동'!$J$25:$AC$25,1,$B$3)&amp;""))=0,"",INDEX('3_보호자행동'!$J$25:$AC$25,1,$B$3))</f>
        <v/>
      </c>
      <c r="E159" s="34" t="str">
        <f>IF(LEN(TRIM(D159&amp;""))=0,"",IF(ISNUMBER(D159),"수치 기록","자유 기록"))</f>
        <v/>
      </c>
      <c r="F159" s="34" t="s">
        <v>894</v>
      </c>
    </row>
    <row r="160" spans="1:6" ht="27" x14ac:dyDescent="0.3">
      <c r="A160" s="36" t="s">
        <v>895</v>
      </c>
      <c r="B160" s="36" t="str">
        <f>'3_보호자행동'!A26</f>
        <v>기록</v>
      </c>
      <c r="C160" s="36" t="str">
        <f>'3_보호자행동'!B26</f>
        <v>보23 사유・시각</v>
      </c>
      <c r="D160" s="36" t="str">
        <f>IF(LEN(TRIM(INDEX('3_보호자행동'!$J$26:$AC$26,1,$B$3)&amp;""))=0,"",INDEX('3_보호자행동'!$J$26:$AC$26,1,$B$3))</f>
        <v/>
      </c>
      <c r="E160" s="36" t="str">
        <f>IF(LEN(TRIM(D160&amp;""))=0,"",IF(ISNUMBER(D160),"수치 기록","자유 기록"))</f>
        <v/>
      </c>
      <c r="F160" s="36" t="s">
        <v>896</v>
      </c>
    </row>
    <row r="161" spans="1:6" ht="27" x14ac:dyDescent="0.3">
      <c r="A161" s="34" t="s">
        <v>897</v>
      </c>
      <c r="B161" s="34" t="str">
        <f>'3_보호자행동'!A27</f>
        <v>기록</v>
      </c>
      <c r="C161" s="34" t="str">
        <f>'3_보호자행동'!B27</f>
        <v>보24 사유・시각</v>
      </c>
      <c r="D161" s="34" t="str">
        <f>IF(LEN(TRIM(INDEX('3_보호자행동'!$J$27:$AC$27,1,$B$3)&amp;""))=0,"",INDEX('3_보호자행동'!$J$27:$AC$27,1,$B$3))</f>
        <v/>
      </c>
      <c r="E161" s="34" t="str">
        <f>IF(LEN(TRIM(D161&amp;""))=0,"",IF(ISNUMBER(D161),"수치 기록","자유 기록"))</f>
        <v/>
      </c>
      <c r="F161" s="34" t="s">
        <v>898</v>
      </c>
    </row>
  </sheetData>
  <mergeCells count="39">
    <mergeCell ref="B39:D39"/>
    <mergeCell ref="E39:F39"/>
    <mergeCell ref="B40:D40"/>
    <mergeCell ref="E40:F40"/>
    <mergeCell ref="A1:F1"/>
    <mergeCell ref="B36:F36"/>
    <mergeCell ref="B32:F32"/>
    <mergeCell ref="E3:F3"/>
    <mergeCell ref="B35:F35"/>
    <mergeCell ref="B30:F30"/>
    <mergeCell ref="B6:F6"/>
    <mergeCell ref="B24:F24"/>
    <mergeCell ref="B20:F20"/>
    <mergeCell ref="B33:F33"/>
    <mergeCell ref="A5:F5"/>
    <mergeCell ref="B23:F23"/>
    <mergeCell ref="B8:F8"/>
    <mergeCell ref="B17:F17"/>
    <mergeCell ref="B13:F13"/>
    <mergeCell ref="B10:F10"/>
    <mergeCell ref="B19:F19"/>
    <mergeCell ref="A15:F15"/>
    <mergeCell ref="B9:F9"/>
    <mergeCell ref="A41:F41"/>
    <mergeCell ref="B7:F7"/>
    <mergeCell ref="B16:F16"/>
    <mergeCell ref="B25:F25"/>
    <mergeCell ref="A27:F27"/>
    <mergeCell ref="B31:F31"/>
    <mergeCell ref="B22:F22"/>
    <mergeCell ref="B18:F18"/>
    <mergeCell ref="B21:F21"/>
    <mergeCell ref="B12:F12"/>
    <mergeCell ref="B11:F11"/>
    <mergeCell ref="B29:F29"/>
    <mergeCell ref="B38:F38"/>
    <mergeCell ref="B34:F34"/>
    <mergeCell ref="B28:F28"/>
    <mergeCell ref="B37:F37"/>
  </mergeCells>
  <phoneticPr fontId="9" type="noConversion"/>
  <dataValidations count="1">
    <dataValidation type="whole" showErrorMessage="1" sqref="B3">
      <formula1>1</formula1>
      <formula2>20</formula2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D6" sqref="D6"/>
    </sheetView>
  </sheetViews>
  <sheetFormatPr defaultRowHeight="16.5" x14ac:dyDescent="0.3"/>
  <cols>
    <col min="1" max="1" width="6" style="2" customWidth="1"/>
    <col min="2" max="2" width="14" style="2" customWidth="1"/>
    <col min="3" max="3" width="16" style="2" customWidth="1"/>
    <col min="4" max="12" width="9" style="2" customWidth="1"/>
    <col min="13" max="13" width="38" style="2" customWidth="1"/>
    <col min="14" max="26" width="9" style="2" customWidth="1"/>
    <col min="27" max="27" width="32" style="2" customWidth="1"/>
    <col min="28" max="32" width="15.625" style="2" customWidth="1"/>
    <col min="33" max="38" width="14.625" style="2" customWidth="1"/>
    <col min="39" max="40" width="16.625" style="2" customWidth="1"/>
    <col min="41" max="42" width="20.625" style="2" customWidth="1"/>
    <col min="43" max="43" width="18" style="2" customWidth="1"/>
    <col min="44" max="44" width="58" style="2" customWidth="1"/>
    <col min="45" max="45" width="27" style="2" customWidth="1"/>
    <col min="46" max="46" width="24" style="2" customWidth="1"/>
    <col min="47" max="50" width="9" style="2" customWidth="1"/>
    <col min="51" max="58" width="11" style="2" customWidth="1"/>
    <col min="59" max="59" width="60" style="2" customWidth="1"/>
    <col min="60" max="60" width="26" style="2" customWidth="1"/>
    <col min="61" max="61" width="27" style="2" customWidth="1"/>
    <col min="62" max="62" width="67" style="2" customWidth="1"/>
    <col min="63" max="81" width="9" style="2" customWidth="1"/>
    <col min="82" max="87" width="48" style="2" customWidth="1"/>
    <col min="88" max="88" width="24" style="2" customWidth="1"/>
    <col min="89" max="89" width="26" style="2" customWidth="1"/>
    <col min="90" max="98" width="48" style="2" customWidth="1"/>
  </cols>
  <sheetData>
    <row r="1" spans="1:99" ht="20.25" customHeight="1" x14ac:dyDescent="0.3">
      <c r="A1" s="37" t="s">
        <v>899</v>
      </c>
      <c r="B1" s="37"/>
      <c r="C1" s="37"/>
      <c r="D1" s="37"/>
      <c r="E1" s="37"/>
      <c r="F1" s="37"/>
      <c r="G1" s="15"/>
      <c r="H1" s="15"/>
      <c r="I1" s="15"/>
      <c r="J1" s="15"/>
      <c r="K1" s="15"/>
      <c r="L1" s="15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</row>
    <row r="2" spans="1:99" x14ac:dyDescent="0.3">
      <c r="A2" s="6" t="s">
        <v>900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</row>
    <row r="3" spans="1:99" x14ac:dyDescent="0.3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</row>
    <row r="4" spans="1:99" ht="81.95" customHeight="1" x14ac:dyDescent="0.3">
      <c r="A4" s="19" t="s">
        <v>382</v>
      </c>
      <c r="B4" s="19" t="s">
        <v>901</v>
      </c>
      <c r="C4" s="19" t="s">
        <v>902</v>
      </c>
      <c r="D4" s="19" t="s">
        <v>903</v>
      </c>
      <c r="E4" s="24"/>
      <c r="F4" s="25"/>
      <c r="G4" s="19" t="s">
        <v>904</v>
      </c>
      <c r="H4" s="24"/>
      <c r="I4" s="25"/>
      <c r="J4" s="19" t="s">
        <v>905</v>
      </c>
      <c r="K4" s="24"/>
      <c r="L4" s="25"/>
      <c r="M4" s="19" t="s">
        <v>906</v>
      </c>
      <c r="N4" s="24"/>
      <c r="O4" s="25"/>
      <c r="P4" s="19" t="s">
        <v>907</v>
      </c>
      <c r="Q4" s="24"/>
      <c r="R4" s="25"/>
      <c r="S4" s="19" t="s">
        <v>908</v>
      </c>
      <c r="T4" s="24"/>
      <c r="U4" s="25"/>
      <c r="V4" s="19" t="s">
        <v>909</v>
      </c>
      <c r="W4" s="19" t="s">
        <v>910</v>
      </c>
      <c r="X4" s="19" t="s">
        <v>911</v>
      </c>
      <c r="Y4" s="19" t="s">
        <v>912</v>
      </c>
      <c r="Z4" s="19" t="s">
        <v>913</v>
      </c>
      <c r="AA4" s="19" t="s">
        <v>914</v>
      </c>
      <c r="AB4" s="19" t="s">
        <v>915</v>
      </c>
      <c r="AC4" s="19" t="s">
        <v>916</v>
      </c>
      <c r="AD4" s="19" t="s">
        <v>917</v>
      </c>
      <c r="AE4" s="19" t="s">
        <v>918</v>
      </c>
      <c r="AF4" s="19" t="s">
        <v>919</v>
      </c>
      <c r="AG4" s="26" t="s">
        <v>920</v>
      </c>
      <c r="AH4" s="44" t="s">
        <v>921</v>
      </c>
      <c r="AI4" s="44" t="s">
        <v>922</v>
      </c>
      <c r="AJ4" s="44" t="s">
        <v>923</v>
      </c>
      <c r="AK4" s="44" t="s">
        <v>924</v>
      </c>
      <c r="AL4" s="44" t="s">
        <v>925</v>
      </c>
      <c r="AM4" s="66" t="s">
        <v>926</v>
      </c>
      <c r="AN4" s="44" t="s">
        <v>927</v>
      </c>
      <c r="AO4" s="44" t="s">
        <v>928</v>
      </c>
      <c r="AP4" s="44" t="s">
        <v>929</v>
      </c>
      <c r="AQ4" s="27" t="s">
        <v>930</v>
      </c>
      <c r="AR4" s="27" t="s">
        <v>931</v>
      </c>
      <c r="AS4" s="27" t="s">
        <v>932</v>
      </c>
      <c r="AT4" s="27" t="s">
        <v>933</v>
      </c>
      <c r="AU4" s="44" t="s">
        <v>934</v>
      </c>
      <c r="AV4" s="44" t="s">
        <v>935</v>
      </c>
      <c r="AW4" s="44" t="s">
        <v>936</v>
      </c>
      <c r="AX4" s="44" t="s">
        <v>936</v>
      </c>
      <c r="AY4" s="28" t="s">
        <v>936</v>
      </c>
      <c r="AZ4" s="44" t="s">
        <v>937</v>
      </c>
      <c r="BA4" s="28" t="s">
        <v>938</v>
      </c>
      <c r="BB4" s="44"/>
      <c r="BC4" s="44"/>
      <c r="BD4" s="28" t="s">
        <v>939</v>
      </c>
      <c r="BE4" s="44"/>
      <c r="BF4" s="44"/>
      <c r="BG4" s="27" t="s">
        <v>940</v>
      </c>
      <c r="BH4" s="27" t="s">
        <v>941</v>
      </c>
      <c r="BI4" s="27" t="s">
        <v>649</v>
      </c>
      <c r="BJ4" s="27" t="s">
        <v>942</v>
      </c>
      <c r="BK4" s="44" t="s">
        <v>943</v>
      </c>
      <c r="BL4" s="44" t="s">
        <v>944</v>
      </c>
      <c r="BM4" s="44"/>
      <c r="BN4" s="44"/>
      <c r="BO4" s="44"/>
      <c r="BP4" s="44"/>
      <c r="BQ4" s="44"/>
      <c r="BR4" s="44"/>
      <c r="BS4" s="44"/>
      <c r="BT4" s="44"/>
      <c r="BU4" s="44"/>
      <c r="BV4" s="44" t="s">
        <v>945</v>
      </c>
      <c r="BW4" s="44"/>
      <c r="BX4" s="44"/>
      <c r="BY4" s="44"/>
      <c r="BZ4" s="44"/>
      <c r="CA4" s="44"/>
      <c r="CB4" s="44"/>
      <c r="CC4" s="44"/>
      <c r="CD4" s="27" t="s">
        <v>946</v>
      </c>
      <c r="CE4" s="27" t="s">
        <v>947</v>
      </c>
      <c r="CF4" s="27" t="s">
        <v>948</v>
      </c>
      <c r="CG4" s="27" t="s">
        <v>949</v>
      </c>
      <c r="CH4" s="27" t="s">
        <v>950</v>
      </c>
      <c r="CI4" s="27" t="s">
        <v>951</v>
      </c>
      <c r="CJ4" s="27" t="s">
        <v>952</v>
      </c>
      <c r="CK4" s="44" t="s">
        <v>953</v>
      </c>
      <c r="CL4" s="45" t="s">
        <v>954</v>
      </c>
      <c r="CM4" s="45" t="s">
        <v>955</v>
      </c>
      <c r="CN4" s="45" t="s">
        <v>956</v>
      </c>
      <c r="CO4" s="45" t="s">
        <v>957</v>
      </c>
      <c r="CP4" s="45" t="s">
        <v>958</v>
      </c>
      <c r="CQ4" s="45" t="s">
        <v>959</v>
      </c>
      <c r="CR4" s="45" t="s">
        <v>960</v>
      </c>
      <c r="CS4" s="45" t="s">
        <v>961</v>
      </c>
      <c r="CT4" s="45" t="s">
        <v>962</v>
      </c>
      <c r="CU4" s="44" t="s">
        <v>963</v>
      </c>
    </row>
    <row r="5" spans="1:99" ht="81.95" customHeight="1" x14ac:dyDescent="0.3">
      <c r="A5" s="29"/>
      <c r="B5" s="29"/>
      <c r="C5" s="29"/>
      <c r="D5" s="19" t="s">
        <v>964</v>
      </c>
      <c r="E5" s="19" t="s">
        <v>965</v>
      </c>
      <c r="F5" s="19" t="s">
        <v>966</v>
      </c>
      <c r="G5" s="19" t="s">
        <v>967</v>
      </c>
      <c r="H5" s="19" t="s">
        <v>968</v>
      </c>
      <c r="I5" s="19" t="s">
        <v>969</v>
      </c>
      <c r="J5" s="30" t="s">
        <v>970</v>
      </c>
      <c r="K5" s="19" t="s">
        <v>971</v>
      </c>
      <c r="L5" s="19" t="s">
        <v>972</v>
      </c>
      <c r="M5" s="19" t="s">
        <v>973</v>
      </c>
      <c r="N5" s="19" t="s">
        <v>974</v>
      </c>
      <c r="O5" s="19" t="s">
        <v>975</v>
      </c>
      <c r="P5" s="19" t="s">
        <v>976</v>
      </c>
      <c r="Q5" s="19" t="s">
        <v>977</v>
      </c>
      <c r="R5" s="19" t="s">
        <v>913</v>
      </c>
      <c r="S5" s="19" t="s">
        <v>978</v>
      </c>
      <c r="T5" s="19" t="s">
        <v>979</v>
      </c>
      <c r="U5" s="19" t="s">
        <v>980</v>
      </c>
      <c r="V5" s="19" t="s">
        <v>981</v>
      </c>
      <c r="W5" s="30" t="s">
        <v>982</v>
      </c>
      <c r="X5" s="30" t="s">
        <v>983</v>
      </c>
      <c r="Y5" s="19" t="s">
        <v>984</v>
      </c>
      <c r="Z5" s="31" t="s">
        <v>913</v>
      </c>
      <c r="AA5" s="29"/>
      <c r="AB5" s="29" t="s">
        <v>985</v>
      </c>
      <c r="AC5" s="29" t="s">
        <v>986</v>
      </c>
      <c r="AD5" s="29" t="s">
        <v>987</v>
      </c>
      <c r="AE5" s="29" t="s">
        <v>988</v>
      </c>
      <c r="AF5" s="29" t="s">
        <v>989</v>
      </c>
      <c r="AG5" s="32" t="s">
        <v>920</v>
      </c>
      <c r="AH5" s="45" t="s">
        <v>921</v>
      </c>
      <c r="AI5" s="45" t="s">
        <v>922</v>
      </c>
      <c r="AJ5" s="45" t="s">
        <v>923</v>
      </c>
      <c r="AK5" s="45" t="s">
        <v>924</v>
      </c>
      <c r="AL5" s="45" t="s">
        <v>925</v>
      </c>
      <c r="AM5" s="55"/>
      <c r="AN5" s="45" t="s">
        <v>927</v>
      </c>
      <c r="AO5" s="45" t="s">
        <v>928</v>
      </c>
      <c r="AP5" s="45" t="s">
        <v>990</v>
      </c>
      <c r="AQ5" s="27" t="s">
        <v>991</v>
      </c>
      <c r="AR5" s="27" t="s">
        <v>992</v>
      </c>
      <c r="AS5" s="27" t="s">
        <v>993</v>
      </c>
      <c r="AT5" s="27" t="s">
        <v>994</v>
      </c>
      <c r="AU5" s="45" t="s">
        <v>995</v>
      </c>
      <c r="AV5" s="45" t="s">
        <v>996</v>
      </c>
      <c r="AW5" s="45" t="s">
        <v>997</v>
      </c>
      <c r="AX5" s="45" t="s">
        <v>998</v>
      </c>
      <c r="AY5" s="33" t="s">
        <v>999</v>
      </c>
      <c r="AZ5" s="45" t="s">
        <v>1000</v>
      </c>
      <c r="BA5" s="33" t="s">
        <v>1001</v>
      </c>
      <c r="BB5" s="33" t="s">
        <v>1002</v>
      </c>
      <c r="BC5" s="33" t="s">
        <v>1003</v>
      </c>
      <c r="BD5" s="33" t="s">
        <v>1004</v>
      </c>
      <c r="BE5" s="33" t="s">
        <v>1005</v>
      </c>
      <c r="BF5" s="33" t="s">
        <v>1006</v>
      </c>
      <c r="BG5" s="27" t="s">
        <v>1007</v>
      </c>
      <c r="BH5" s="27" t="s">
        <v>1008</v>
      </c>
      <c r="BI5" s="27" t="s">
        <v>1009</v>
      </c>
      <c r="BJ5" s="27" t="s">
        <v>1010</v>
      </c>
      <c r="BK5" s="44" t="s">
        <v>1011</v>
      </c>
      <c r="BL5" s="44" t="s">
        <v>1012</v>
      </c>
      <c r="BM5" s="44" t="s">
        <v>1013</v>
      </c>
      <c r="BN5" s="44" t="s">
        <v>1014</v>
      </c>
      <c r="BO5" s="44" t="s">
        <v>1015</v>
      </c>
      <c r="BP5" s="44" t="s">
        <v>1016</v>
      </c>
      <c r="BQ5" s="44" t="s">
        <v>1017</v>
      </c>
      <c r="BR5" s="44" t="s">
        <v>1018</v>
      </c>
      <c r="BS5" s="44" t="s">
        <v>1019</v>
      </c>
      <c r="BT5" s="44" t="s">
        <v>1020</v>
      </c>
      <c r="BU5" s="44" t="s">
        <v>1021</v>
      </c>
      <c r="BV5" s="44" t="s">
        <v>1022</v>
      </c>
      <c r="BW5" s="44" t="s">
        <v>1023</v>
      </c>
      <c r="BX5" s="44" t="s">
        <v>1024</v>
      </c>
      <c r="BY5" s="44" t="s">
        <v>1025</v>
      </c>
      <c r="BZ5" s="44" t="s">
        <v>1026</v>
      </c>
      <c r="CA5" s="44" t="s">
        <v>1027</v>
      </c>
      <c r="CB5" s="44" t="s">
        <v>1028</v>
      </c>
      <c r="CC5" s="44" t="s">
        <v>1029</v>
      </c>
      <c r="CD5" s="27" t="s">
        <v>1030</v>
      </c>
      <c r="CE5" s="27" t="s">
        <v>1030</v>
      </c>
      <c r="CF5" s="27" t="s">
        <v>1030</v>
      </c>
      <c r="CG5" s="27" t="s">
        <v>1030</v>
      </c>
      <c r="CH5" s="27" t="s">
        <v>1030</v>
      </c>
      <c r="CI5" s="27" t="s">
        <v>1030</v>
      </c>
      <c r="CJ5" s="27" t="s">
        <v>1031</v>
      </c>
      <c r="CK5" s="44" t="s">
        <v>1032</v>
      </c>
      <c r="CL5" s="45" t="s">
        <v>1033</v>
      </c>
      <c r="CM5" s="45" t="s">
        <v>1033</v>
      </c>
      <c r="CN5" s="45" t="s">
        <v>1033</v>
      </c>
      <c r="CO5" s="45" t="s">
        <v>1033</v>
      </c>
      <c r="CP5" s="45" t="s">
        <v>1033</v>
      </c>
      <c r="CQ5" s="45" t="s">
        <v>1034</v>
      </c>
      <c r="CR5" s="45" t="s">
        <v>1034</v>
      </c>
      <c r="CS5" s="45" t="s">
        <v>1034</v>
      </c>
      <c r="CT5" s="45" t="s">
        <v>1034</v>
      </c>
      <c r="CU5" s="44" t="s">
        <v>525</v>
      </c>
    </row>
    <row r="6" spans="1:99" ht="81.95" customHeight="1" x14ac:dyDescent="0.3">
      <c r="A6" s="16">
        <v>1</v>
      </c>
      <c r="B6" s="16"/>
      <c r="C6" s="16"/>
      <c r="D6" s="50" t="str">
        <f>IF(COUNT('3_보호자행동'!J5)=0,"",'3_보호자행동'!J5)</f>
        <v/>
      </c>
      <c r="E6" s="16" t="str">
        <f>IF(COUNT('3_보호자행동'!J6)=0,"",'3_보호자행동'!J6)</f>
        <v/>
      </c>
      <c r="F6" s="16" t="str">
        <f>IF(COUNT('3_보호자행동'!J9)=0,"",'3_보호자행동'!J9)</f>
        <v/>
      </c>
      <c r="G6" s="50" t="str">
        <f>IF(AND(OR('3_보호자행동'!J14=1,'3_보호자행동'!J14=2),BC6&gt;=2),BA6/BC6,"")</f>
        <v/>
      </c>
      <c r="H6" s="16" t="str">
        <f>IF(AND(OR('3_보호자행동'!J14=1,'3_보호자행동'!J14=2),BC6&gt;=2),BB6/BC6,"")</f>
        <v/>
      </c>
      <c r="I6" s="17">
        <f t="shared" ref="I6:I25" si="0">BC6</f>
        <v>0</v>
      </c>
      <c r="J6" s="16" t="str">
        <f t="shared" ref="J6:J25" si="1">IF(BF6&lt;4,"자료 부족",IF(AND(BD6&gt;0,BE6&gt;0),"양방향 관찰",IF(BD6&gt;0,"−방향 관찰",IF(BE6&gt;0,"+방향 관찰","중앙범주만 관찰"))))</f>
        <v>자료 부족</v>
      </c>
      <c r="K6" s="16" t="str">
        <f t="shared" ref="K6:K25" si="2">IF(BF6&gt;=4,BD6/BF6,"")</f>
        <v/>
      </c>
      <c r="L6" s="16" t="str">
        <f t="shared" ref="L6:L25" si="3">IF(BF6&gt;=4,BE6/BF6,"")</f>
        <v/>
      </c>
      <c r="M6" s="16" t="str">
        <f>IF(LEN(TRIM('2_개행동'!B70&amp;""))=0,"미판정",IF(OR('2_개행동'!B70="곁에서 안심하는 사이",'2_개행동'!B70="가까이 있어도 안심이 어려운 사이",'2_개행동'!B70="거리를 두고 지내는 사이",'2_개행동'!B70="다가감과 물러섬이 함께 나오는 사이",'2_개행동'!B70="판정보류"),'2_개행동'!B70,"유형 입력 확인"))</f>
        <v>미판정</v>
      </c>
      <c r="N6" s="16" t="str">
        <f>IF(COUNT('2_개행동'!J18)=0,"",'2_개행동'!J18)</f>
        <v/>
      </c>
      <c r="O6" s="16" t="str">
        <f>IF(COUNT('2_개행동'!J47)=0,"",'2_개행동'!J47)</f>
        <v/>
      </c>
      <c r="P6" s="50" t="str">
        <f>IF(OR('3_보호자행동'!J13=1,'3_보호자행동'!J13=2),IF(COUNT('2_개행동'!J24)=0,"",'2_개행동'!J24),"")</f>
        <v/>
      </c>
      <c r="Q6" s="16" t="str">
        <f>IF(OR('3_보호자행동'!J13=1,'3_보호자행동'!J13=2),IF(COUNT('2_개행동'!J25)=0,"",'2_개행동'!J25),"")</f>
        <v/>
      </c>
      <c r="R6" s="51" t="str">
        <f t="shared" ref="R6:R25" si="4">IF(COUNT(Z6)=0,"",Z6)</f>
        <v/>
      </c>
      <c r="S6" s="50" t="str">
        <f>IF(COUNT('2_개행동'!J28)=0,"",'2_개행동'!J28)</f>
        <v/>
      </c>
      <c r="T6" s="16" t="str">
        <f>IF(COUNT('2_개행동'!J34)=0,"",'2_개행동'!J34)</f>
        <v/>
      </c>
      <c r="U6" s="16" t="str">
        <f>IF(COUNT('2_개행동'!J50)=0,"",'2_개행동'!J50)</f>
        <v/>
      </c>
      <c r="V6" s="52" t="str">
        <f>IF(AND(COUNT('2_개행동'!J8,'2_개행동'!J23)=2,OR('3_보호자행동'!J12=1,'3_보호자행동'!J12=2)),ABS('2_개행동'!J8)-ABS('2_개행동'!J23),"")</f>
        <v/>
      </c>
      <c r="W6" s="52" t="str">
        <f>IF(COUNT('2_개행동'!J58,'2_개행동'!J18)&lt;2,"",ABS('2_개행동'!J58)-ABS('2_개행동'!J18))</f>
        <v/>
      </c>
      <c r="X6" s="52"/>
      <c r="Y6" s="16" t="str">
        <f>IF(COUNT('2_개행동'!J8)=0,"",'2_개행동'!J8)</f>
        <v/>
      </c>
      <c r="Z6" s="51" t="str">
        <f>IF(COUNT('2_개행동'!J27)=0,"",'2_개행동'!J27)</f>
        <v/>
      </c>
      <c r="AA6" s="18"/>
      <c r="AB6" s="16" t="str">
        <f>IF(COUNT('2_개행동'!J9)=0,"",'2_개행동'!J9)</f>
        <v/>
      </c>
      <c r="AC6" s="16" t="str">
        <f>IF(COUNT('2_개행동'!J10)=0,"",'2_개행동'!J10)</f>
        <v/>
      </c>
      <c r="AD6" s="16" t="str">
        <f>IF(COUNT('2_개행동'!J18)=0,"",'2_개행동'!J18)</f>
        <v/>
      </c>
      <c r="AE6" s="16" t="str">
        <f>IF(AND(COUNT('2_개행동'!J17,'2_개행동'!J19,'2_개행동'!J22)=3,OR('3_보호자행동'!J12=1,'3_보호자행동'!J12=2)),IF(COUNT('2_개행동'!J17)=0,0,MAX(0,-'2_개행동'!J17))+IF(COUNT('2_개행동'!J19)=0,0,MAX(0,-'2_개행동'!J19))+IF(COUNT('2_개행동'!J22)=0,0,MAX(0,-'2_개행동'!J22)),"")</f>
        <v/>
      </c>
      <c r="AF6" s="16" t="str">
        <f>IF(AND(COUNT('2_개행동'!J17,'2_개행동'!J19,'2_개행동'!J22)=3,OR('3_보호자행동'!J12=1,'3_보호자행동'!J12=2)),IF(COUNT('2_개행동'!J17)=0,0,MAX(0,'2_개행동'!J17))+IF(COUNT('2_개행동'!J19)=0,0,MAX(0,'2_개행동'!J19))+IF(COUNT('2_개행동'!J22)=0,0,MAX(0,'2_개행동'!J22)),"")</f>
        <v/>
      </c>
      <c r="AG6" s="40" t="str">
        <f>IF(COUNT('3_보호자행동'!J14)=0,"조건 미확인",IF('3_보호자행동'!J14=3,"조건 이탈",IF(BC6&lt;2,"자료 부족",IF(AND(BA6&gt;0,BB6&gt;0),"양방향 관찰",IF(BA6&gt;0,"−방향 관찰",IF(BB6&gt;0,"+방향 관찰","중앙범주만 관찰"))))))</f>
        <v>조건 미확인</v>
      </c>
      <c r="AH6" s="40" t="str">
        <f>IF(COUNT('3_보호자행동'!J13)=0,"조건 미확인",IF('3_보호자행동'!J13=3,"조건 이탈",IF(COUNT('2_개행동'!J24)=0,"자료 부족",CHOOSE('2_개행동'!J24+3,"−2","−1","0","+1","+2"))))</f>
        <v>조건 미확인</v>
      </c>
      <c r="AI6" s="40" t="str">
        <f>IF(COUNT('2_개행동'!J28)=0,"자료 부족",CHOOSE('2_개행동'!J28+3,"−2","−1","0","+1","+2"))</f>
        <v>자료 부족</v>
      </c>
      <c r="AJ6" s="40" t="str">
        <f>IF(COUNT('2_개행동'!J8,'2_개행동'!J14,'2_개행동'!J18,'2_개행동'!J23,'2_개행동'!J44,'2_개행동'!J52,'2_개행동'!J58)=0,"",IF(COUNT('2_개행동'!J8)=0,0,IF('2_개행동'!J8&lt;0,1,0))+IF(COUNT('2_개행동'!J14)=0,0,IF('2_개행동'!J14&lt;0,1,0))+IF(COUNT('2_개행동'!J18)=0,0,IF('2_개행동'!J18&lt;0,1,0))+IF(COUNT('2_개행동'!J23)=0,0,IF('2_개행동'!J23&lt;0,1,0))+IF(COUNT('2_개행동'!J44)=0,0,IF('2_개행동'!J44&lt;0,1,0))+IF(COUNT('2_개행동'!J52)=0,0,IF('2_개행동'!J52&lt;0,1,0))+IF(COUNT('2_개행동'!J58)=0,0,IF('2_개행동'!J58&lt;0,1,0)))</f>
        <v/>
      </c>
      <c r="AK6" s="40" t="str">
        <f>IF(COUNT('2_개행동'!J8,'2_개행동'!J14,'2_개행동'!J18,'2_개행동'!J23,'2_개행동'!J44,'2_개행동'!J52,'2_개행동'!J58)=0,"",IF(COUNT('2_개행동'!J8)=0,0,IF('2_개행동'!J8&gt;0,1,0))+IF(COUNT('2_개행동'!J14)=0,0,IF('2_개행동'!J14&gt;0,1,0))+IF(COUNT('2_개행동'!J18)=0,0,IF('2_개행동'!J18&gt;0,1,0))+IF(COUNT('2_개행동'!J23)=0,0,IF('2_개행동'!J23&gt;0,1,0))+IF(COUNT('2_개행동'!J44)=0,0,IF('2_개행동'!J44&gt;0,1,0))+IF(COUNT('2_개행동'!J52)=0,0,IF('2_개행동'!J52&gt;0,1,0))+IF(COUNT('2_개행동'!J58)=0,0,IF('2_개행동'!J58&gt;0,1,0)))</f>
        <v/>
      </c>
      <c r="AL6" s="40" t="str">
        <f>IF(COUNT('2_개행동'!J8,'2_개행동'!J14,'2_개행동'!J18,'2_개행동'!J23,'2_개행동'!J44,'2_개행동'!J52,'2_개행동'!J58)&lt;1,"자료 부족",IF(AND(AJ6&gt;0,AK6&gt;0),"양방향 관찰",IF(AJ6&gt;0,"−방향 관찰",IF(AK6&gt;0,"+방향 관찰","중앙범주만 관찰"))))</f>
        <v>자료 부족</v>
      </c>
      <c r="AM6" s="40" t="str">
        <f>IF(AND(COUNT('2_개행동'!J30,'2_개행동'!J34)=2,OR('3_보호자행동'!J14=1,'3_보호자행동'!J14=2)),IF('2_개행동'!J30='2_개행동'!J34,"같은 범주","범주 변화"),"비교 보류")</f>
        <v>비교 보류</v>
      </c>
      <c r="AN6" s="40" t="str">
        <f>IF(COUNT('2_개행동'!J5)=0,"자료 부족",CHOOSE('2_개행동'!J5+3,"−2","−1","0","+1","+2"))</f>
        <v>자료 부족</v>
      </c>
      <c r="AO6" s="40" t="str">
        <f>IF(COUNT('3_보호자행동'!J13)=0,"조건 미확인",IF('3_보호자행동'!J13=3,"조건 이탈",IF(COUNT('2_개행동'!J25)=0,"자료 부족",CHOOSE('2_개행동'!J25+3,"−2","−1","0","+1","+2"))))</f>
        <v>조건 미확인</v>
      </c>
      <c r="AP6" s="40" t="str">
        <f>IF(COUNT('1_바디시그널'!J7,'1_바디시그널'!J38)&lt;2,"",'1_바디시그널'!J7-'1_바디시그널'!J38)</f>
        <v/>
      </c>
      <c r="AQ6" s="38" t="str">
        <f>IF(LEN(TRIM('3_보호자행동'!T51&amp;""))=0,"",'3_보호자행동'!T51)</f>
        <v>판정보류</v>
      </c>
      <c r="AR6" s="38" t="str">
        <f>IF('3_보호자행동'!U51&lt;&gt;"채점자 선택","",IF(LEN(TRIM('3_보호자행동'!C51&amp;""))=0,"",'3_보호자행동'!C51))</f>
        <v/>
      </c>
      <c r="AS6" s="38" t="str">
        <f>'3_보호자행동'!I51</f>
        <v>자동 · 판정보류</v>
      </c>
      <c r="AT6" s="38" t="str">
        <f>IF('3_보호자행동'!U51="채점자 선택",'3_보호자행동'!G51,"")</f>
        <v/>
      </c>
      <c r="AU6" s="40" t="str">
        <f>IF(COUNT('3_보호자행동'!J12)=0,"조건 미확인",IF('3_보호자행동'!J12=3,"조건 이탈",IF(COUNT(AE6,AF6,'2_개행동'!J18)&lt;3,"자료 부족",IF(AND(AE6&gt;=2,AF6&gt;=2),"접촉·거리 반응 혼재",IF(ABS('2_개행동'!J18)=2,"재회 몸 상태 지속",IF(AF6&gt;=3,"거리 유지 관찰",IF(AE6&gt;=4,"접촉 유지 관찰","기준상 뚜렷한 치우침 없음")))))))</f>
        <v>조건 미확인</v>
      </c>
      <c r="AV6" s="40" t="str">
        <f>"발성량: 혼자 "&amp;IF(COUNT('2_개행동'!J11)=0,"미확인",TEXT('2_개행동'!J11,"0"))&amp;" / 재회 "&amp;IF(COUNT('2_개행동'!J47)=0,"미확인",TEXT('2_개행동'!J47,"0"))&amp;" / 무시 "&amp;IF(COUNT('2_개행동'!J48)=0,"미확인",TEXT('2_개행동'!J48,"0"))&amp;" · 접근 변화 사건 "&amp;IF(COUNT('2_개행동'!J21)=0,"미확인",TEXT('2_개행동'!J21,"0"))</f>
        <v>발성량: 혼자 미확인 / 재회 미확인 / 무시 미확인 · 접근 변화 사건 미확인</v>
      </c>
      <c r="AW6" s="40" t="str">
        <f>IF(AND(OR('3_보호자행동'!J14=1,'3_보호자행동'!J14=2),BC6&gt;=2),(IF(COUNT('2_개행동'!J5)=0,0,100-50*ABS('2_개행동'!J5))+IF(COUNT('2_개행동'!J6)=0,0,100-50*ABS('2_개행동'!J6))+IF(COUNT('2_개행동'!J30)=0,0,100-50*ABS('2_개행동'!J30)))/BC6,"")</f>
        <v/>
      </c>
      <c r="AX6" s="40" t="str">
        <f>IF(BF6&gt;=4,(IF(COUNT('2_개행동'!J13)=0,0,100-50*ABS('2_개행동'!J13))+IF(COUNT('2_개행동'!J14)=0,0,100-50*ABS('2_개행동'!J14))+IF(COUNT('2_개행동'!J15)=0,0,100-50*ABS('2_개행동'!J15))+IF(COUNT('2_개행동'!J51)=0,0,100-50*ABS('2_개행동'!J51))+IF(COUNT('2_개행동'!J52)=0,0,100-50*ABS('2_개행동'!J52))+IF(COUNT('2_개행동'!J54)=0,0,100-50*ABS('2_개행동'!J54))+IF(COUNT('2_개행동'!J55)=0,0,100-50*ABS('2_개행동'!J55)))/BF6,"")</f>
        <v/>
      </c>
      <c r="AY6" s="40" t="str">
        <f t="shared" ref="AY6:AY25" si="5">IF(COUNT(AW6,AX6)&lt;2,"",(AW6*BC6+AX6*BF6)/(BC6+BF6))</f>
        <v/>
      </c>
      <c r="AZ6" s="40" t="str">
        <f>IF(COUNT('2_개행동'!J48)=0,"",'2_개행동'!J48)</f>
        <v/>
      </c>
      <c r="BA6" s="40" t="str">
        <f>IF(COUNT('2_개행동'!J5,'2_개행동'!J6,'2_개행동'!J30)=0,"",IF(COUNT('2_개행동'!J5)=0,0,MAX(0,-'2_개행동'!J5))+IF(COUNT('2_개행동'!J6)=0,0,MAX(0,-'2_개행동'!J6))+IF(COUNT('2_개행동'!J30)=0,0,MAX(0,-'2_개행동'!J30)))</f>
        <v/>
      </c>
      <c r="BB6" s="40" t="str">
        <f>IF(COUNT('2_개행동'!J5,'2_개행동'!J6,'2_개행동'!J30)=0,"",IF(COUNT('2_개행동'!J5)=0,0,MAX(0,'2_개행동'!J5))+IF(COUNT('2_개행동'!J6)=0,0,MAX(0,'2_개행동'!J6))+IF(COUNT('2_개행동'!J30)=0,0,MAX(0,'2_개행동'!J30)))</f>
        <v/>
      </c>
      <c r="BC6" s="40">
        <f>COUNT('2_개행동'!J5,'2_개행동'!J6,'2_개행동'!J30)</f>
        <v>0</v>
      </c>
      <c r="BD6" s="40" t="str">
        <f>IF(COUNT('2_개행동'!J13,'2_개행동'!J14,'2_개행동'!J15,'2_개행동'!J51,'2_개행동'!J52,'2_개행동'!J54,'2_개행동'!J55)=0,"",IF(COUNT('2_개행동'!J13)=0,0,MAX(0,-'2_개행동'!J13))+IF(COUNT('2_개행동'!J14)=0,0,MAX(0,-'2_개행동'!J14))+IF(COUNT('2_개행동'!J15)=0,0,MAX(0,-'2_개행동'!J15))+IF(COUNT('2_개행동'!J51)=0,0,MAX(0,-'2_개행동'!J51))+IF(COUNT('2_개행동'!J52)=0,0,MAX(0,-'2_개행동'!J52))+IF(COUNT('2_개행동'!J54)=0,0,MAX(0,-'2_개행동'!J54))+IF(COUNT('2_개행동'!J55)=0,0,MAX(0,-'2_개행동'!J55)))</f>
        <v/>
      </c>
      <c r="BE6" s="40" t="str">
        <f>IF(COUNT('2_개행동'!J13,'2_개행동'!J14,'2_개행동'!J15,'2_개행동'!J51,'2_개행동'!J52,'2_개행동'!J54,'2_개행동'!J55)=0,"",IF(COUNT('2_개행동'!J13)=0,0,MAX(0,'2_개행동'!J13))+IF(COUNT('2_개행동'!J14)=0,0,MAX(0,'2_개행동'!J14))+IF(COUNT('2_개행동'!J15)=0,0,MAX(0,'2_개행동'!J15))+IF(COUNT('2_개행동'!J51)=0,0,MAX(0,'2_개행동'!J51))+IF(COUNT('2_개행동'!J52)=0,0,MAX(0,'2_개행동'!J52))+IF(COUNT('2_개행동'!J54)=0,0,MAX(0,'2_개행동'!J54))+IF(COUNT('2_개행동'!J55)=0,0,MAX(0,'2_개행동'!J55)))</f>
        <v/>
      </c>
      <c r="BF6" s="40">
        <f>COUNT('2_개행동'!J13,'2_개행동'!J14,'2_개행동'!J15,'2_개행동'!J51,'2_개행동'!J52,'2_개행동'!J54,'2_개행동'!J55)</f>
        <v>0</v>
      </c>
      <c r="BG6" s="38" t="str">
        <f>IF(LEN(TRIM('2_개행동'!C70&amp;""))=0,"",'2_개행동'!C70)</f>
        <v/>
      </c>
      <c r="BH6" s="38" t="str">
        <f>IF(LEN(TRIM('2_개행동'!G70&amp;""))=0,"",'2_개행동'!G70)</f>
        <v/>
      </c>
      <c r="BI6" s="38" t="str">
        <f>'2_개행동'!I70</f>
        <v>미판정</v>
      </c>
      <c r="BJ6" s="38" t="str">
        <f>IF(M6="미판정","애착유형 미판정",IF(M6="유형 입력 확인","유형 입력을 확인해 주세요.",IF(LEN(TRIM(BG6&amp;""))=0,IF(M6="판정보류","판정보류 사유를 입력해 주세요.","관찰 근거 미기록: 유형 설명 보류"),IF(M6="곁에서 안심하는 사이",성향문장!C49,IF(M6="가까이 있어도 안심이 어려운 사이",성향문장!C50,IF(M6="거리를 두고 지내는 사이",성향문장!C51,IF(M6="다가감과 물러섬이 함께 나오는 사이",성향문장!C52,성향문장!C53)))))))</f>
        <v>애착유형 미판정</v>
      </c>
      <c r="BK6" s="37" t="str">
        <f>IF(COUNT('3_보호자행동'!J12)=0,"조건 미확인",IF('3_보호자행동'!J12=3,"조건 이탈",IF(COUNT('2_개행동'!J9,'2_개행동'!J17,'2_개행동'!J18,'2_개행동'!J19,'2_개행동'!J22)&lt;5,"자료 부족",IF(N('2_개행동'!J21)&gt;=2,"접근이 여러 번 바뀜 — 한 서술로 묶지 않음",IF(AND($AE6&gt;=2,$AF6&gt;=2),"섞여 있음",IF(-'2_개행동'!J9&gt;=1,IF(ABS('2_개행동'!J18)&lt;=1,IF($AF6&gt;=$AE6,"없을 때 흔들 → 있을 때 가라앉고 자기 일","없을 때 흔들 → 있을 때 가라앉고 곁에 붙음"),"없을 때 흔들 → 있을 때도 못 가라앉음"),IF($AE6&gt;=2,"없을 때 담담 → 있을 때 곁에 붙음","없을 때도 있을 때도 비슷")))))))</f>
        <v>조건 미확인</v>
      </c>
      <c r="BL6" s="37" t="str">
        <f>IF(OR(COUNT('1_바디시그널'!J$5)=0,COUNT('1_바디시그널'!J$38)=0),"",'1_바디시그널'!J$5-'1_바디시그널'!J$38)</f>
        <v/>
      </c>
      <c r="BM6" s="37" t="str">
        <f>IF(OR(COUNT('1_바디시그널'!J$9)=0,COUNT('1_바디시그널'!J$38)=0),"",'1_바디시그널'!J$9-'1_바디시그널'!J$38)</f>
        <v/>
      </c>
      <c r="BN6" s="37" t="str">
        <f>IF(OR(COUNT('1_바디시그널'!J$11)=0,COUNT('1_바디시그널'!J$38)=0),"",'1_바디시그널'!J$11-'1_바디시그널'!J$38)</f>
        <v/>
      </c>
      <c r="BO6" s="37" t="str">
        <f>IF(OR(COUNT('1_바디시그널'!J$13)=0,COUNT('1_바디시그널'!J$38)=0),"",'1_바디시그널'!J$13-'1_바디시그널'!J$38)</f>
        <v/>
      </c>
      <c r="BP6" s="37" t="str">
        <f>IF(OR(COUNT('1_바디시그널'!J$39)=0,COUNT('1_바디시그널'!J$38)=0),"",'1_바디시그널'!J$39-'1_바디시그널'!J$38)</f>
        <v/>
      </c>
      <c r="BQ6" s="37" t="str">
        <f>IF(OR(COUNT('1_바디시그널'!J$43)=0,COUNT('1_바디시그널'!J$38)=0),"",'1_바디시그널'!J$43-'1_바디시그널'!J$38)</f>
        <v/>
      </c>
      <c r="BR6" s="37" t="str">
        <f>IF(OR(COUNT('1_바디시그널'!J$44)=0,COUNT('1_바디시그널'!J$38)=0),"",'1_바디시그널'!J$44-'1_바디시그널'!J$38)</f>
        <v/>
      </c>
      <c r="BS6" s="37" t="str">
        <f>IF(OR(COUNT('1_바디시그널'!J$45)=0,COUNT('1_바디시그널'!J$38)=0),"",'1_바디시그널'!J$45-'1_바디시그널'!J$38)</f>
        <v/>
      </c>
      <c r="BT6" s="37" t="str">
        <f>IF(OR(COUNT('1_바디시그널'!J$41)=0,COUNT('1_바디시그널'!J$40)=0),"",'1_바디시그널'!J$41-'1_바디시그널'!J$40)</f>
        <v/>
      </c>
      <c r="BU6" s="37" t="str">
        <f>IF(OR(COUNT('1_바디시그널'!J$42)=0,COUNT('1_바디시그널'!J$40)=0),"",'1_바디시그널'!J$42-'1_바디시그널'!J$40)</f>
        <v/>
      </c>
      <c r="BV6" s="37">
        <f>N('2_개행동'!J$5&lt;=-1)+N('2_개행동'!J$6&lt;=-1)+IF(AND(COUNT('2_개행동'!J$30)=1,COUNT('3_보호자행동'!J$14)=1,'3_보호자행동'!J$14&lt;=2),N('2_개행동'!J$30&lt;=-1),0)</f>
        <v>0</v>
      </c>
      <c r="BW6" s="37">
        <f>N('2_개행동'!J$5&gt;=1)+N('2_개행동'!J$6&gt;=1)+IF(AND(COUNT('2_개행동'!J$30)=1,COUNT('3_보호자행동'!J$14)=1,'3_보호자행동'!J$14&lt;=2),N('2_개행동'!J$30&gt;=1),0)</f>
        <v>0</v>
      </c>
      <c r="BX6" s="37">
        <f>COUNT('2_개행동'!J$5,'2_개행동'!J$6)+IF(AND(COUNT('2_개행동'!J$30)=1,COUNT('3_보호자행동'!J$14)=1,'3_보호자행동'!J$14&lt;=2),1,0)</f>
        <v>0</v>
      </c>
      <c r="BY6" s="37" t="str">
        <f t="shared" ref="BY6:BY25" si="6">IF($BX6&lt;2,"자료 부족",IF(AND($BV6&gt;=1,$BW6&gt;=1),"자극에 따라 다름",IF($BV6&gt;=2,"주저함 · 거리를 벌림",IF($BW6&gt;=2,"살피지 않고 들이닥침","뚜렷한 치우침 없음"))))</f>
        <v>자료 부족</v>
      </c>
      <c r="BZ6" s="37" t="str">
        <f>"문 "&amp;IF(COUNT('2_개행동'!J$5)=0,"미확인",SUBSTITUTE(TEXT('2_개행동'!J$5,"+0;-0;0"),"-","−"))&amp;" · 바닥 "&amp;IF(COUNT('2_개행동'!J$6)=0,"미확인",SUBSTITUTE(TEXT('2_개행동'!J$6,"+0;-0;0"),"-","−"))&amp;" · 물건 "&amp;IF(AND(COUNT('2_개행동'!J$30)=1,COUNT('3_보호자행동'!J$14)=1,'3_보호자행동'!J$14&lt;=2),IF(COUNT('2_개행동'!J$30)=0,"미확인",SUBSTITUTE(TEXT('2_개행동'!J$30,"+0;-0;0"),"-","−")),"보류")&amp;"  /  꼬리 기준대비 입장 "&amp;IF(COUNT($BL6)=0,"미확인",SUBSTITUTE(TEXT($BL6,"+0;-0;0"),"-","−"))&amp;" · 바닥 "&amp;IF(COUNT($AP6)=0,"미확인",SUBSTITUTE(TEXT($AP6,"+0;-0;0"),"-","−"))&amp;" · 물건 "&amp;IF(COUNT($BR6)=0,"미확인",SUBSTITUTE(TEXT($BR6,"+0;-0;0"),"-","−"))&amp;"  /  긴장 신호 "&amp;IF(COUNT('1_바디시그널'!J$14,'1_바디시그널'!J$15,'1_바디시그널'!J$16)=0,"미확인",TEXT(SUM('1_바디시그널'!J$14,'1_바디시그널'!J$15,'1_바디시그널'!J$16),"0")&amp;"회")&amp;"  /  냄새 "&amp;IF(COUNT('2_개행동'!J$7)=0,"미확인",IF('2_개행동'!J$7=0,"씀","안 씀"))</f>
        <v>문 미확인 · 바닥 미확인 · 물건 보류  /  꼬리 기준대비 입장 미확인 · 바닥 미확인 · 물건 미확인  /  긴장 신호 미확인  /  냄새 미확인</v>
      </c>
      <c r="CA6" s="37" t="str">
        <f>IF(AND('6_행사전문가의견'!E40="완료",OR('6_행사전문가의견'!B42="주저함 · 거리를 벌림",'6_행사전문가의견'!B42="뚜렷한 치우침 없음",'6_행사전문가의견'!B42="살피지 않고 들이닥침",'6_행사전문가의견'!B42="자극에 따라 다름",'6_행사전문가의견'!B42="판단보류"),LEN(TRIM('6_행사전문가의견'!B43&amp;""))&gt;0),'6_행사전문가의견'!B42,"")</f>
        <v/>
      </c>
      <c r="CB6" s="37" t="str">
        <f>IF(AND('6_행사전문가의견'!E40="완료",OR('6_행사전문가의견'!B42="주저함 · 거리를 벌림",'6_행사전문가의견'!B42="뚜렷한 치우침 없음",'6_행사전문가의견'!B42="살피지 않고 들이닥침",'6_행사전문가의견'!B42="자극에 따라 다름",'6_행사전문가의견'!B42="판단보류"),LEN(TRIM('6_행사전문가의견'!B43&amp;""))&gt;0),'6_행사전문가의견'!B43,"")</f>
        <v/>
      </c>
      <c r="CC6" s="37" t="str">
        <f t="shared" ref="CC6:CC25" si="7">IF(LEN(TRIM(CA6&amp;""))&gt;0,CA6,BY6)</f>
        <v>자료 부족</v>
      </c>
      <c r="CD6" s="38" t="str">
        <f>IF('6_행사전문가의견'!E40&lt;&gt;"완료","",IF(LEN(TRIM('6_행사전문가의견'!D33&amp;""))=0,"",'6_행사전문가의견'!D33))</f>
        <v/>
      </c>
      <c r="CE6" s="38" t="str">
        <f>IF('6_행사전문가의견'!E40&lt;&gt;"완료","",IF(LEN(TRIM('6_행사전문가의견'!D34&amp;""))=0,"",'6_행사전문가의견'!D34))</f>
        <v/>
      </c>
      <c r="CF6" s="38" t="str">
        <f>IF('6_행사전문가의견'!E40&lt;&gt;"완료","",IF(LEN(TRIM('6_행사전문가의견'!D35&amp;""))=0,"",'6_행사전문가의견'!D35))</f>
        <v/>
      </c>
      <c r="CG6" s="38" t="str">
        <f>IF('6_행사전문가의견'!E40&lt;&gt;"완료","",IF(LEN(TRIM('6_행사전문가의견'!D37&amp;""))=0,"",'6_행사전문가의견'!D37))</f>
        <v/>
      </c>
      <c r="CH6" s="38" t="str">
        <f>IF('6_행사전문가의견'!E40&lt;&gt;"완료","",IF(LEN(TRIM('6_행사전문가의견'!D39&amp;""))=0,"",'6_행사전문가의견'!D39))</f>
        <v/>
      </c>
      <c r="CI6" s="38" t="str">
        <f>IF('6_행사전문가의견'!E40&lt;&gt;"완료","",IF(LEN(TRIM('6_행사전문가의견'!C31&amp;""))=0,"",'6_행사전문가의견'!C31))</f>
        <v/>
      </c>
      <c r="CJ6" s="38" t="str">
        <f>'6_행사전문가의견'!E40</f>
        <v>미작성</v>
      </c>
      <c r="CK6" s="37" t="str">
        <f>'2_개행동'!J60</f>
        <v>미채점</v>
      </c>
      <c r="CL6" s="40" t="str">
        <f>IF(LEN(TRIM(CD6&amp;""))&gt;0,CD6,"분리 초기: "&amp;IF(COUNT('2_개행동'!J$9)=0,"자료 부족",INDEX('2_개행동'!$C$9:$G$9,1,'2_개행동'!J$9+3))&amp;" / 분리 이후: "&amp;IF(COUNT('2_개행동'!J$10)=0,"자료 부족",INDEX('2_개행동'!$C$10:$G$10,1,'2_개행동'!J$10+3))&amp;" / 변화: "&amp;CK6&amp;" / 분리·재회·무시 보조: "&amp;BK6&amp;" / 재회·무시 패턴: "&amp;AU6&amp;IF(M6="미판정",""," / 기본 유형: "&amp;M6&amp;IF(LEN(TRIM(BG6&amp;""))&gt;0," / 근거: "&amp;BG6,"")))</f>
        <v>분리 초기: 자료 부족 / 분리 이후: 자료 부족 / 변화: 미채점 / 분리·재회·무시 보조: 조건 미확인 / 재회·무시 패턴: 조건 미확인</v>
      </c>
      <c r="CM6" s="40" t="str">
        <f>IF(LEN(TRIM(CE6&amp;""))&gt;0,CE6,IF(LEN(TRIM(AQ6&amp;""))=0,"",AQ6&amp;IF(LEN(TRIM(AR6&amp;""))&gt;0,". "&amp;AR6,IF(COUNT('3_보호자행동'!P51)=0," (자동 초안 · 근거 비율 미산출)"," (자동 초안 · 허용 "&amp;TEXT('3_보호자행동'!P51,"0.00")&amp;" / 조율 "&amp;TEXT('3_보호자행동'!Q51,"0.00")&amp;" / 통제 "&amp;TEXT('3_보호자행동'!R51,"0.00")&amp;")"))))</f>
        <v>판정보류 (자동 초안 · 근거 비율 미산출)</v>
      </c>
      <c r="CN6" s="40" t="str">
        <f t="shared" ref="CN6:CN25" si="8">IF(LEN(TRIM(CF6&amp;""))&gt;0,CF6,J6)</f>
        <v>자료 부족</v>
      </c>
      <c r="CO6" s="40" t="str">
        <f t="shared" ref="CO6:CO25" si="9">IF(LEN(TRIM(CG6&amp;""))&gt;0,CG6,AG6)</f>
        <v>조건 미확인</v>
      </c>
      <c r="CP6" s="40" t="str">
        <f t="shared" ref="CP6:CP25" si="10">IF(LEN(TRIM(CH6&amp;""))&gt;0,CH6,"")</f>
        <v/>
      </c>
      <c r="CQ6" s="40" t="str">
        <f>IF('6_행사전문가의견'!E40&lt;&gt;"완료","",IF(LEN(TRIM('6_행사전문가의견'!D36&amp;""))=0,"",'6_행사전문가의견'!D36))</f>
        <v/>
      </c>
      <c r="CR6" s="40" t="str">
        <f>IF('6_행사전문가의견'!E40&lt;&gt;"완료","",IF(LEN(TRIM('6_행사전문가의견'!D38&amp;""))=0,"",'6_행사전문가의견'!D38))</f>
        <v/>
      </c>
      <c r="CS6" s="40" t="str">
        <f t="shared" ref="CS6:CS25" si="11">IF(LEN(TRIM(CQ6&amp;""))&gt;0,CQ6,"")</f>
        <v/>
      </c>
      <c r="CT6" s="40" t="str">
        <f t="shared" ref="CT6:CT25" si="12">IF(LEN(TRIM(CR6&amp;""))&gt;0,CR6,"")</f>
        <v/>
      </c>
      <c r="CU6" s="37" t="str">
        <f>IF(LEN(TRIM('3_보호자행동'!U51&amp;""))=0,"",'3_보호자행동'!U51)</f>
        <v>자동 초안</v>
      </c>
    </row>
    <row r="7" spans="1:99" ht="81.95" customHeight="1" x14ac:dyDescent="0.3">
      <c r="A7" s="16">
        <v>2</v>
      </c>
      <c r="B7" s="16"/>
      <c r="C7" s="16"/>
      <c r="D7" s="50" t="str">
        <f>IF(COUNT('3_보호자행동'!K5)=0,"",'3_보호자행동'!K5)</f>
        <v/>
      </c>
      <c r="E7" s="16" t="str">
        <f>IF(COUNT('3_보호자행동'!K6)=0,"",'3_보호자행동'!K6)</f>
        <v/>
      </c>
      <c r="F7" s="16" t="str">
        <f>IF(COUNT('3_보호자행동'!K9)=0,"",'3_보호자행동'!K9)</f>
        <v/>
      </c>
      <c r="G7" s="50" t="str">
        <f>IF(AND(OR('3_보호자행동'!K14=1,'3_보호자행동'!K14=2),BC7&gt;=2),BA7/BC7,"")</f>
        <v/>
      </c>
      <c r="H7" s="16" t="str">
        <f>IF(AND(OR('3_보호자행동'!K14=1,'3_보호자행동'!K14=2),BC7&gt;=2),BB7/BC7,"")</f>
        <v/>
      </c>
      <c r="I7" s="17">
        <f t="shared" si="0"/>
        <v>0</v>
      </c>
      <c r="J7" s="16" t="str">
        <f t="shared" si="1"/>
        <v>자료 부족</v>
      </c>
      <c r="K7" s="16" t="str">
        <f t="shared" si="2"/>
        <v/>
      </c>
      <c r="L7" s="16" t="str">
        <f t="shared" si="3"/>
        <v/>
      </c>
      <c r="M7" s="16" t="str">
        <f>IF(LEN(TRIM('2_개행동'!B71&amp;""))=0,"미판정",IF(OR('2_개행동'!B71="곁에서 안심하는 사이",'2_개행동'!B71="가까이 있어도 안심이 어려운 사이",'2_개행동'!B71="거리를 두고 지내는 사이",'2_개행동'!B71="다가감과 물러섬이 함께 나오는 사이",'2_개행동'!B71="판정보류"),'2_개행동'!B71,"유형 입력 확인"))</f>
        <v>미판정</v>
      </c>
      <c r="N7" s="16" t="str">
        <f>IF(COUNT('2_개행동'!K18)=0,"",'2_개행동'!K18)</f>
        <v/>
      </c>
      <c r="O7" s="16" t="str">
        <f>IF(COUNT('2_개행동'!K47)=0,"",'2_개행동'!K47)</f>
        <v/>
      </c>
      <c r="P7" s="50" t="str">
        <f>IF(OR('3_보호자행동'!K13=1,'3_보호자행동'!K13=2),IF(COUNT('2_개행동'!K24)=0,"",'2_개행동'!K24),"")</f>
        <v/>
      </c>
      <c r="Q7" s="16" t="str">
        <f>IF(OR('3_보호자행동'!K13=1,'3_보호자행동'!K13=2),IF(COUNT('2_개행동'!K25)=0,"",'2_개행동'!K25),"")</f>
        <v/>
      </c>
      <c r="R7" s="51" t="str">
        <f t="shared" si="4"/>
        <v/>
      </c>
      <c r="S7" s="50" t="str">
        <f>IF(COUNT('2_개행동'!K28)=0,"",'2_개행동'!K28)</f>
        <v/>
      </c>
      <c r="T7" s="16" t="str">
        <f>IF(COUNT('2_개행동'!K34)=0,"",'2_개행동'!K34)</f>
        <v/>
      </c>
      <c r="U7" s="16" t="str">
        <f>IF(COUNT('2_개행동'!K50)=0,"",'2_개행동'!K50)</f>
        <v/>
      </c>
      <c r="V7" s="52" t="str">
        <f>IF(AND(COUNT('2_개행동'!K8,'2_개행동'!K23)=2,OR('3_보호자행동'!K12=1,'3_보호자행동'!K12=2)),ABS('2_개행동'!K8)-ABS('2_개행동'!K23),"")</f>
        <v/>
      </c>
      <c r="W7" s="52" t="str">
        <f>IF(COUNT('2_개행동'!K58,'2_개행동'!K18)&lt;2,"",ABS('2_개행동'!K58)-ABS('2_개행동'!K18))</f>
        <v/>
      </c>
      <c r="X7" s="52"/>
      <c r="Y7" s="16" t="str">
        <f>IF(COUNT('2_개행동'!K8)=0,"",'2_개행동'!K8)</f>
        <v/>
      </c>
      <c r="Z7" s="51" t="str">
        <f>IF(COUNT('2_개행동'!K27)=0,"",'2_개행동'!K27)</f>
        <v/>
      </c>
      <c r="AA7" s="18"/>
      <c r="AB7" s="16" t="str">
        <f>IF(COUNT('2_개행동'!K9)=0,"",'2_개행동'!K9)</f>
        <v/>
      </c>
      <c r="AC7" s="16" t="str">
        <f>IF(COUNT('2_개행동'!K10)=0,"",'2_개행동'!K10)</f>
        <v/>
      </c>
      <c r="AD7" s="16" t="str">
        <f>IF(COUNT('2_개행동'!K18)=0,"",'2_개행동'!K18)</f>
        <v/>
      </c>
      <c r="AE7" s="16" t="str">
        <f>IF(AND(COUNT('2_개행동'!K17,'2_개행동'!K19,'2_개행동'!K22)=3,OR('3_보호자행동'!K12=1,'3_보호자행동'!K12=2)),IF(COUNT('2_개행동'!K17)=0,0,MAX(0,-'2_개행동'!K17))+IF(COUNT('2_개행동'!K19)=0,0,MAX(0,-'2_개행동'!K19))+IF(COUNT('2_개행동'!K22)=0,0,MAX(0,-'2_개행동'!K22)),"")</f>
        <v/>
      </c>
      <c r="AF7" s="16" t="str">
        <f>IF(AND(COUNT('2_개행동'!K17,'2_개행동'!K19,'2_개행동'!K22)=3,OR('3_보호자행동'!K12=1,'3_보호자행동'!K12=2)),IF(COUNT('2_개행동'!K17)=0,0,MAX(0,'2_개행동'!K17))+IF(COUNT('2_개행동'!K19)=0,0,MAX(0,'2_개행동'!K19))+IF(COUNT('2_개행동'!K22)=0,0,MAX(0,'2_개행동'!K22)),"")</f>
        <v/>
      </c>
      <c r="AG7" s="40" t="str">
        <f>IF(COUNT('3_보호자행동'!K14)=0,"조건 미확인",IF('3_보호자행동'!K14=3,"조건 이탈",IF(BC7&lt;2,"자료 부족",IF(AND(BA7&gt;0,BB7&gt;0),"양방향 관찰",IF(BA7&gt;0,"−방향 관찰",IF(BB7&gt;0,"+방향 관찰","중앙범주만 관찰"))))))</f>
        <v>조건 미확인</v>
      </c>
      <c r="AH7" s="40" t="str">
        <f>IF(COUNT('3_보호자행동'!K13)=0,"조건 미확인",IF('3_보호자행동'!K13=3,"조건 이탈",IF(COUNT('2_개행동'!K24)=0,"자료 부족",CHOOSE('2_개행동'!K24+3,"−2","−1","0","+1","+2"))))</f>
        <v>조건 미확인</v>
      </c>
      <c r="AI7" s="40" t="str">
        <f>IF(COUNT('2_개행동'!K28)=0,"자료 부족",CHOOSE('2_개행동'!K28+3,"−2","−1","0","+1","+2"))</f>
        <v>자료 부족</v>
      </c>
      <c r="AJ7" s="40" t="str">
        <f>IF(COUNT('2_개행동'!K8,'2_개행동'!K14,'2_개행동'!K18,'2_개행동'!K23,'2_개행동'!K44,'2_개행동'!K52,'2_개행동'!K58)=0,"",IF(COUNT('2_개행동'!K8)=0,0,IF('2_개행동'!K8&lt;0,1,0))+IF(COUNT('2_개행동'!K14)=0,0,IF('2_개행동'!K14&lt;0,1,0))+IF(COUNT('2_개행동'!K18)=0,0,IF('2_개행동'!K18&lt;0,1,0))+IF(COUNT('2_개행동'!K23)=0,0,IF('2_개행동'!K23&lt;0,1,0))+IF(COUNT('2_개행동'!K44)=0,0,IF('2_개행동'!K44&lt;0,1,0))+IF(COUNT('2_개행동'!K52)=0,0,IF('2_개행동'!K52&lt;0,1,0))+IF(COUNT('2_개행동'!K58)=0,0,IF('2_개행동'!K58&lt;0,1,0)))</f>
        <v/>
      </c>
      <c r="AK7" s="40" t="str">
        <f>IF(COUNT('2_개행동'!K8,'2_개행동'!K14,'2_개행동'!K18,'2_개행동'!K23,'2_개행동'!K44,'2_개행동'!K52,'2_개행동'!K58)=0,"",IF(COUNT('2_개행동'!K8)=0,0,IF('2_개행동'!K8&gt;0,1,0))+IF(COUNT('2_개행동'!K14)=0,0,IF('2_개행동'!K14&gt;0,1,0))+IF(COUNT('2_개행동'!K18)=0,0,IF('2_개행동'!K18&gt;0,1,0))+IF(COUNT('2_개행동'!K23)=0,0,IF('2_개행동'!K23&gt;0,1,0))+IF(COUNT('2_개행동'!K44)=0,0,IF('2_개행동'!K44&gt;0,1,0))+IF(COUNT('2_개행동'!K52)=0,0,IF('2_개행동'!K52&gt;0,1,0))+IF(COUNT('2_개행동'!K58)=0,0,IF('2_개행동'!K58&gt;0,1,0)))</f>
        <v/>
      </c>
      <c r="AL7" s="40" t="str">
        <f>IF(COUNT('2_개행동'!K8,'2_개행동'!K14,'2_개행동'!K18,'2_개행동'!K23,'2_개행동'!K44,'2_개행동'!K52,'2_개행동'!K58)&lt;1,"자료 부족",IF(AND(AJ7&gt;0,AK7&gt;0),"양방향 관찰",IF(AJ7&gt;0,"−방향 관찰",IF(AK7&gt;0,"+방향 관찰","중앙범주만 관찰"))))</f>
        <v>자료 부족</v>
      </c>
      <c r="AM7" s="40" t="str">
        <f>IF(AND(COUNT('2_개행동'!K30,'2_개행동'!K34)=2,OR('3_보호자행동'!K14=1,'3_보호자행동'!K14=2)),IF('2_개행동'!K30='2_개행동'!K34,"같은 범주","범주 변화"),"비교 보류")</f>
        <v>비교 보류</v>
      </c>
      <c r="AN7" s="40" t="str">
        <f>IF(COUNT('2_개행동'!K5)=0,"자료 부족",CHOOSE('2_개행동'!K5+3,"−2","−1","0","+1","+2"))</f>
        <v>자료 부족</v>
      </c>
      <c r="AO7" s="40" t="str">
        <f>IF(COUNT('3_보호자행동'!K13)=0,"조건 미확인",IF('3_보호자행동'!K13=3,"조건 이탈",IF(COUNT('2_개행동'!K25)=0,"자료 부족",CHOOSE('2_개행동'!K25+3,"−2","−1","0","+1","+2"))))</f>
        <v>조건 미확인</v>
      </c>
      <c r="AP7" s="40" t="str">
        <f>IF(COUNT('1_바디시그널'!K7,'1_바디시그널'!K38)&lt;2,"",'1_바디시그널'!K7-'1_바디시그널'!K38)</f>
        <v/>
      </c>
      <c r="AQ7" s="38" t="str">
        <f>IF(LEN(TRIM('3_보호자행동'!T52&amp;""))=0,"",'3_보호자행동'!T52)</f>
        <v>판정보류</v>
      </c>
      <c r="AR7" s="38" t="str">
        <f>IF('3_보호자행동'!U52&lt;&gt;"채점자 선택","",IF(LEN(TRIM('3_보호자행동'!C52&amp;""))=0,"",'3_보호자행동'!C52))</f>
        <v/>
      </c>
      <c r="AS7" s="38" t="str">
        <f>'3_보호자행동'!I52</f>
        <v>자동 · 판정보류</v>
      </c>
      <c r="AT7" s="38" t="str">
        <f>IF('3_보호자행동'!U52="채점자 선택",'3_보호자행동'!G52,"")</f>
        <v/>
      </c>
      <c r="AU7" s="40" t="str">
        <f>IF(COUNT('3_보호자행동'!K12)=0,"조건 미확인",IF('3_보호자행동'!K12=3,"조건 이탈",IF(COUNT(AE7,AF7,'2_개행동'!K18)&lt;3,"자료 부족",IF(AND(AE7&gt;=2,AF7&gt;=2),"접촉·거리 반응 혼재",IF(ABS('2_개행동'!K18)=2,"재회 몸 상태 지속",IF(AF7&gt;=3,"거리 유지 관찰",IF(AE7&gt;=4,"접촉 유지 관찰","기준상 뚜렷한 치우침 없음")))))))</f>
        <v>조건 미확인</v>
      </c>
      <c r="AV7" s="40" t="str">
        <f>"발성량: 혼자 "&amp;IF(COUNT('2_개행동'!K11)=0,"미확인",TEXT('2_개행동'!K11,"0"))&amp;" / 재회 "&amp;IF(COUNT('2_개행동'!K47)=0,"미확인",TEXT('2_개행동'!K47,"0"))&amp;" / 무시 "&amp;IF(COUNT('2_개행동'!K48)=0,"미확인",TEXT('2_개행동'!K48,"0"))&amp;" · 접근 변화 사건 "&amp;IF(COUNT('2_개행동'!K21)=0,"미확인",TEXT('2_개행동'!K21,"0"))</f>
        <v>발성량: 혼자 미확인 / 재회 미확인 / 무시 미확인 · 접근 변화 사건 미확인</v>
      </c>
      <c r="AW7" s="40" t="str">
        <f>IF(AND(OR('3_보호자행동'!K14=1,'3_보호자행동'!K14=2),BC7&gt;=2),(IF(COUNT('2_개행동'!K5)=0,0,100-50*ABS('2_개행동'!K5))+IF(COUNT('2_개행동'!K6)=0,0,100-50*ABS('2_개행동'!K6))+IF(COUNT('2_개행동'!K30)=0,0,100-50*ABS('2_개행동'!K30)))/BC7,"")</f>
        <v/>
      </c>
      <c r="AX7" s="40" t="str">
        <f>IF(BF7&gt;=4,(IF(COUNT('2_개행동'!K13)=0,0,100-50*ABS('2_개행동'!K13))+IF(COUNT('2_개행동'!K14)=0,0,100-50*ABS('2_개행동'!K14))+IF(COUNT('2_개행동'!K15)=0,0,100-50*ABS('2_개행동'!K15))+IF(COUNT('2_개행동'!K51)=0,0,100-50*ABS('2_개행동'!K51))+IF(COUNT('2_개행동'!K52)=0,0,100-50*ABS('2_개행동'!K52))+IF(COUNT('2_개행동'!K54)=0,0,100-50*ABS('2_개행동'!K54))+IF(COUNT('2_개행동'!K55)=0,0,100-50*ABS('2_개행동'!K55)))/BF7,"")</f>
        <v/>
      </c>
      <c r="AY7" s="40" t="str">
        <f t="shared" si="5"/>
        <v/>
      </c>
      <c r="AZ7" s="40" t="str">
        <f>IF(COUNT('2_개행동'!K48)=0,"",'2_개행동'!K48)</f>
        <v/>
      </c>
      <c r="BA7" s="40" t="str">
        <f>IF(COUNT('2_개행동'!K5,'2_개행동'!K6,'2_개행동'!K30)=0,"",IF(COUNT('2_개행동'!K5)=0,0,MAX(0,-'2_개행동'!K5))+IF(COUNT('2_개행동'!K6)=0,0,MAX(0,-'2_개행동'!K6))+IF(COUNT('2_개행동'!K30)=0,0,MAX(0,-'2_개행동'!K30)))</f>
        <v/>
      </c>
      <c r="BB7" s="40" t="str">
        <f>IF(COUNT('2_개행동'!K5,'2_개행동'!K6,'2_개행동'!K30)=0,"",IF(COUNT('2_개행동'!K5)=0,0,MAX(0,'2_개행동'!K5))+IF(COUNT('2_개행동'!K6)=0,0,MAX(0,'2_개행동'!K6))+IF(COUNT('2_개행동'!K30)=0,0,MAX(0,'2_개행동'!K30)))</f>
        <v/>
      </c>
      <c r="BC7" s="40">
        <f>COUNT('2_개행동'!K5,'2_개행동'!K6,'2_개행동'!K30)</f>
        <v>0</v>
      </c>
      <c r="BD7" s="40" t="str">
        <f>IF(COUNT('2_개행동'!K13,'2_개행동'!K14,'2_개행동'!K15,'2_개행동'!K51,'2_개행동'!K52,'2_개행동'!K54,'2_개행동'!K55)=0,"",IF(COUNT('2_개행동'!K13)=0,0,MAX(0,-'2_개행동'!K13))+IF(COUNT('2_개행동'!K14)=0,0,MAX(0,-'2_개행동'!K14))+IF(COUNT('2_개행동'!K15)=0,0,MAX(0,-'2_개행동'!K15))+IF(COUNT('2_개행동'!K51)=0,0,MAX(0,-'2_개행동'!K51))+IF(COUNT('2_개행동'!K52)=0,0,MAX(0,-'2_개행동'!K52))+IF(COUNT('2_개행동'!K54)=0,0,MAX(0,-'2_개행동'!K54))+IF(COUNT('2_개행동'!K55)=0,0,MAX(0,-'2_개행동'!K55)))</f>
        <v/>
      </c>
      <c r="BE7" s="40" t="str">
        <f>IF(COUNT('2_개행동'!K13,'2_개행동'!K14,'2_개행동'!K15,'2_개행동'!K51,'2_개행동'!K52,'2_개행동'!K54,'2_개행동'!K55)=0,"",IF(COUNT('2_개행동'!K13)=0,0,MAX(0,'2_개행동'!K13))+IF(COUNT('2_개행동'!K14)=0,0,MAX(0,'2_개행동'!K14))+IF(COUNT('2_개행동'!K15)=0,0,MAX(0,'2_개행동'!K15))+IF(COUNT('2_개행동'!K51)=0,0,MAX(0,'2_개행동'!K51))+IF(COUNT('2_개행동'!K52)=0,0,MAX(0,'2_개행동'!K52))+IF(COUNT('2_개행동'!K54)=0,0,MAX(0,'2_개행동'!K54))+IF(COUNT('2_개행동'!K55)=0,0,MAX(0,'2_개행동'!K55)))</f>
        <v/>
      </c>
      <c r="BF7" s="40">
        <f>COUNT('2_개행동'!K13,'2_개행동'!K14,'2_개행동'!K15,'2_개행동'!K51,'2_개행동'!K52,'2_개행동'!K54,'2_개행동'!K55)</f>
        <v>0</v>
      </c>
      <c r="BG7" s="38" t="str">
        <f>IF(LEN(TRIM('2_개행동'!C71&amp;""))=0,"",'2_개행동'!C71)</f>
        <v/>
      </c>
      <c r="BH7" s="38" t="str">
        <f>IF(LEN(TRIM('2_개행동'!G71&amp;""))=0,"",'2_개행동'!G71)</f>
        <v/>
      </c>
      <c r="BI7" s="38" t="str">
        <f>'2_개행동'!I71</f>
        <v>미판정</v>
      </c>
      <c r="BJ7" s="38" t="str">
        <f>IF(M7="미판정","애착유형 미판정",IF(M7="유형 입력 확인","유형 입력을 확인해 주세요.",IF(LEN(TRIM(BG7&amp;""))=0,IF(M7="판정보류","판정보류 사유를 입력해 주세요.","관찰 근거 미기록: 유형 설명 보류"),IF(M7="곁에서 안심하는 사이",성향문장!C49,IF(M7="가까이 있어도 안심이 어려운 사이",성향문장!C50,IF(M7="거리를 두고 지내는 사이",성향문장!C51,IF(M7="다가감과 물러섬이 함께 나오는 사이",성향문장!C52,성향문장!C53)))))))</f>
        <v>애착유형 미판정</v>
      </c>
      <c r="BK7" s="37" t="str">
        <f>IF(COUNT('3_보호자행동'!K12)=0,"조건 미확인",IF('3_보호자행동'!K12=3,"조건 이탈",IF(COUNT('2_개행동'!K9,'2_개행동'!K17,'2_개행동'!K18,'2_개행동'!K19,'2_개행동'!K22)&lt;5,"자료 부족",IF(N('2_개행동'!K21)&gt;=2,"접근이 여러 번 바뀜 — 한 서술로 묶지 않음",IF(AND($AE7&gt;=2,$AF7&gt;=2),"섞여 있음",IF(-'2_개행동'!K9&gt;=1,IF(ABS('2_개행동'!K18)&lt;=1,IF($AF7&gt;=$AE7,"없을 때 흔들 → 있을 때 가라앉고 자기 일","없을 때 흔들 → 있을 때 가라앉고 곁에 붙음"),"없을 때 흔들 → 있을 때도 못 가라앉음"),IF($AE7&gt;=2,"없을 때 담담 → 있을 때 곁에 붙음","없을 때도 있을 때도 비슷")))))))</f>
        <v>조건 미확인</v>
      </c>
      <c r="BL7" s="37" t="str">
        <f>IF(OR(COUNT('1_바디시그널'!K$5)=0,COUNT('1_바디시그널'!K$38)=0),"",'1_바디시그널'!K$5-'1_바디시그널'!K$38)</f>
        <v/>
      </c>
      <c r="BM7" s="37" t="str">
        <f>IF(OR(COUNT('1_바디시그널'!K$9)=0,COUNT('1_바디시그널'!K$38)=0),"",'1_바디시그널'!K$9-'1_바디시그널'!K$38)</f>
        <v/>
      </c>
      <c r="BN7" s="37" t="str">
        <f>IF(OR(COUNT('1_바디시그널'!K$11)=0,COUNT('1_바디시그널'!K$38)=0),"",'1_바디시그널'!K$11-'1_바디시그널'!K$38)</f>
        <v/>
      </c>
      <c r="BO7" s="37" t="str">
        <f>IF(OR(COUNT('1_바디시그널'!K$13)=0,COUNT('1_바디시그널'!K$38)=0),"",'1_바디시그널'!K$13-'1_바디시그널'!K$38)</f>
        <v/>
      </c>
      <c r="BP7" s="37" t="str">
        <f>IF(OR(COUNT('1_바디시그널'!K$39)=0,COUNT('1_바디시그널'!K$38)=0),"",'1_바디시그널'!K$39-'1_바디시그널'!K$38)</f>
        <v/>
      </c>
      <c r="BQ7" s="37" t="str">
        <f>IF(OR(COUNT('1_바디시그널'!K$43)=0,COUNT('1_바디시그널'!K$38)=0),"",'1_바디시그널'!K$43-'1_바디시그널'!K$38)</f>
        <v/>
      </c>
      <c r="BR7" s="37" t="str">
        <f>IF(OR(COUNT('1_바디시그널'!K$44)=0,COUNT('1_바디시그널'!K$38)=0),"",'1_바디시그널'!K$44-'1_바디시그널'!K$38)</f>
        <v/>
      </c>
      <c r="BS7" s="37" t="str">
        <f>IF(OR(COUNT('1_바디시그널'!K$45)=0,COUNT('1_바디시그널'!K$38)=0),"",'1_바디시그널'!K$45-'1_바디시그널'!K$38)</f>
        <v/>
      </c>
      <c r="BT7" s="37" t="str">
        <f>IF(OR(COUNT('1_바디시그널'!K$41)=0,COUNT('1_바디시그널'!K$40)=0),"",'1_바디시그널'!K$41-'1_바디시그널'!K$40)</f>
        <v/>
      </c>
      <c r="BU7" s="37" t="str">
        <f>IF(OR(COUNT('1_바디시그널'!K$42)=0,COUNT('1_바디시그널'!K$40)=0),"",'1_바디시그널'!K$42-'1_바디시그널'!K$40)</f>
        <v/>
      </c>
      <c r="BV7" s="37">
        <f>N('2_개행동'!K$5&lt;=-1)+N('2_개행동'!K$6&lt;=-1)+IF(AND(COUNT('2_개행동'!K$30)=1,COUNT('3_보호자행동'!K$14)=1,'3_보호자행동'!K$14&lt;=2),N('2_개행동'!K$30&lt;=-1),0)</f>
        <v>0</v>
      </c>
      <c r="BW7" s="37">
        <f>N('2_개행동'!K$5&gt;=1)+N('2_개행동'!K$6&gt;=1)+IF(AND(COUNT('2_개행동'!K$30)=1,COUNT('3_보호자행동'!K$14)=1,'3_보호자행동'!K$14&lt;=2),N('2_개행동'!K$30&gt;=1),0)</f>
        <v>0</v>
      </c>
      <c r="BX7" s="37">
        <f>COUNT('2_개행동'!K$5,'2_개행동'!K$6)+IF(AND(COUNT('2_개행동'!K$30)=1,COUNT('3_보호자행동'!K$14)=1,'3_보호자행동'!K$14&lt;=2),1,0)</f>
        <v>0</v>
      </c>
      <c r="BY7" s="37" t="str">
        <f t="shared" si="6"/>
        <v>자료 부족</v>
      </c>
      <c r="BZ7" s="37" t="str">
        <f>"문 "&amp;IF(COUNT('2_개행동'!K$5)=0,"미확인",SUBSTITUTE(TEXT('2_개행동'!K$5,"+0;-0;0"),"-","−"))&amp;" · 바닥 "&amp;IF(COUNT('2_개행동'!K$6)=0,"미확인",SUBSTITUTE(TEXT('2_개행동'!K$6,"+0;-0;0"),"-","−"))&amp;" · 물건 "&amp;IF(AND(COUNT('2_개행동'!K$30)=1,COUNT('3_보호자행동'!K$14)=1,'3_보호자행동'!K$14&lt;=2),IF(COUNT('2_개행동'!K$30)=0,"미확인",SUBSTITUTE(TEXT('2_개행동'!K$30,"+0;-0;0"),"-","−")),"보류")&amp;"  /  꼬리 기준대비 입장 "&amp;IF(COUNT($BL7)=0,"미확인",SUBSTITUTE(TEXT($BL7,"+0;-0;0"),"-","−"))&amp;" · 바닥 "&amp;IF(COUNT($AP7)=0,"미확인",SUBSTITUTE(TEXT($AP7,"+0;-0;0"),"-","−"))&amp;" · 물건 "&amp;IF(COUNT($BR7)=0,"미확인",SUBSTITUTE(TEXT($BR7,"+0;-0;0"),"-","−"))&amp;"  /  긴장 신호 "&amp;IF(COUNT('1_바디시그널'!K$14,'1_바디시그널'!K$15,'1_바디시그널'!K$16)=0,"미확인",TEXT(SUM('1_바디시그널'!K$14,'1_바디시그널'!K$15,'1_바디시그널'!K$16),"0")&amp;"회")&amp;"  /  냄새 "&amp;IF(COUNT('2_개행동'!K$7)=0,"미확인",IF('2_개행동'!K$7=0,"씀","안 씀"))</f>
        <v>문 미확인 · 바닥 미확인 · 물건 보류  /  꼬리 기준대비 입장 미확인 · 바닥 미확인 · 물건 미확인  /  긴장 신호 미확인  /  냄새 미확인</v>
      </c>
      <c r="CA7" s="37" t="str">
        <f>IF(AND('6_행사전문가의견'!E56="완료",OR('6_행사전문가의견'!B58="주저함 · 거리를 벌림",'6_행사전문가의견'!B58="뚜렷한 치우침 없음",'6_행사전문가의견'!B58="살피지 않고 들이닥침",'6_행사전문가의견'!B58="자극에 따라 다름",'6_행사전문가의견'!B58="판단보류"),LEN(TRIM('6_행사전문가의견'!B59&amp;""))&gt;0),'6_행사전문가의견'!B58,"")</f>
        <v/>
      </c>
      <c r="CB7" s="37" t="str">
        <f>IF(AND('6_행사전문가의견'!E56="완료",OR('6_행사전문가의견'!B58="주저함 · 거리를 벌림",'6_행사전문가의견'!B58="뚜렷한 치우침 없음",'6_행사전문가의견'!B58="살피지 않고 들이닥침",'6_행사전문가의견'!B58="자극에 따라 다름",'6_행사전문가의견'!B58="판단보류"),LEN(TRIM('6_행사전문가의견'!B59&amp;""))&gt;0),'6_행사전문가의견'!B59,"")</f>
        <v/>
      </c>
      <c r="CC7" s="37" t="str">
        <f t="shared" si="7"/>
        <v>자료 부족</v>
      </c>
      <c r="CD7" s="38" t="str">
        <f>IF('6_행사전문가의견'!E56&lt;&gt;"완료","",IF(LEN(TRIM('6_행사전문가의견'!D49&amp;""))=0,"",'6_행사전문가의견'!D49))</f>
        <v/>
      </c>
      <c r="CE7" s="38" t="str">
        <f>IF('6_행사전문가의견'!E56&lt;&gt;"완료","",IF(LEN(TRIM('6_행사전문가의견'!D50&amp;""))=0,"",'6_행사전문가의견'!D50))</f>
        <v/>
      </c>
      <c r="CF7" s="38" t="str">
        <f>IF('6_행사전문가의견'!E56&lt;&gt;"완료","",IF(LEN(TRIM('6_행사전문가의견'!D51&amp;""))=0,"",'6_행사전문가의견'!D51))</f>
        <v/>
      </c>
      <c r="CG7" s="38" t="str">
        <f>IF('6_행사전문가의견'!E56&lt;&gt;"완료","",IF(LEN(TRIM('6_행사전문가의견'!D53&amp;""))=0,"",'6_행사전문가의견'!D53))</f>
        <v/>
      </c>
      <c r="CH7" s="38" t="str">
        <f>IF('6_행사전문가의견'!E56&lt;&gt;"완료","",IF(LEN(TRIM('6_행사전문가의견'!D55&amp;""))=0,"",'6_행사전문가의견'!D55))</f>
        <v/>
      </c>
      <c r="CI7" s="38" t="str">
        <f>IF('6_행사전문가의견'!E56&lt;&gt;"완료","",IF(LEN(TRIM('6_행사전문가의견'!C47&amp;""))=0,"",'6_행사전문가의견'!C47))</f>
        <v/>
      </c>
      <c r="CJ7" s="38" t="str">
        <f>'6_행사전문가의견'!E56</f>
        <v>미작성</v>
      </c>
      <c r="CK7" s="37" t="str">
        <f>'2_개행동'!K60</f>
        <v>미채점</v>
      </c>
      <c r="CL7" s="40" t="str">
        <f>IF(LEN(TRIM(CD7&amp;""))&gt;0,CD7,"분리 초기: "&amp;IF(COUNT('2_개행동'!K$9)=0,"자료 부족",INDEX('2_개행동'!$C$9:$G$9,1,'2_개행동'!K$9+3))&amp;" / 분리 이후: "&amp;IF(COUNT('2_개행동'!K$10)=0,"자료 부족",INDEX('2_개행동'!$C$10:$G$10,1,'2_개행동'!K$10+3))&amp;" / 변화: "&amp;CK7&amp;" / 분리·재회·무시 보조: "&amp;BK7&amp;" / 재회·무시 패턴: "&amp;AU7&amp;IF(M7="미판정",""," / 기본 유형: "&amp;M7&amp;IF(LEN(TRIM(BG7&amp;""))&gt;0," / 근거: "&amp;BG7,"")))</f>
        <v>분리 초기: 자료 부족 / 분리 이후: 자료 부족 / 변화: 미채점 / 분리·재회·무시 보조: 조건 미확인 / 재회·무시 패턴: 조건 미확인</v>
      </c>
      <c r="CM7" s="40" t="str">
        <f>IF(LEN(TRIM(CE7&amp;""))&gt;0,CE7,IF(LEN(TRIM(AQ7&amp;""))=0,"",AQ7&amp;IF(LEN(TRIM(AR7&amp;""))&gt;0,". "&amp;AR7,IF(COUNT('3_보호자행동'!P52)=0," (자동 초안 · 근거 비율 미산출)"," (자동 초안 · 허용 "&amp;TEXT('3_보호자행동'!P52,"0.00")&amp;" / 조율 "&amp;TEXT('3_보호자행동'!Q52,"0.00")&amp;" / 통제 "&amp;TEXT('3_보호자행동'!R52,"0.00")&amp;")"))))</f>
        <v>판정보류 (자동 초안 · 근거 비율 미산출)</v>
      </c>
      <c r="CN7" s="40" t="str">
        <f t="shared" si="8"/>
        <v>자료 부족</v>
      </c>
      <c r="CO7" s="40" t="str">
        <f t="shared" si="9"/>
        <v>조건 미확인</v>
      </c>
      <c r="CP7" s="40" t="str">
        <f t="shared" si="10"/>
        <v/>
      </c>
      <c r="CQ7" s="40" t="str">
        <f>IF('6_행사전문가의견'!E56&lt;&gt;"완료","",IF(LEN(TRIM('6_행사전문가의견'!D52&amp;""))=0,"",'6_행사전문가의견'!D52))</f>
        <v/>
      </c>
      <c r="CR7" s="40" t="str">
        <f>IF('6_행사전문가의견'!E56&lt;&gt;"완료","",IF(LEN(TRIM('6_행사전문가의견'!D54&amp;""))=0,"",'6_행사전문가의견'!D54))</f>
        <v/>
      </c>
      <c r="CS7" s="40" t="str">
        <f t="shared" si="11"/>
        <v/>
      </c>
      <c r="CT7" s="40" t="str">
        <f t="shared" si="12"/>
        <v/>
      </c>
      <c r="CU7" s="37" t="str">
        <f>IF(LEN(TRIM('3_보호자행동'!U52&amp;""))=0,"",'3_보호자행동'!U52)</f>
        <v>자동 초안</v>
      </c>
    </row>
    <row r="8" spans="1:99" ht="81.95" customHeight="1" x14ac:dyDescent="0.3">
      <c r="A8" s="16">
        <v>3</v>
      </c>
      <c r="B8" s="16"/>
      <c r="C8" s="16"/>
      <c r="D8" s="50" t="str">
        <f>IF(COUNT('3_보호자행동'!L5)=0,"",'3_보호자행동'!L5)</f>
        <v/>
      </c>
      <c r="E8" s="16" t="str">
        <f>IF(COUNT('3_보호자행동'!L6)=0,"",'3_보호자행동'!L6)</f>
        <v/>
      </c>
      <c r="F8" s="16" t="str">
        <f>IF(COUNT('3_보호자행동'!L9)=0,"",'3_보호자행동'!L9)</f>
        <v/>
      </c>
      <c r="G8" s="50" t="str">
        <f>IF(AND(OR('3_보호자행동'!L14=1,'3_보호자행동'!L14=2),BC8&gt;=2),BA8/BC8,"")</f>
        <v/>
      </c>
      <c r="H8" s="16" t="str">
        <f>IF(AND(OR('3_보호자행동'!L14=1,'3_보호자행동'!L14=2),BC8&gt;=2),BB8/BC8,"")</f>
        <v/>
      </c>
      <c r="I8" s="17">
        <f t="shared" si="0"/>
        <v>0</v>
      </c>
      <c r="J8" s="16" t="str">
        <f t="shared" si="1"/>
        <v>자료 부족</v>
      </c>
      <c r="K8" s="16" t="str">
        <f t="shared" si="2"/>
        <v/>
      </c>
      <c r="L8" s="16" t="str">
        <f t="shared" si="3"/>
        <v/>
      </c>
      <c r="M8" s="16" t="str">
        <f>IF(LEN(TRIM('2_개행동'!B72&amp;""))=0,"미판정",IF(OR('2_개행동'!B72="곁에서 안심하는 사이",'2_개행동'!B72="가까이 있어도 안심이 어려운 사이",'2_개행동'!B72="거리를 두고 지내는 사이",'2_개행동'!B72="다가감과 물러섬이 함께 나오는 사이",'2_개행동'!B72="판정보류"),'2_개행동'!B72,"유형 입력 확인"))</f>
        <v>미판정</v>
      </c>
      <c r="N8" s="16" t="str">
        <f>IF(COUNT('2_개행동'!L18)=0,"",'2_개행동'!L18)</f>
        <v/>
      </c>
      <c r="O8" s="16" t="str">
        <f>IF(COUNT('2_개행동'!L47)=0,"",'2_개행동'!L47)</f>
        <v/>
      </c>
      <c r="P8" s="50" t="str">
        <f>IF(OR('3_보호자행동'!L13=1,'3_보호자행동'!L13=2),IF(COUNT('2_개행동'!L24)=0,"",'2_개행동'!L24),"")</f>
        <v/>
      </c>
      <c r="Q8" s="16" t="str">
        <f>IF(OR('3_보호자행동'!L13=1,'3_보호자행동'!L13=2),IF(COUNT('2_개행동'!L25)=0,"",'2_개행동'!L25),"")</f>
        <v/>
      </c>
      <c r="R8" s="51" t="str">
        <f t="shared" si="4"/>
        <v/>
      </c>
      <c r="S8" s="50" t="str">
        <f>IF(COUNT('2_개행동'!L28)=0,"",'2_개행동'!L28)</f>
        <v/>
      </c>
      <c r="T8" s="16" t="str">
        <f>IF(COUNT('2_개행동'!L34)=0,"",'2_개행동'!L34)</f>
        <v/>
      </c>
      <c r="U8" s="16" t="str">
        <f>IF(COUNT('2_개행동'!L50)=0,"",'2_개행동'!L50)</f>
        <v/>
      </c>
      <c r="V8" s="52" t="str">
        <f>IF(AND(COUNT('2_개행동'!L8,'2_개행동'!L23)=2,OR('3_보호자행동'!L12=1,'3_보호자행동'!L12=2)),ABS('2_개행동'!L8)-ABS('2_개행동'!L23),"")</f>
        <v/>
      </c>
      <c r="W8" s="52" t="str">
        <f>IF(COUNT('2_개행동'!L58,'2_개행동'!L18)&lt;2,"",ABS('2_개행동'!L58)-ABS('2_개행동'!L18))</f>
        <v/>
      </c>
      <c r="X8" s="52"/>
      <c r="Y8" s="16" t="str">
        <f>IF(COUNT('2_개행동'!L8)=0,"",'2_개행동'!L8)</f>
        <v/>
      </c>
      <c r="Z8" s="51" t="str">
        <f>IF(COUNT('2_개행동'!L27)=0,"",'2_개행동'!L27)</f>
        <v/>
      </c>
      <c r="AA8" s="18"/>
      <c r="AB8" s="16" t="str">
        <f>IF(COUNT('2_개행동'!L9)=0,"",'2_개행동'!L9)</f>
        <v/>
      </c>
      <c r="AC8" s="16" t="str">
        <f>IF(COUNT('2_개행동'!L10)=0,"",'2_개행동'!L10)</f>
        <v/>
      </c>
      <c r="AD8" s="16" t="str">
        <f>IF(COUNT('2_개행동'!L18)=0,"",'2_개행동'!L18)</f>
        <v/>
      </c>
      <c r="AE8" s="16" t="str">
        <f>IF(AND(COUNT('2_개행동'!L17,'2_개행동'!L19,'2_개행동'!L22)=3,OR('3_보호자행동'!L12=1,'3_보호자행동'!L12=2)),IF(COUNT('2_개행동'!L17)=0,0,MAX(0,-'2_개행동'!L17))+IF(COUNT('2_개행동'!L19)=0,0,MAX(0,-'2_개행동'!L19))+IF(COUNT('2_개행동'!L22)=0,0,MAX(0,-'2_개행동'!L22)),"")</f>
        <v/>
      </c>
      <c r="AF8" s="16" t="str">
        <f>IF(AND(COUNT('2_개행동'!L17,'2_개행동'!L19,'2_개행동'!L22)=3,OR('3_보호자행동'!L12=1,'3_보호자행동'!L12=2)),IF(COUNT('2_개행동'!L17)=0,0,MAX(0,'2_개행동'!L17))+IF(COUNT('2_개행동'!L19)=0,0,MAX(0,'2_개행동'!L19))+IF(COUNT('2_개행동'!L22)=0,0,MAX(0,'2_개행동'!L22)),"")</f>
        <v/>
      </c>
      <c r="AG8" s="40" t="str">
        <f>IF(COUNT('3_보호자행동'!L14)=0,"조건 미확인",IF('3_보호자행동'!L14=3,"조건 이탈",IF(BC8&lt;2,"자료 부족",IF(AND(BA8&gt;0,BB8&gt;0),"양방향 관찰",IF(BA8&gt;0,"−방향 관찰",IF(BB8&gt;0,"+방향 관찰","중앙범주만 관찰"))))))</f>
        <v>조건 미확인</v>
      </c>
      <c r="AH8" s="40" t="str">
        <f>IF(COUNT('3_보호자행동'!L13)=0,"조건 미확인",IF('3_보호자행동'!L13=3,"조건 이탈",IF(COUNT('2_개행동'!L24)=0,"자료 부족",CHOOSE('2_개행동'!L24+3,"−2","−1","0","+1","+2"))))</f>
        <v>조건 미확인</v>
      </c>
      <c r="AI8" s="40" t="str">
        <f>IF(COUNT('2_개행동'!L28)=0,"자료 부족",CHOOSE('2_개행동'!L28+3,"−2","−1","0","+1","+2"))</f>
        <v>자료 부족</v>
      </c>
      <c r="AJ8" s="40" t="str">
        <f>IF(COUNT('2_개행동'!L8,'2_개행동'!L14,'2_개행동'!L18,'2_개행동'!L23,'2_개행동'!L44,'2_개행동'!L52,'2_개행동'!L58)=0,"",IF(COUNT('2_개행동'!L8)=0,0,IF('2_개행동'!L8&lt;0,1,0))+IF(COUNT('2_개행동'!L14)=0,0,IF('2_개행동'!L14&lt;0,1,0))+IF(COUNT('2_개행동'!L18)=0,0,IF('2_개행동'!L18&lt;0,1,0))+IF(COUNT('2_개행동'!L23)=0,0,IF('2_개행동'!L23&lt;0,1,0))+IF(COUNT('2_개행동'!L44)=0,0,IF('2_개행동'!L44&lt;0,1,0))+IF(COUNT('2_개행동'!L52)=0,0,IF('2_개행동'!L52&lt;0,1,0))+IF(COUNT('2_개행동'!L58)=0,0,IF('2_개행동'!L58&lt;0,1,0)))</f>
        <v/>
      </c>
      <c r="AK8" s="40" t="str">
        <f>IF(COUNT('2_개행동'!L8,'2_개행동'!L14,'2_개행동'!L18,'2_개행동'!L23,'2_개행동'!L44,'2_개행동'!L52,'2_개행동'!L58)=0,"",IF(COUNT('2_개행동'!L8)=0,0,IF('2_개행동'!L8&gt;0,1,0))+IF(COUNT('2_개행동'!L14)=0,0,IF('2_개행동'!L14&gt;0,1,0))+IF(COUNT('2_개행동'!L18)=0,0,IF('2_개행동'!L18&gt;0,1,0))+IF(COUNT('2_개행동'!L23)=0,0,IF('2_개행동'!L23&gt;0,1,0))+IF(COUNT('2_개행동'!L44)=0,0,IF('2_개행동'!L44&gt;0,1,0))+IF(COUNT('2_개행동'!L52)=0,0,IF('2_개행동'!L52&gt;0,1,0))+IF(COUNT('2_개행동'!L58)=0,0,IF('2_개행동'!L58&gt;0,1,0)))</f>
        <v/>
      </c>
      <c r="AL8" s="40" t="str">
        <f>IF(COUNT('2_개행동'!L8,'2_개행동'!L14,'2_개행동'!L18,'2_개행동'!L23,'2_개행동'!L44,'2_개행동'!L52,'2_개행동'!L58)&lt;1,"자료 부족",IF(AND(AJ8&gt;0,AK8&gt;0),"양방향 관찰",IF(AJ8&gt;0,"−방향 관찰",IF(AK8&gt;0,"+방향 관찰","중앙범주만 관찰"))))</f>
        <v>자료 부족</v>
      </c>
      <c r="AM8" s="40" t="str">
        <f>IF(AND(COUNT('2_개행동'!L30,'2_개행동'!L34)=2,OR('3_보호자행동'!L14=1,'3_보호자행동'!L14=2)),IF('2_개행동'!L30='2_개행동'!L34,"같은 범주","범주 변화"),"비교 보류")</f>
        <v>비교 보류</v>
      </c>
      <c r="AN8" s="40" t="str">
        <f>IF(COUNT('2_개행동'!L5)=0,"자료 부족",CHOOSE('2_개행동'!L5+3,"−2","−1","0","+1","+2"))</f>
        <v>자료 부족</v>
      </c>
      <c r="AO8" s="40" t="str">
        <f>IF(COUNT('3_보호자행동'!L13)=0,"조건 미확인",IF('3_보호자행동'!L13=3,"조건 이탈",IF(COUNT('2_개행동'!L25)=0,"자료 부족",CHOOSE('2_개행동'!L25+3,"−2","−1","0","+1","+2"))))</f>
        <v>조건 미확인</v>
      </c>
      <c r="AP8" s="40" t="str">
        <f>IF(COUNT('1_바디시그널'!L7,'1_바디시그널'!L38)&lt;2,"",'1_바디시그널'!L7-'1_바디시그널'!L38)</f>
        <v/>
      </c>
      <c r="AQ8" s="38" t="str">
        <f>IF(LEN(TRIM('3_보호자행동'!T53&amp;""))=0,"",'3_보호자행동'!T53)</f>
        <v>판정보류</v>
      </c>
      <c r="AR8" s="38" t="str">
        <f>IF('3_보호자행동'!U53&lt;&gt;"채점자 선택","",IF(LEN(TRIM('3_보호자행동'!C53&amp;""))=0,"",'3_보호자행동'!C53))</f>
        <v/>
      </c>
      <c r="AS8" s="38" t="str">
        <f>'3_보호자행동'!I53</f>
        <v>자동 · 판정보류</v>
      </c>
      <c r="AT8" s="38" t="str">
        <f>IF('3_보호자행동'!U53="채점자 선택",'3_보호자행동'!G53,"")</f>
        <v/>
      </c>
      <c r="AU8" s="40" t="str">
        <f>IF(COUNT('3_보호자행동'!L12)=0,"조건 미확인",IF('3_보호자행동'!L12=3,"조건 이탈",IF(COUNT(AE8,AF8,'2_개행동'!L18)&lt;3,"자료 부족",IF(AND(AE8&gt;=2,AF8&gt;=2),"접촉·거리 반응 혼재",IF(ABS('2_개행동'!L18)=2,"재회 몸 상태 지속",IF(AF8&gt;=3,"거리 유지 관찰",IF(AE8&gt;=4,"접촉 유지 관찰","기준상 뚜렷한 치우침 없음")))))))</f>
        <v>조건 미확인</v>
      </c>
      <c r="AV8" s="40" t="str">
        <f>"발성량: 혼자 "&amp;IF(COUNT('2_개행동'!L11)=0,"미확인",TEXT('2_개행동'!L11,"0"))&amp;" / 재회 "&amp;IF(COUNT('2_개행동'!L47)=0,"미확인",TEXT('2_개행동'!L47,"0"))&amp;" / 무시 "&amp;IF(COUNT('2_개행동'!L48)=0,"미확인",TEXT('2_개행동'!L48,"0"))&amp;" · 접근 변화 사건 "&amp;IF(COUNT('2_개행동'!L21)=0,"미확인",TEXT('2_개행동'!L21,"0"))</f>
        <v>발성량: 혼자 미확인 / 재회 미확인 / 무시 미확인 · 접근 변화 사건 미확인</v>
      </c>
      <c r="AW8" s="40" t="str">
        <f>IF(AND(OR('3_보호자행동'!L14=1,'3_보호자행동'!L14=2),BC8&gt;=2),(IF(COUNT('2_개행동'!L5)=0,0,100-50*ABS('2_개행동'!L5))+IF(COUNT('2_개행동'!L6)=0,0,100-50*ABS('2_개행동'!L6))+IF(COUNT('2_개행동'!L30)=0,0,100-50*ABS('2_개행동'!L30)))/BC8,"")</f>
        <v/>
      </c>
      <c r="AX8" s="40" t="str">
        <f>IF(BF8&gt;=4,(IF(COUNT('2_개행동'!L13)=0,0,100-50*ABS('2_개행동'!L13))+IF(COUNT('2_개행동'!L14)=0,0,100-50*ABS('2_개행동'!L14))+IF(COUNT('2_개행동'!L15)=0,0,100-50*ABS('2_개행동'!L15))+IF(COUNT('2_개행동'!L51)=0,0,100-50*ABS('2_개행동'!L51))+IF(COUNT('2_개행동'!L52)=0,0,100-50*ABS('2_개행동'!L52))+IF(COUNT('2_개행동'!L54)=0,0,100-50*ABS('2_개행동'!L54))+IF(COUNT('2_개행동'!L55)=0,0,100-50*ABS('2_개행동'!L55)))/BF8,"")</f>
        <v/>
      </c>
      <c r="AY8" s="40" t="str">
        <f t="shared" si="5"/>
        <v/>
      </c>
      <c r="AZ8" s="40" t="str">
        <f>IF(COUNT('2_개행동'!L48)=0,"",'2_개행동'!L48)</f>
        <v/>
      </c>
      <c r="BA8" s="40" t="str">
        <f>IF(COUNT('2_개행동'!L5,'2_개행동'!L6,'2_개행동'!L30)=0,"",IF(COUNT('2_개행동'!L5)=0,0,MAX(0,-'2_개행동'!L5))+IF(COUNT('2_개행동'!L6)=0,0,MAX(0,-'2_개행동'!L6))+IF(COUNT('2_개행동'!L30)=0,0,MAX(0,-'2_개행동'!L30)))</f>
        <v/>
      </c>
      <c r="BB8" s="40" t="str">
        <f>IF(COUNT('2_개행동'!L5,'2_개행동'!L6,'2_개행동'!L30)=0,"",IF(COUNT('2_개행동'!L5)=0,0,MAX(0,'2_개행동'!L5))+IF(COUNT('2_개행동'!L6)=0,0,MAX(0,'2_개행동'!L6))+IF(COUNT('2_개행동'!L30)=0,0,MAX(0,'2_개행동'!L30)))</f>
        <v/>
      </c>
      <c r="BC8" s="40">
        <f>COUNT('2_개행동'!L5,'2_개행동'!L6,'2_개행동'!L30)</f>
        <v>0</v>
      </c>
      <c r="BD8" s="40" t="str">
        <f>IF(COUNT('2_개행동'!L13,'2_개행동'!L14,'2_개행동'!L15,'2_개행동'!L51,'2_개행동'!L52,'2_개행동'!L54,'2_개행동'!L55)=0,"",IF(COUNT('2_개행동'!L13)=0,0,MAX(0,-'2_개행동'!L13))+IF(COUNT('2_개행동'!L14)=0,0,MAX(0,-'2_개행동'!L14))+IF(COUNT('2_개행동'!L15)=0,0,MAX(0,-'2_개행동'!L15))+IF(COUNT('2_개행동'!L51)=0,0,MAX(0,-'2_개행동'!L51))+IF(COUNT('2_개행동'!L52)=0,0,MAX(0,-'2_개행동'!L52))+IF(COUNT('2_개행동'!L54)=0,0,MAX(0,-'2_개행동'!L54))+IF(COUNT('2_개행동'!L55)=0,0,MAX(0,-'2_개행동'!L55)))</f>
        <v/>
      </c>
      <c r="BE8" s="40" t="str">
        <f>IF(COUNT('2_개행동'!L13,'2_개행동'!L14,'2_개행동'!L15,'2_개행동'!L51,'2_개행동'!L52,'2_개행동'!L54,'2_개행동'!L55)=0,"",IF(COUNT('2_개행동'!L13)=0,0,MAX(0,'2_개행동'!L13))+IF(COUNT('2_개행동'!L14)=0,0,MAX(0,'2_개행동'!L14))+IF(COUNT('2_개행동'!L15)=0,0,MAX(0,'2_개행동'!L15))+IF(COUNT('2_개행동'!L51)=0,0,MAX(0,'2_개행동'!L51))+IF(COUNT('2_개행동'!L52)=0,0,MAX(0,'2_개행동'!L52))+IF(COUNT('2_개행동'!L54)=0,0,MAX(0,'2_개행동'!L54))+IF(COUNT('2_개행동'!L55)=0,0,MAX(0,'2_개행동'!L55)))</f>
        <v/>
      </c>
      <c r="BF8" s="40">
        <f>COUNT('2_개행동'!L13,'2_개행동'!L14,'2_개행동'!L15,'2_개행동'!L51,'2_개행동'!L52,'2_개행동'!L54,'2_개행동'!L55)</f>
        <v>0</v>
      </c>
      <c r="BG8" s="38" t="str">
        <f>IF(LEN(TRIM('2_개행동'!C72&amp;""))=0,"",'2_개행동'!C72)</f>
        <v/>
      </c>
      <c r="BH8" s="38" t="str">
        <f>IF(LEN(TRIM('2_개행동'!G72&amp;""))=0,"",'2_개행동'!G72)</f>
        <v/>
      </c>
      <c r="BI8" s="38" t="str">
        <f>'2_개행동'!I72</f>
        <v>미판정</v>
      </c>
      <c r="BJ8" s="38" t="str">
        <f>IF(M8="미판정","애착유형 미판정",IF(M8="유형 입력 확인","유형 입력을 확인해 주세요.",IF(LEN(TRIM(BG8&amp;""))=0,IF(M8="판정보류","판정보류 사유를 입력해 주세요.","관찰 근거 미기록: 유형 설명 보류"),IF(M8="곁에서 안심하는 사이",성향문장!C49,IF(M8="가까이 있어도 안심이 어려운 사이",성향문장!C50,IF(M8="거리를 두고 지내는 사이",성향문장!C51,IF(M8="다가감과 물러섬이 함께 나오는 사이",성향문장!C52,성향문장!C53)))))))</f>
        <v>애착유형 미판정</v>
      </c>
      <c r="BK8" s="37" t="str">
        <f>IF(COUNT('3_보호자행동'!L12)=0,"조건 미확인",IF('3_보호자행동'!L12=3,"조건 이탈",IF(COUNT('2_개행동'!L9,'2_개행동'!L17,'2_개행동'!L18,'2_개행동'!L19,'2_개행동'!L22)&lt;5,"자료 부족",IF(N('2_개행동'!L21)&gt;=2,"접근이 여러 번 바뀜 — 한 서술로 묶지 않음",IF(AND($AE8&gt;=2,$AF8&gt;=2),"섞여 있음",IF(-'2_개행동'!L9&gt;=1,IF(ABS('2_개행동'!L18)&lt;=1,IF($AF8&gt;=$AE8,"없을 때 흔들 → 있을 때 가라앉고 자기 일","없을 때 흔들 → 있을 때 가라앉고 곁에 붙음"),"없을 때 흔들 → 있을 때도 못 가라앉음"),IF($AE8&gt;=2,"없을 때 담담 → 있을 때 곁에 붙음","없을 때도 있을 때도 비슷")))))))</f>
        <v>조건 미확인</v>
      </c>
      <c r="BL8" s="37" t="str">
        <f>IF(OR(COUNT('1_바디시그널'!L$5)=0,COUNT('1_바디시그널'!L$38)=0),"",'1_바디시그널'!L$5-'1_바디시그널'!L$38)</f>
        <v/>
      </c>
      <c r="BM8" s="37" t="str">
        <f>IF(OR(COUNT('1_바디시그널'!L$9)=0,COUNT('1_바디시그널'!L$38)=0),"",'1_바디시그널'!L$9-'1_바디시그널'!L$38)</f>
        <v/>
      </c>
      <c r="BN8" s="37" t="str">
        <f>IF(OR(COUNT('1_바디시그널'!L$11)=0,COUNT('1_바디시그널'!L$38)=0),"",'1_바디시그널'!L$11-'1_바디시그널'!L$38)</f>
        <v/>
      </c>
      <c r="BO8" s="37" t="str">
        <f>IF(OR(COUNT('1_바디시그널'!L$13)=0,COUNT('1_바디시그널'!L$38)=0),"",'1_바디시그널'!L$13-'1_바디시그널'!L$38)</f>
        <v/>
      </c>
      <c r="BP8" s="37" t="str">
        <f>IF(OR(COUNT('1_바디시그널'!L$39)=0,COUNT('1_바디시그널'!L$38)=0),"",'1_바디시그널'!L$39-'1_바디시그널'!L$38)</f>
        <v/>
      </c>
      <c r="BQ8" s="37" t="str">
        <f>IF(OR(COUNT('1_바디시그널'!L$43)=0,COUNT('1_바디시그널'!L$38)=0),"",'1_바디시그널'!L$43-'1_바디시그널'!L$38)</f>
        <v/>
      </c>
      <c r="BR8" s="37" t="str">
        <f>IF(OR(COUNT('1_바디시그널'!L$44)=0,COUNT('1_바디시그널'!L$38)=0),"",'1_바디시그널'!L$44-'1_바디시그널'!L$38)</f>
        <v/>
      </c>
      <c r="BS8" s="37" t="str">
        <f>IF(OR(COUNT('1_바디시그널'!L$45)=0,COUNT('1_바디시그널'!L$38)=0),"",'1_바디시그널'!L$45-'1_바디시그널'!L$38)</f>
        <v/>
      </c>
      <c r="BT8" s="37" t="str">
        <f>IF(OR(COUNT('1_바디시그널'!L$41)=0,COUNT('1_바디시그널'!L$40)=0),"",'1_바디시그널'!L$41-'1_바디시그널'!L$40)</f>
        <v/>
      </c>
      <c r="BU8" s="37" t="str">
        <f>IF(OR(COUNT('1_바디시그널'!L$42)=0,COUNT('1_바디시그널'!L$40)=0),"",'1_바디시그널'!L$42-'1_바디시그널'!L$40)</f>
        <v/>
      </c>
      <c r="BV8" s="37">
        <f>N('2_개행동'!L$5&lt;=-1)+N('2_개행동'!L$6&lt;=-1)+IF(AND(COUNT('2_개행동'!L$30)=1,COUNT('3_보호자행동'!L$14)=1,'3_보호자행동'!L$14&lt;=2),N('2_개행동'!L$30&lt;=-1),0)</f>
        <v>0</v>
      </c>
      <c r="BW8" s="37">
        <f>N('2_개행동'!L$5&gt;=1)+N('2_개행동'!L$6&gt;=1)+IF(AND(COUNT('2_개행동'!L$30)=1,COUNT('3_보호자행동'!L$14)=1,'3_보호자행동'!L$14&lt;=2),N('2_개행동'!L$30&gt;=1),0)</f>
        <v>0</v>
      </c>
      <c r="BX8" s="37">
        <f>COUNT('2_개행동'!L$5,'2_개행동'!L$6)+IF(AND(COUNT('2_개행동'!L$30)=1,COUNT('3_보호자행동'!L$14)=1,'3_보호자행동'!L$14&lt;=2),1,0)</f>
        <v>0</v>
      </c>
      <c r="BY8" s="37" t="str">
        <f t="shared" si="6"/>
        <v>자료 부족</v>
      </c>
      <c r="BZ8" s="37" t="str">
        <f>"문 "&amp;IF(COUNT('2_개행동'!L$5)=0,"미확인",SUBSTITUTE(TEXT('2_개행동'!L$5,"+0;-0;0"),"-","−"))&amp;" · 바닥 "&amp;IF(COUNT('2_개행동'!L$6)=0,"미확인",SUBSTITUTE(TEXT('2_개행동'!L$6,"+0;-0;0"),"-","−"))&amp;" · 물건 "&amp;IF(AND(COUNT('2_개행동'!L$30)=1,COUNT('3_보호자행동'!L$14)=1,'3_보호자행동'!L$14&lt;=2),IF(COUNT('2_개행동'!L$30)=0,"미확인",SUBSTITUTE(TEXT('2_개행동'!L$30,"+0;-0;0"),"-","−")),"보류")&amp;"  /  꼬리 기준대비 입장 "&amp;IF(COUNT($BL8)=0,"미확인",SUBSTITUTE(TEXT($BL8,"+0;-0;0"),"-","−"))&amp;" · 바닥 "&amp;IF(COUNT($AP8)=0,"미확인",SUBSTITUTE(TEXT($AP8,"+0;-0;0"),"-","−"))&amp;" · 물건 "&amp;IF(COUNT($BR8)=0,"미확인",SUBSTITUTE(TEXT($BR8,"+0;-0;0"),"-","−"))&amp;"  /  긴장 신호 "&amp;IF(COUNT('1_바디시그널'!L$14,'1_바디시그널'!L$15,'1_바디시그널'!L$16)=0,"미확인",TEXT(SUM('1_바디시그널'!L$14,'1_바디시그널'!L$15,'1_바디시그널'!L$16),"0")&amp;"회")&amp;"  /  냄새 "&amp;IF(COUNT('2_개행동'!L$7)=0,"미확인",IF('2_개행동'!L$7=0,"씀","안 씀"))</f>
        <v>문 미확인 · 바닥 미확인 · 물건 보류  /  꼬리 기준대비 입장 미확인 · 바닥 미확인 · 물건 미확인  /  긴장 신호 미확인  /  냄새 미확인</v>
      </c>
      <c r="CA8" s="37" t="str">
        <f>IF(AND('6_행사전문가의견'!E72="완료",OR('6_행사전문가의견'!B74="주저함 · 거리를 벌림",'6_행사전문가의견'!B74="뚜렷한 치우침 없음",'6_행사전문가의견'!B74="살피지 않고 들이닥침",'6_행사전문가의견'!B74="자극에 따라 다름",'6_행사전문가의견'!B74="판단보류"),LEN(TRIM('6_행사전문가의견'!B75&amp;""))&gt;0),'6_행사전문가의견'!B74,"")</f>
        <v/>
      </c>
      <c r="CB8" s="37" t="str">
        <f>IF(AND('6_행사전문가의견'!E72="완료",OR('6_행사전문가의견'!B74="주저함 · 거리를 벌림",'6_행사전문가의견'!B74="뚜렷한 치우침 없음",'6_행사전문가의견'!B74="살피지 않고 들이닥침",'6_행사전문가의견'!B74="자극에 따라 다름",'6_행사전문가의견'!B74="판단보류"),LEN(TRIM('6_행사전문가의견'!B75&amp;""))&gt;0),'6_행사전문가의견'!B75,"")</f>
        <v/>
      </c>
      <c r="CC8" s="37" t="str">
        <f t="shared" si="7"/>
        <v>자료 부족</v>
      </c>
      <c r="CD8" s="38" t="str">
        <f>IF('6_행사전문가의견'!E72&lt;&gt;"완료","",IF(LEN(TRIM('6_행사전문가의견'!D65&amp;""))=0,"",'6_행사전문가의견'!D65))</f>
        <v/>
      </c>
      <c r="CE8" s="38" t="str">
        <f>IF('6_행사전문가의견'!E72&lt;&gt;"완료","",IF(LEN(TRIM('6_행사전문가의견'!D66&amp;""))=0,"",'6_행사전문가의견'!D66))</f>
        <v/>
      </c>
      <c r="CF8" s="38" t="str">
        <f>IF('6_행사전문가의견'!E72&lt;&gt;"완료","",IF(LEN(TRIM('6_행사전문가의견'!D67&amp;""))=0,"",'6_행사전문가의견'!D67))</f>
        <v/>
      </c>
      <c r="CG8" s="38" t="str">
        <f>IF('6_행사전문가의견'!E72&lt;&gt;"완료","",IF(LEN(TRIM('6_행사전문가의견'!D69&amp;""))=0,"",'6_행사전문가의견'!D69))</f>
        <v/>
      </c>
      <c r="CH8" s="38" t="str">
        <f>IF('6_행사전문가의견'!E72&lt;&gt;"완료","",IF(LEN(TRIM('6_행사전문가의견'!D71&amp;""))=0,"",'6_행사전문가의견'!D71))</f>
        <v/>
      </c>
      <c r="CI8" s="38" t="str">
        <f>IF('6_행사전문가의견'!E72&lt;&gt;"완료","",IF(LEN(TRIM('6_행사전문가의견'!C63&amp;""))=0,"",'6_행사전문가의견'!C63))</f>
        <v/>
      </c>
      <c r="CJ8" s="38" t="str">
        <f>'6_행사전문가의견'!E72</f>
        <v>미작성</v>
      </c>
      <c r="CK8" s="37" t="str">
        <f>'2_개행동'!L60</f>
        <v>미채점</v>
      </c>
      <c r="CL8" s="40" t="str">
        <f>IF(LEN(TRIM(CD8&amp;""))&gt;0,CD8,"분리 초기: "&amp;IF(COUNT('2_개행동'!L$9)=0,"자료 부족",INDEX('2_개행동'!$C$9:$G$9,1,'2_개행동'!L$9+3))&amp;" / 분리 이후: "&amp;IF(COUNT('2_개행동'!L$10)=0,"자료 부족",INDEX('2_개행동'!$C$10:$G$10,1,'2_개행동'!L$10+3))&amp;" / 변화: "&amp;CK8&amp;" / 분리·재회·무시 보조: "&amp;BK8&amp;" / 재회·무시 패턴: "&amp;AU8&amp;IF(M8="미판정",""," / 기본 유형: "&amp;M8&amp;IF(LEN(TRIM(BG8&amp;""))&gt;0," / 근거: "&amp;BG8,"")))</f>
        <v>분리 초기: 자료 부족 / 분리 이후: 자료 부족 / 변화: 미채점 / 분리·재회·무시 보조: 조건 미확인 / 재회·무시 패턴: 조건 미확인</v>
      </c>
      <c r="CM8" s="40" t="str">
        <f>IF(LEN(TRIM(CE8&amp;""))&gt;0,CE8,IF(LEN(TRIM(AQ8&amp;""))=0,"",AQ8&amp;IF(LEN(TRIM(AR8&amp;""))&gt;0,". "&amp;AR8,IF(COUNT('3_보호자행동'!P53)=0," (자동 초안 · 근거 비율 미산출)"," (자동 초안 · 허용 "&amp;TEXT('3_보호자행동'!P53,"0.00")&amp;" / 조율 "&amp;TEXT('3_보호자행동'!Q53,"0.00")&amp;" / 통제 "&amp;TEXT('3_보호자행동'!R53,"0.00")&amp;")"))))</f>
        <v>판정보류 (자동 초안 · 근거 비율 미산출)</v>
      </c>
      <c r="CN8" s="40" t="str">
        <f t="shared" si="8"/>
        <v>자료 부족</v>
      </c>
      <c r="CO8" s="40" t="str">
        <f t="shared" si="9"/>
        <v>조건 미확인</v>
      </c>
      <c r="CP8" s="40" t="str">
        <f t="shared" si="10"/>
        <v/>
      </c>
      <c r="CQ8" s="40" t="str">
        <f>IF('6_행사전문가의견'!E72&lt;&gt;"완료","",IF(LEN(TRIM('6_행사전문가의견'!D68&amp;""))=0,"",'6_행사전문가의견'!D68))</f>
        <v/>
      </c>
      <c r="CR8" s="40" t="str">
        <f>IF('6_행사전문가의견'!E72&lt;&gt;"완료","",IF(LEN(TRIM('6_행사전문가의견'!D70&amp;""))=0,"",'6_행사전문가의견'!D70))</f>
        <v/>
      </c>
      <c r="CS8" s="40" t="str">
        <f t="shared" si="11"/>
        <v/>
      </c>
      <c r="CT8" s="40" t="str">
        <f t="shared" si="12"/>
        <v/>
      </c>
      <c r="CU8" s="37" t="str">
        <f>IF(LEN(TRIM('3_보호자행동'!U53&amp;""))=0,"",'3_보호자행동'!U53)</f>
        <v>자동 초안</v>
      </c>
    </row>
    <row r="9" spans="1:99" ht="81.95" customHeight="1" x14ac:dyDescent="0.3">
      <c r="A9" s="16">
        <v>4</v>
      </c>
      <c r="B9" s="16"/>
      <c r="C9" s="16"/>
      <c r="D9" s="50" t="str">
        <f>IF(COUNT('3_보호자행동'!M5)=0,"",'3_보호자행동'!M5)</f>
        <v/>
      </c>
      <c r="E9" s="16" t="str">
        <f>IF(COUNT('3_보호자행동'!M6)=0,"",'3_보호자행동'!M6)</f>
        <v/>
      </c>
      <c r="F9" s="16" t="str">
        <f>IF(COUNT('3_보호자행동'!M9)=0,"",'3_보호자행동'!M9)</f>
        <v/>
      </c>
      <c r="G9" s="50" t="str">
        <f>IF(AND(OR('3_보호자행동'!M14=1,'3_보호자행동'!M14=2),BC9&gt;=2),BA9/BC9,"")</f>
        <v/>
      </c>
      <c r="H9" s="16" t="str">
        <f>IF(AND(OR('3_보호자행동'!M14=1,'3_보호자행동'!M14=2),BC9&gt;=2),BB9/BC9,"")</f>
        <v/>
      </c>
      <c r="I9" s="17">
        <f t="shared" si="0"/>
        <v>0</v>
      </c>
      <c r="J9" s="16" t="str">
        <f t="shared" si="1"/>
        <v>자료 부족</v>
      </c>
      <c r="K9" s="16" t="str">
        <f t="shared" si="2"/>
        <v/>
      </c>
      <c r="L9" s="16" t="str">
        <f t="shared" si="3"/>
        <v/>
      </c>
      <c r="M9" s="16" t="str">
        <f>IF(LEN(TRIM('2_개행동'!B73&amp;""))=0,"미판정",IF(OR('2_개행동'!B73="곁에서 안심하는 사이",'2_개행동'!B73="가까이 있어도 안심이 어려운 사이",'2_개행동'!B73="거리를 두고 지내는 사이",'2_개행동'!B73="다가감과 물러섬이 함께 나오는 사이",'2_개행동'!B73="판정보류"),'2_개행동'!B73,"유형 입력 확인"))</f>
        <v>미판정</v>
      </c>
      <c r="N9" s="16" t="str">
        <f>IF(COUNT('2_개행동'!M18)=0,"",'2_개행동'!M18)</f>
        <v/>
      </c>
      <c r="O9" s="16" t="str">
        <f>IF(COUNT('2_개행동'!M47)=0,"",'2_개행동'!M47)</f>
        <v/>
      </c>
      <c r="P9" s="50" t="str">
        <f>IF(OR('3_보호자행동'!M13=1,'3_보호자행동'!M13=2),IF(COUNT('2_개행동'!M24)=0,"",'2_개행동'!M24),"")</f>
        <v/>
      </c>
      <c r="Q9" s="16" t="str">
        <f>IF(OR('3_보호자행동'!M13=1,'3_보호자행동'!M13=2),IF(COUNT('2_개행동'!M25)=0,"",'2_개행동'!M25),"")</f>
        <v/>
      </c>
      <c r="R9" s="51" t="str">
        <f t="shared" si="4"/>
        <v/>
      </c>
      <c r="S9" s="50" t="str">
        <f>IF(COUNT('2_개행동'!M28)=0,"",'2_개행동'!M28)</f>
        <v/>
      </c>
      <c r="T9" s="16" t="str">
        <f>IF(COUNT('2_개행동'!M34)=0,"",'2_개행동'!M34)</f>
        <v/>
      </c>
      <c r="U9" s="16" t="str">
        <f>IF(COUNT('2_개행동'!M50)=0,"",'2_개행동'!M50)</f>
        <v/>
      </c>
      <c r="V9" s="52" t="str">
        <f>IF(AND(COUNT('2_개행동'!M8,'2_개행동'!M23)=2,OR('3_보호자행동'!M12=1,'3_보호자행동'!M12=2)),ABS('2_개행동'!M8)-ABS('2_개행동'!M23),"")</f>
        <v/>
      </c>
      <c r="W9" s="52" t="str">
        <f>IF(COUNT('2_개행동'!M58,'2_개행동'!M18)&lt;2,"",ABS('2_개행동'!M58)-ABS('2_개행동'!M18))</f>
        <v/>
      </c>
      <c r="X9" s="52"/>
      <c r="Y9" s="16" t="str">
        <f>IF(COUNT('2_개행동'!M8)=0,"",'2_개행동'!M8)</f>
        <v/>
      </c>
      <c r="Z9" s="51" t="str">
        <f>IF(COUNT('2_개행동'!M27)=0,"",'2_개행동'!M27)</f>
        <v/>
      </c>
      <c r="AA9" s="18"/>
      <c r="AB9" s="16" t="str">
        <f>IF(COUNT('2_개행동'!M9)=0,"",'2_개행동'!M9)</f>
        <v/>
      </c>
      <c r="AC9" s="16" t="str">
        <f>IF(COUNT('2_개행동'!M10)=0,"",'2_개행동'!M10)</f>
        <v/>
      </c>
      <c r="AD9" s="16" t="str">
        <f>IF(COUNT('2_개행동'!M18)=0,"",'2_개행동'!M18)</f>
        <v/>
      </c>
      <c r="AE9" s="16" t="str">
        <f>IF(AND(COUNT('2_개행동'!M17,'2_개행동'!M19,'2_개행동'!M22)=3,OR('3_보호자행동'!M12=1,'3_보호자행동'!M12=2)),IF(COUNT('2_개행동'!M17)=0,0,MAX(0,-'2_개행동'!M17))+IF(COUNT('2_개행동'!M19)=0,0,MAX(0,-'2_개행동'!M19))+IF(COUNT('2_개행동'!M22)=0,0,MAX(0,-'2_개행동'!M22)),"")</f>
        <v/>
      </c>
      <c r="AF9" s="16" t="str">
        <f>IF(AND(COUNT('2_개행동'!M17,'2_개행동'!M19,'2_개행동'!M22)=3,OR('3_보호자행동'!M12=1,'3_보호자행동'!M12=2)),IF(COUNT('2_개행동'!M17)=0,0,MAX(0,'2_개행동'!M17))+IF(COUNT('2_개행동'!M19)=0,0,MAX(0,'2_개행동'!M19))+IF(COUNT('2_개행동'!M22)=0,0,MAX(0,'2_개행동'!M22)),"")</f>
        <v/>
      </c>
      <c r="AG9" s="40" t="str">
        <f>IF(COUNT('3_보호자행동'!M14)=0,"조건 미확인",IF('3_보호자행동'!M14=3,"조건 이탈",IF(BC9&lt;2,"자료 부족",IF(AND(BA9&gt;0,BB9&gt;0),"양방향 관찰",IF(BA9&gt;0,"−방향 관찰",IF(BB9&gt;0,"+방향 관찰","중앙범주만 관찰"))))))</f>
        <v>조건 미확인</v>
      </c>
      <c r="AH9" s="40" t="str">
        <f>IF(COUNT('3_보호자행동'!M13)=0,"조건 미확인",IF('3_보호자행동'!M13=3,"조건 이탈",IF(COUNT('2_개행동'!M24)=0,"자료 부족",CHOOSE('2_개행동'!M24+3,"−2","−1","0","+1","+2"))))</f>
        <v>조건 미확인</v>
      </c>
      <c r="AI9" s="40" t="str">
        <f>IF(COUNT('2_개행동'!M28)=0,"자료 부족",CHOOSE('2_개행동'!M28+3,"−2","−1","0","+1","+2"))</f>
        <v>자료 부족</v>
      </c>
      <c r="AJ9" s="40" t="str">
        <f>IF(COUNT('2_개행동'!M8,'2_개행동'!M14,'2_개행동'!M18,'2_개행동'!M23,'2_개행동'!M44,'2_개행동'!M52,'2_개행동'!M58)=0,"",IF(COUNT('2_개행동'!M8)=0,0,IF('2_개행동'!M8&lt;0,1,0))+IF(COUNT('2_개행동'!M14)=0,0,IF('2_개행동'!M14&lt;0,1,0))+IF(COUNT('2_개행동'!M18)=0,0,IF('2_개행동'!M18&lt;0,1,0))+IF(COUNT('2_개행동'!M23)=0,0,IF('2_개행동'!M23&lt;0,1,0))+IF(COUNT('2_개행동'!M44)=0,0,IF('2_개행동'!M44&lt;0,1,0))+IF(COUNT('2_개행동'!M52)=0,0,IF('2_개행동'!M52&lt;0,1,0))+IF(COUNT('2_개행동'!M58)=0,0,IF('2_개행동'!M58&lt;0,1,0)))</f>
        <v/>
      </c>
      <c r="AK9" s="40" t="str">
        <f>IF(COUNT('2_개행동'!M8,'2_개행동'!M14,'2_개행동'!M18,'2_개행동'!M23,'2_개행동'!M44,'2_개행동'!M52,'2_개행동'!M58)=0,"",IF(COUNT('2_개행동'!M8)=0,0,IF('2_개행동'!M8&gt;0,1,0))+IF(COUNT('2_개행동'!M14)=0,0,IF('2_개행동'!M14&gt;0,1,0))+IF(COUNT('2_개행동'!M18)=0,0,IF('2_개행동'!M18&gt;0,1,0))+IF(COUNT('2_개행동'!M23)=0,0,IF('2_개행동'!M23&gt;0,1,0))+IF(COUNT('2_개행동'!M44)=0,0,IF('2_개행동'!M44&gt;0,1,0))+IF(COUNT('2_개행동'!M52)=0,0,IF('2_개행동'!M52&gt;0,1,0))+IF(COUNT('2_개행동'!M58)=0,0,IF('2_개행동'!M58&gt;0,1,0)))</f>
        <v/>
      </c>
      <c r="AL9" s="40" t="str">
        <f>IF(COUNT('2_개행동'!M8,'2_개행동'!M14,'2_개행동'!M18,'2_개행동'!M23,'2_개행동'!M44,'2_개행동'!M52,'2_개행동'!M58)&lt;1,"자료 부족",IF(AND(AJ9&gt;0,AK9&gt;0),"양방향 관찰",IF(AJ9&gt;0,"−방향 관찰",IF(AK9&gt;0,"+방향 관찰","중앙범주만 관찰"))))</f>
        <v>자료 부족</v>
      </c>
      <c r="AM9" s="40" t="str">
        <f>IF(AND(COUNT('2_개행동'!M30,'2_개행동'!M34)=2,OR('3_보호자행동'!M14=1,'3_보호자행동'!M14=2)),IF('2_개행동'!M30='2_개행동'!M34,"같은 범주","범주 변화"),"비교 보류")</f>
        <v>비교 보류</v>
      </c>
      <c r="AN9" s="40" t="str">
        <f>IF(COUNT('2_개행동'!M5)=0,"자료 부족",CHOOSE('2_개행동'!M5+3,"−2","−1","0","+1","+2"))</f>
        <v>자료 부족</v>
      </c>
      <c r="AO9" s="40" t="str">
        <f>IF(COUNT('3_보호자행동'!M13)=0,"조건 미확인",IF('3_보호자행동'!M13=3,"조건 이탈",IF(COUNT('2_개행동'!M25)=0,"자료 부족",CHOOSE('2_개행동'!M25+3,"−2","−1","0","+1","+2"))))</f>
        <v>조건 미확인</v>
      </c>
      <c r="AP9" s="40" t="str">
        <f>IF(COUNT('1_바디시그널'!M7,'1_바디시그널'!M38)&lt;2,"",'1_바디시그널'!M7-'1_바디시그널'!M38)</f>
        <v/>
      </c>
      <c r="AQ9" s="38" t="str">
        <f>IF(LEN(TRIM('3_보호자행동'!T54&amp;""))=0,"",'3_보호자행동'!T54)</f>
        <v>판정보류</v>
      </c>
      <c r="AR9" s="38" t="str">
        <f>IF('3_보호자행동'!U54&lt;&gt;"채점자 선택","",IF(LEN(TRIM('3_보호자행동'!C54&amp;""))=0,"",'3_보호자행동'!C54))</f>
        <v/>
      </c>
      <c r="AS9" s="38" t="str">
        <f>'3_보호자행동'!I54</f>
        <v>자동 · 판정보류</v>
      </c>
      <c r="AT9" s="38" t="str">
        <f>IF('3_보호자행동'!U54="채점자 선택",'3_보호자행동'!G54,"")</f>
        <v/>
      </c>
      <c r="AU9" s="40" t="str">
        <f>IF(COUNT('3_보호자행동'!M12)=0,"조건 미확인",IF('3_보호자행동'!M12=3,"조건 이탈",IF(COUNT(AE9,AF9,'2_개행동'!M18)&lt;3,"자료 부족",IF(AND(AE9&gt;=2,AF9&gt;=2),"접촉·거리 반응 혼재",IF(ABS('2_개행동'!M18)=2,"재회 몸 상태 지속",IF(AF9&gt;=3,"거리 유지 관찰",IF(AE9&gt;=4,"접촉 유지 관찰","기준상 뚜렷한 치우침 없음")))))))</f>
        <v>조건 미확인</v>
      </c>
      <c r="AV9" s="40" t="str">
        <f>"발성량: 혼자 "&amp;IF(COUNT('2_개행동'!M11)=0,"미확인",TEXT('2_개행동'!M11,"0"))&amp;" / 재회 "&amp;IF(COUNT('2_개행동'!M47)=0,"미확인",TEXT('2_개행동'!M47,"0"))&amp;" / 무시 "&amp;IF(COUNT('2_개행동'!M48)=0,"미확인",TEXT('2_개행동'!M48,"0"))&amp;" · 접근 변화 사건 "&amp;IF(COUNT('2_개행동'!M21)=0,"미확인",TEXT('2_개행동'!M21,"0"))</f>
        <v>발성량: 혼자 미확인 / 재회 미확인 / 무시 미확인 · 접근 변화 사건 미확인</v>
      </c>
      <c r="AW9" s="40" t="str">
        <f>IF(AND(OR('3_보호자행동'!M14=1,'3_보호자행동'!M14=2),BC9&gt;=2),(IF(COUNT('2_개행동'!M5)=0,0,100-50*ABS('2_개행동'!M5))+IF(COUNT('2_개행동'!M6)=0,0,100-50*ABS('2_개행동'!M6))+IF(COUNT('2_개행동'!M30)=0,0,100-50*ABS('2_개행동'!M30)))/BC9,"")</f>
        <v/>
      </c>
      <c r="AX9" s="40" t="str">
        <f>IF(BF9&gt;=4,(IF(COUNT('2_개행동'!M13)=0,0,100-50*ABS('2_개행동'!M13))+IF(COUNT('2_개행동'!M14)=0,0,100-50*ABS('2_개행동'!M14))+IF(COUNT('2_개행동'!M15)=0,0,100-50*ABS('2_개행동'!M15))+IF(COUNT('2_개행동'!M51)=0,0,100-50*ABS('2_개행동'!M51))+IF(COUNT('2_개행동'!M52)=0,0,100-50*ABS('2_개행동'!M52))+IF(COUNT('2_개행동'!M54)=0,0,100-50*ABS('2_개행동'!M54))+IF(COUNT('2_개행동'!M55)=0,0,100-50*ABS('2_개행동'!M55)))/BF9,"")</f>
        <v/>
      </c>
      <c r="AY9" s="40" t="str">
        <f t="shared" si="5"/>
        <v/>
      </c>
      <c r="AZ9" s="40" t="str">
        <f>IF(COUNT('2_개행동'!M48)=0,"",'2_개행동'!M48)</f>
        <v/>
      </c>
      <c r="BA9" s="40" t="str">
        <f>IF(COUNT('2_개행동'!M5,'2_개행동'!M6,'2_개행동'!M30)=0,"",IF(COUNT('2_개행동'!M5)=0,0,MAX(0,-'2_개행동'!M5))+IF(COUNT('2_개행동'!M6)=0,0,MAX(0,-'2_개행동'!M6))+IF(COUNT('2_개행동'!M30)=0,0,MAX(0,-'2_개행동'!M30)))</f>
        <v/>
      </c>
      <c r="BB9" s="40" t="str">
        <f>IF(COUNT('2_개행동'!M5,'2_개행동'!M6,'2_개행동'!M30)=0,"",IF(COUNT('2_개행동'!M5)=0,0,MAX(0,'2_개행동'!M5))+IF(COUNT('2_개행동'!M6)=0,0,MAX(0,'2_개행동'!M6))+IF(COUNT('2_개행동'!M30)=0,0,MAX(0,'2_개행동'!M30)))</f>
        <v/>
      </c>
      <c r="BC9" s="40">
        <f>COUNT('2_개행동'!M5,'2_개행동'!M6,'2_개행동'!M30)</f>
        <v>0</v>
      </c>
      <c r="BD9" s="40" t="str">
        <f>IF(COUNT('2_개행동'!M13,'2_개행동'!M14,'2_개행동'!M15,'2_개행동'!M51,'2_개행동'!M52,'2_개행동'!M54,'2_개행동'!M55)=0,"",IF(COUNT('2_개행동'!M13)=0,0,MAX(0,-'2_개행동'!M13))+IF(COUNT('2_개행동'!M14)=0,0,MAX(0,-'2_개행동'!M14))+IF(COUNT('2_개행동'!M15)=0,0,MAX(0,-'2_개행동'!M15))+IF(COUNT('2_개행동'!M51)=0,0,MAX(0,-'2_개행동'!M51))+IF(COUNT('2_개행동'!M52)=0,0,MAX(0,-'2_개행동'!M52))+IF(COUNT('2_개행동'!M54)=0,0,MAX(0,-'2_개행동'!M54))+IF(COUNT('2_개행동'!M55)=0,0,MAX(0,-'2_개행동'!M55)))</f>
        <v/>
      </c>
      <c r="BE9" s="40" t="str">
        <f>IF(COUNT('2_개행동'!M13,'2_개행동'!M14,'2_개행동'!M15,'2_개행동'!M51,'2_개행동'!M52,'2_개행동'!M54,'2_개행동'!M55)=0,"",IF(COUNT('2_개행동'!M13)=0,0,MAX(0,'2_개행동'!M13))+IF(COUNT('2_개행동'!M14)=0,0,MAX(0,'2_개행동'!M14))+IF(COUNT('2_개행동'!M15)=0,0,MAX(0,'2_개행동'!M15))+IF(COUNT('2_개행동'!M51)=0,0,MAX(0,'2_개행동'!M51))+IF(COUNT('2_개행동'!M52)=0,0,MAX(0,'2_개행동'!M52))+IF(COUNT('2_개행동'!M54)=0,0,MAX(0,'2_개행동'!M54))+IF(COUNT('2_개행동'!M55)=0,0,MAX(0,'2_개행동'!M55)))</f>
        <v/>
      </c>
      <c r="BF9" s="40">
        <f>COUNT('2_개행동'!M13,'2_개행동'!M14,'2_개행동'!M15,'2_개행동'!M51,'2_개행동'!M52,'2_개행동'!M54,'2_개행동'!M55)</f>
        <v>0</v>
      </c>
      <c r="BG9" s="38" t="str">
        <f>IF(LEN(TRIM('2_개행동'!C73&amp;""))=0,"",'2_개행동'!C73)</f>
        <v/>
      </c>
      <c r="BH9" s="38" t="str">
        <f>IF(LEN(TRIM('2_개행동'!G73&amp;""))=0,"",'2_개행동'!G73)</f>
        <v/>
      </c>
      <c r="BI9" s="38" t="str">
        <f>'2_개행동'!I73</f>
        <v>미판정</v>
      </c>
      <c r="BJ9" s="38" t="str">
        <f>IF(M9="미판정","애착유형 미판정",IF(M9="유형 입력 확인","유형 입력을 확인해 주세요.",IF(LEN(TRIM(BG9&amp;""))=0,IF(M9="판정보류","판정보류 사유를 입력해 주세요.","관찰 근거 미기록: 유형 설명 보류"),IF(M9="곁에서 안심하는 사이",성향문장!C49,IF(M9="가까이 있어도 안심이 어려운 사이",성향문장!C50,IF(M9="거리를 두고 지내는 사이",성향문장!C51,IF(M9="다가감과 물러섬이 함께 나오는 사이",성향문장!C52,성향문장!C53)))))))</f>
        <v>애착유형 미판정</v>
      </c>
      <c r="BK9" s="37" t="str">
        <f>IF(COUNT('3_보호자행동'!M12)=0,"조건 미확인",IF('3_보호자행동'!M12=3,"조건 이탈",IF(COUNT('2_개행동'!M9,'2_개행동'!M17,'2_개행동'!M18,'2_개행동'!M19,'2_개행동'!M22)&lt;5,"자료 부족",IF(N('2_개행동'!M21)&gt;=2,"접근이 여러 번 바뀜 — 한 서술로 묶지 않음",IF(AND($AE9&gt;=2,$AF9&gt;=2),"섞여 있음",IF(-'2_개행동'!M9&gt;=1,IF(ABS('2_개행동'!M18)&lt;=1,IF($AF9&gt;=$AE9,"없을 때 흔들 → 있을 때 가라앉고 자기 일","없을 때 흔들 → 있을 때 가라앉고 곁에 붙음"),"없을 때 흔들 → 있을 때도 못 가라앉음"),IF($AE9&gt;=2,"없을 때 담담 → 있을 때 곁에 붙음","없을 때도 있을 때도 비슷")))))))</f>
        <v>조건 미확인</v>
      </c>
      <c r="BL9" s="37" t="str">
        <f>IF(OR(COUNT('1_바디시그널'!M$5)=0,COUNT('1_바디시그널'!M$38)=0),"",'1_바디시그널'!M$5-'1_바디시그널'!M$38)</f>
        <v/>
      </c>
      <c r="BM9" s="37" t="str">
        <f>IF(OR(COUNT('1_바디시그널'!M$9)=0,COUNT('1_바디시그널'!M$38)=0),"",'1_바디시그널'!M$9-'1_바디시그널'!M$38)</f>
        <v/>
      </c>
      <c r="BN9" s="37" t="str">
        <f>IF(OR(COUNT('1_바디시그널'!M$11)=0,COUNT('1_바디시그널'!M$38)=0),"",'1_바디시그널'!M$11-'1_바디시그널'!M$38)</f>
        <v/>
      </c>
      <c r="BO9" s="37" t="str">
        <f>IF(OR(COUNT('1_바디시그널'!M$13)=0,COUNT('1_바디시그널'!M$38)=0),"",'1_바디시그널'!M$13-'1_바디시그널'!M$38)</f>
        <v/>
      </c>
      <c r="BP9" s="37" t="str">
        <f>IF(OR(COUNT('1_바디시그널'!M$39)=0,COUNT('1_바디시그널'!M$38)=0),"",'1_바디시그널'!M$39-'1_바디시그널'!M$38)</f>
        <v/>
      </c>
      <c r="BQ9" s="37" t="str">
        <f>IF(OR(COUNT('1_바디시그널'!M$43)=0,COUNT('1_바디시그널'!M$38)=0),"",'1_바디시그널'!M$43-'1_바디시그널'!M$38)</f>
        <v/>
      </c>
      <c r="BR9" s="37" t="str">
        <f>IF(OR(COUNT('1_바디시그널'!M$44)=0,COUNT('1_바디시그널'!M$38)=0),"",'1_바디시그널'!M$44-'1_바디시그널'!M$38)</f>
        <v/>
      </c>
      <c r="BS9" s="37" t="str">
        <f>IF(OR(COUNT('1_바디시그널'!M$45)=0,COUNT('1_바디시그널'!M$38)=0),"",'1_바디시그널'!M$45-'1_바디시그널'!M$38)</f>
        <v/>
      </c>
      <c r="BT9" s="37" t="str">
        <f>IF(OR(COUNT('1_바디시그널'!M$41)=0,COUNT('1_바디시그널'!M$40)=0),"",'1_바디시그널'!M$41-'1_바디시그널'!M$40)</f>
        <v/>
      </c>
      <c r="BU9" s="37" t="str">
        <f>IF(OR(COUNT('1_바디시그널'!M$42)=0,COUNT('1_바디시그널'!M$40)=0),"",'1_바디시그널'!M$42-'1_바디시그널'!M$40)</f>
        <v/>
      </c>
      <c r="BV9" s="37">
        <f>N('2_개행동'!M$5&lt;=-1)+N('2_개행동'!M$6&lt;=-1)+IF(AND(COUNT('2_개행동'!M$30)=1,COUNT('3_보호자행동'!M$14)=1,'3_보호자행동'!M$14&lt;=2),N('2_개행동'!M$30&lt;=-1),0)</f>
        <v>0</v>
      </c>
      <c r="BW9" s="37">
        <f>N('2_개행동'!M$5&gt;=1)+N('2_개행동'!M$6&gt;=1)+IF(AND(COUNT('2_개행동'!M$30)=1,COUNT('3_보호자행동'!M$14)=1,'3_보호자행동'!M$14&lt;=2),N('2_개행동'!M$30&gt;=1),0)</f>
        <v>0</v>
      </c>
      <c r="BX9" s="37">
        <f>COUNT('2_개행동'!M$5,'2_개행동'!M$6)+IF(AND(COUNT('2_개행동'!M$30)=1,COUNT('3_보호자행동'!M$14)=1,'3_보호자행동'!M$14&lt;=2),1,0)</f>
        <v>0</v>
      </c>
      <c r="BY9" s="37" t="str">
        <f t="shared" si="6"/>
        <v>자료 부족</v>
      </c>
      <c r="BZ9" s="37" t="str">
        <f>"문 "&amp;IF(COUNT('2_개행동'!M$5)=0,"미확인",SUBSTITUTE(TEXT('2_개행동'!M$5,"+0;-0;0"),"-","−"))&amp;" · 바닥 "&amp;IF(COUNT('2_개행동'!M$6)=0,"미확인",SUBSTITUTE(TEXT('2_개행동'!M$6,"+0;-0;0"),"-","−"))&amp;" · 물건 "&amp;IF(AND(COUNT('2_개행동'!M$30)=1,COUNT('3_보호자행동'!M$14)=1,'3_보호자행동'!M$14&lt;=2),IF(COUNT('2_개행동'!M$30)=0,"미확인",SUBSTITUTE(TEXT('2_개행동'!M$30,"+0;-0;0"),"-","−")),"보류")&amp;"  /  꼬리 기준대비 입장 "&amp;IF(COUNT($BL9)=0,"미확인",SUBSTITUTE(TEXT($BL9,"+0;-0;0"),"-","−"))&amp;" · 바닥 "&amp;IF(COUNT($AP9)=0,"미확인",SUBSTITUTE(TEXT($AP9,"+0;-0;0"),"-","−"))&amp;" · 물건 "&amp;IF(COUNT($BR9)=0,"미확인",SUBSTITUTE(TEXT($BR9,"+0;-0;0"),"-","−"))&amp;"  /  긴장 신호 "&amp;IF(COUNT('1_바디시그널'!M$14,'1_바디시그널'!M$15,'1_바디시그널'!M$16)=0,"미확인",TEXT(SUM('1_바디시그널'!M$14,'1_바디시그널'!M$15,'1_바디시그널'!M$16),"0")&amp;"회")&amp;"  /  냄새 "&amp;IF(COUNT('2_개행동'!M$7)=0,"미확인",IF('2_개행동'!M$7=0,"씀","안 씀"))</f>
        <v>문 미확인 · 바닥 미확인 · 물건 보류  /  꼬리 기준대비 입장 미확인 · 바닥 미확인 · 물건 미확인  /  긴장 신호 미확인  /  냄새 미확인</v>
      </c>
      <c r="CA9" s="37" t="str">
        <f>IF(AND('6_행사전문가의견'!E88="완료",OR('6_행사전문가의견'!B90="주저함 · 거리를 벌림",'6_행사전문가의견'!B90="뚜렷한 치우침 없음",'6_행사전문가의견'!B90="살피지 않고 들이닥침",'6_행사전문가의견'!B90="자극에 따라 다름",'6_행사전문가의견'!B90="판단보류"),LEN(TRIM('6_행사전문가의견'!B91&amp;""))&gt;0),'6_행사전문가의견'!B90,"")</f>
        <v/>
      </c>
      <c r="CB9" s="37" t="str">
        <f>IF(AND('6_행사전문가의견'!E88="완료",OR('6_행사전문가의견'!B90="주저함 · 거리를 벌림",'6_행사전문가의견'!B90="뚜렷한 치우침 없음",'6_행사전문가의견'!B90="살피지 않고 들이닥침",'6_행사전문가의견'!B90="자극에 따라 다름",'6_행사전문가의견'!B90="판단보류"),LEN(TRIM('6_행사전문가의견'!B91&amp;""))&gt;0),'6_행사전문가의견'!B91,"")</f>
        <v/>
      </c>
      <c r="CC9" s="37" t="str">
        <f t="shared" si="7"/>
        <v>자료 부족</v>
      </c>
      <c r="CD9" s="38" t="str">
        <f>IF('6_행사전문가의견'!E88&lt;&gt;"완료","",IF(LEN(TRIM('6_행사전문가의견'!D81&amp;""))=0,"",'6_행사전문가의견'!D81))</f>
        <v/>
      </c>
      <c r="CE9" s="38" t="str">
        <f>IF('6_행사전문가의견'!E88&lt;&gt;"완료","",IF(LEN(TRIM('6_행사전문가의견'!D82&amp;""))=0,"",'6_행사전문가의견'!D82))</f>
        <v/>
      </c>
      <c r="CF9" s="38" t="str">
        <f>IF('6_행사전문가의견'!E88&lt;&gt;"완료","",IF(LEN(TRIM('6_행사전문가의견'!D83&amp;""))=0,"",'6_행사전문가의견'!D83))</f>
        <v/>
      </c>
      <c r="CG9" s="38" t="str">
        <f>IF('6_행사전문가의견'!E88&lt;&gt;"완료","",IF(LEN(TRIM('6_행사전문가의견'!D85&amp;""))=0,"",'6_행사전문가의견'!D85))</f>
        <v/>
      </c>
      <c r="CH9" s="38" t="str">
        <f>IF('6_행사전문가의견'!E88&lt;&gt;"완료","",IF(LEN(TRIM('6_행사전문가의견'!D87&amp;""))=0,"",'6_행사전문가의견'!D87))</f>
        <v/>
      </c>
      <c r="CI9" s="38" t="str">
        <f>IF('6_행사전문가의견'!E88&lt;&gt;"완료","",IF(LEN(TRIM('6_행사전문가의견'!C79&amp;""))=0,"",'6_행사전문가의견'!C79))</f>
        <v/>
      </c>
      <c r="CJ9" s="38" t="str">
        <f>'6_행사전문가의견'!E88</f>
        <v>미작성</v>
      </c>
      <c r="CK9" s="37" t="str">
        <f>'2_개행동'!M60</f>
        <v>미채점</v>
      </c>
      <c r="CL9" s="40" t="str">
        <f>IF(LEN(TRIM(CD9&amp;""))&gt;0,CD9,"분리 초기: "&amp;IF(COUNT('2_개행동'!M$9)=0,"자료 부족",INDEX('2_개행동'!$C$9:$G$9,1,'2_개행동'!M$9+3))&amp;" / 분리 이후: "&amp;IF(COUNT('2_개행동'!M$10)=0,"자료 부족",INDEX('2_개행동'!$C$10:$G$10,1,'2_개행동'!M$10+3))&amp;" / 변화: "&amp;CK9&amp;" / 분리·재회·무시 보조: "&amp;BK9&amp;" / 재회·무시 패턴: "&amp;AU9&amp;IF(M9="미판정",""," / 기본 유형: "&amp;M9&amp;IF(LEN(TRIM(BG9&amp;""))&gt;0," / 근거: "&amp;BG9,"")))</f>
        <v>분리 초기: 자료 부족 / 분리 이후: 자료 부족 / 변화: 미채점 / 분리·재회·무시 보조: 조건 미확인 / 재회·무시 패턴: 조건 미확인</v>
      </c>
      <c r="CM9" s="40" t="str">
        <f>IF(LEN(TRIM(CE9&amp;""))&gt;0,CE9,IF(LEN(TRIM(AQ9&amp;""))=0,"",AQ9&amp;IF(LEN(TRIM(AR9&amp;""))&gt;0,". "&amp;AR9,IF(COUNT('3_보호자행동'!P54)=0," (자동 초안 · 근거 비율 미산출)"," (자동 초안 · 허용 "&amp;TEXT('3_보호자행동'!P54,"0.00")&amp;" / 조율 "&amp;TEXT('3_보호자행동'!Q54,"0.00")&amp;" / 통제 "&amp;TEXT('3_보호자행동'!R54,"0.00")&amp;")"))))</f>
        <v>판정보류 (자동 초안 · 근거 비율 미산출)</v>
      </c>
      <c r="CN9" s="40" t="str">
        <f t="shared" si="8"/>
        <v>자료 부족</v>
      </c>
      <c r="CO9" s="40" t="str">
        <f t="shared" si="9"/>
        <v>조건 미확인</v>
      </c>
      <c r="CP9" s="40" t="str">
        <f t="shared" si="10"/>
        <v/>
      </c>
      <c r="CQ9" s="40" t="str">
        <f>IF('6_행사전문가의견'!E88&lt;&gt;"완료","",IF(LEN(TRIM('6_행사전문가의견'!D84&amp;""))=0,"",'6_행사전문가의견'!D84))</f>
        <v/>
      </c>
      <c r="CR9" s="40" t="str">
        <f>IF('6_행사전문가의견'!E88&lt;&gt;"완료","",IF(LEN(TRIM('6_행사전문가의견'!D86&amp;""))=0,"",'6_행사전문가의견'!D86))</f>
        <v/>
      </c>
      <c r="CS9" s="40" t="str">
        <f t="shared" si="11"/>
        <v/>
      </c>
      <c r="CT9" s="40" t="str">
        <f t="shared" si="12"/>
        <v/>
      </c>
      <c r="CU9" s="37" t="str">
        <f>IF(LEN(TRIM('3_보호자행동'!U54&amp;""))=0,"",'3_보호자행동'!U54)</f>
        <v>자동 초안</v>
      </c>
    </row>
    <row r="10" spans="1:99" ht="81.95" customHeight="1" x14ac:dyDescent="0.3">
      <c r="A10" s="16">
        <v>5</v>
      </c>
      <c r="B10" s="16"/>
      <c r="C10" s="16"/>
      <c r="D10" s="50" t="str">
        <f>IF(COUNT('3_보호자행동'!N5)=0,"",'3_보호자행동'!N5)</f>
        <v/>
      </c>
      <c r="E10" s="16" t="str">
        <f>IF(COUNT('3_보호자행동'!N6)=0,"",'3_보호자행동'!N6)</f>
        <v/>
      </c>
      <c r="F10" s="16" t="str">
        <f>IF(COUNT('3_보호자행동'!N9)=0,"",'3_보호자행동'!N9)</f>
        <v/>
      </c>
      <c r="G10" s="50" t="str">
        <f>IF(AND(OR('3_보호자행동'!N14=1,'3_보호자행동'!N14=2),BC10&gt;=2),BA10/BC10,"")</f>
        <v/>
      </c>
      <c r="H10" s="16" t="str">
        <f>IF(AND(OR('3_보호자행동'!N14=1,'3_보호자행동'!N14=2),BC10&gt;=2),BB10/BC10,"")</f>
        <v/>
      </c>
      <c r="I10" s="17">
        <f t="shared" si="0"/>
        <v>0</v>
      </c>
      <c r="J10" s="16" t="str">
        <f t="shared" si="1"/>
        <v>자료 부족</v>
      </c>
      <c r="K10" s="16" t="str">
        <f t="shared" si="2"/>
        <v/>
      </c>
      <c r="L10" s="16" t="str">
        <f t="shared" si="3"/>
        <v/>
      </c>
      <c r="M10" s="16" t="str">
        <f>IF(LEN(TRIM('2_개행동'!B74&amp;""))=0,"미판정",IF(OR('2_개행동'!B74="곁에서 안심하는 사이",'2_개행동'!B74="가까이 있어도 안심이 어려운 사이",'2_개행동'!B74="거리를 두고 지내는 사이",'2_개행동'!B74="다가감과 물러섬이 함께 나오는 사이",'2_개행동'!B74="판정보류"),'2_개행동'!B74,"유형 입력 확인"))</f>
        <v>미판정</v>
      </c>
      <c r="N10" s="16" t="str">
        <f>IF(COUNT('2_개행동'!N18)=0,"",'2_개행동'!N18)</f>
        <v/>
      </c>
      <c r="O10" s="16" t="str">
        <f>IF(COUNT('2_개행동'!N47)=0,"",'2_개행동'!N47)</f>
        <v/>
      </c>
      <c r="P10" s="50" t="str">
        <f>IF(OR('3_보호자행동'!N13=1,'3_보호자행동'!N13=2),IF(COUNT('2_개행동'!N24)=0,"",'2_개행동'!N24),"")</f>
        <v/>
      </c>
      <c r="Q10" s="16" t="str">
        <f>IF(OR('3_보호자행동'!N13=1,'3_보호자행동'!N13=2),IF(COUNT('2_개행동'!N25)=0,"",'2_개행동'!N25),"")</f>
        <v/>
      </c>
      <c r="R10" s="51" t="str">
        <f t="shared" si="4"/>
        <v/>
      </c>
      <c r="S10" s="50" t="str">
        <f>IF(COUNT('2_개행동'!N28)=0,"",'2_개행동'!N28)</f>
        <v/>
      </c>
      <c r="T10" s="16" t="str">
        <f>IF(COUNT('2_개행동'!N34)=0,"",'2_개행동'!N34)</f>
        <v/>
      </c>
      <c r="U10" s="16" t="str">
        <f>IF(COUNT('2_개행동'!N50)=0,"",'2_개행동'!N50)</f>
        <v/>
      </c>
      <c r="V10" s="52" t="str">
        <f>IF(AND(COUNT('2_개행동'!N8,'2_개행동'!N23)=2,OR('3_보호자행동'!N12=1,'3_보호자행동'!N12=2)),ABS('2_개행동'!N8)-ABS('2_개행동'!N23),"")</f>
        <v/>
      </c>
      <c r="W10" s="52" t="str">
        <f>IF(COUNT('2_개행동'!N58,'2_개행동'!N18)&lt;2,"",ABS('2_개행동'!N58)-ABS('2_개행동'!N18))</f>
        <v/>
      </c>
      <c r="X10" s="52"/>
      <c r="Y10" s="16" t="str">
        <f>IF(COUNT('2_개행동'!N8)=0,"",'2_개행동'!N8)</f>
        <v/>
      </c>
      <c r="Z10" s="51" t="str">
        <f>IF(COUNT('2_개행동'!N27)=0,"",'2_개행동'!N27)</f>
        <v/>
      </c>
      <c r="AA10" s="18"/>
      <c r="AB10" s="16" t="str">
        <f>IF(COUNT('2_개행동'!N9)=0,"",'2_개행동'!N9)</f>
        <v/>
      </c>
      <c r="AC10" s="16" t="str">
        <f>IF(COUNT('2_개행동'!N10)=0,"",'2_개행동'!N10)</f>
        <v/>
      </c>
      <c r="AD10" s="16" t="str">
        <f>IF(COUNT('2_개행동'!N18)=0,"",'2_개행동'!N18)</f>
        <v/>
      </c>
      <c r="AE10" s="16" t="str">
        <f>IF(AND(COUNT('2_개행동'!N17,'2_개행동'!N19,'2_개행동'!N22)=3,OR('3_보호자행동'!N12=1,'3_보호자행동'!N12=2)),IF(COUNT('2_개행동'!N17)=0,0,MAX(0,-'2_개행동'!N17))+IF(COUNT('2_개행동'!N19)=0,0,MAX(0,-'2_개행동'!N19))+IF(COUNT('2_개행동'!N22)=0,0,MAX(0,-'2_개행동'!N22)),"")</f>
        <v/>
      </c>
      <c r="AF10" s="16" t="str">
        <f>IF(AND(COUNT('2_개행동'!N17,'2_개행동'!N19,'2_개행동'!N22)=3,OR('3_보호자행동'!N12=1,'3_보호자행동'!N12=2)),IF(COUNT('2_개행동'!N17)=0,0,MAX(0,'2_개행동'!N17))+IF(COUNT('2_개행동'!N19)=0,0,MAX(0,'2_개행동'!N19))+IF(COUNT('2_개행동'!N22)=0,0,MAX(0,'2_개행동'!N22)),"")</f>
        <v/>
      </c>
      <c r="AG10" s="40" t="str">
        <f>IF(COUNT('3_보호자행동'!N14)=0,"조건 미확인",IF('3_보호자행동'!N14=3,"조건 이탈",IF(BC10&lt;2,"자료 부족",IF(AND(BA10&gt;0,BB10&gt;0),"양방향 관찰",IF(BA10&gt;0,"−방향 관찰",IF(BB10&gt;0,"+방향 관찰","중앙범주만 관찰"))))))</f>
        <v>조건 미확인</v>
      </c>
      <c r="AH10" s="40" t="str">
        <f>IF(COUNT('3_보호자행동'!N13)=0,"조건 미확인",IF('3_보호자행동'!N13=3,"조건 이탈",IF(COUNT('2_개행동'!N24)=0,"자료 부족",CHOOSE('2_개행동'!N24+3,"−2","−1","0","+1","+2"))))</f>
        <v>조건 미확인</v>
      </c>
      <c r="AI10" s="40" t="str">
        <f>IF(COUNT('2_개행동'!N28)=0,"자료 부족",CHOOSE('2_개행동'!N28+3,"−2","−1","0","+1","+2"))</f>
        <v>자료 부족</v>
      </c>
      <c r="AJ10" s="40" t="str">
        <f>IF(COUNT('2_개행동'!N8,'2_개행동'!N14,'2_개행동'!N18,'2_개행동'!N23,'2_개행동'!N44,'2_개행동'!N52,'2_개행동'!N58)=0,"",IF(COUNT('2_개행동'!N8)=0,0,IF('2_개행동'!N8&lt;0,1,0))+IF(COUNT('2_개행동'!N14)=0,0,IF('2_개행동'!N14&lt;0,1,0))+IF(COUNT('2_개행동'!N18)=0,0,IF('2_개행동'!N18&lt;0,1,0))+IF(COUNT('2_개행동'!N23)=0,0,IF('2_개행동'!N23&lt;0,1,0))+IF(COUNT('2_개행동'!N44)=0,0,IF('2_개행동'!N44&lt;0,1,0))+IF(COUNT('2_개행동'!N52)=0,0,IF('2_개행동'!N52&lt;0,1,0))+IF(COUNT('2_개행동'!N58)=0,0,IF('2_개행동'!N58&lt;0,1,0)))</f>
        <v/>
      </c>
      <c r="AK10" s="40" t="str">
        <f>IF(COUNT('2_개행동'!N8,'2_개행동'!N14,'2_개행동'!N18,'2_개행동'!N23,'2_개행동'!N44,'2_개행동'!N52,'2_개행동'!N58)=0,"",IF(COUNT('2_개행동'!N8)=0,0,IF('2_개행동'!N8&gt;0,1,0))+IF(COUNT('2_개행동'!N14)=0,0,IF('2_개행동'!N14&gt;0,1,0))+IF(COUNT('2_개행동'!N18)=0,0,IF('2_개행동'!N18&gt;0,1,0))+IF(COUNT('2_개행동'!N23)=0,0,IF('2_개행동'!N23&gt;0,1,0))+IF(COUNT('2_개행동'!N44)=0,0,IF('2_개행동'!N44&gt;0,1,0))+IF(COUNT('2_개행동'!N52)=0,0,IF('2_개행동'!N52&gt;0,1,0))+IF(COUNT('2_개행동'!N58)=0,0,IF('2_개행동'!N58&gt;0,1,0)))</f>
        <v/>
      </c>
      <c r="AL10" s="40" t="str">
        <f>IF(COUNT('2_개행동'!N8,'2_개행동'!N14,'2_개행동'!N18,'2_개행동'!N23,'2_개행동'!N44,'2_개행동'!N52,'2_개행동'!N58)&lt;1,"자료 부족",IF(AND(AJ10&gt;0,AK10&gt;0),"양방향 관찰",IF(AJ10&gt;0,"−방향 관찰",IF(AK10&gt;0,"+방향 관찰","중앙범주만 관찰"))))</f>
        <v>자료 부족</v>
      </c>
      <c r="AM10" s="40" t="str">
        <f>IF(AND(COUNT('2_개행동'!N30,'2_개행동'!N34)=2,OR('3_보호자행동'!N14=1,'3_보호자행동'!N14=2)),IF('2_개행동'!N30='2_개행동'!N34,"같은 범주","범주 변화"),"비교 보류")</f>
        <v>비교 보류</v>
      </c>
      <c r="AN10" s="40" t="str">
        <f>IF(COUNT('2_개행동'!N5)=0,"자료 부족",CHOOSE('2_개행동'!N5+3,"−2","−1","0","+1","+2"))</f>
        <v>자료 부족</v>
      </c>
      <c r="AO10" s="40" t="str">
        <f>IF(COUNT('3_보호자행동'!N13)=0,"조건 미확인",IF('3_보호자행동'!N13=3,"조건 이탈",IF(COUNT('2_개행동'!N25)=0,"자료 부족",CHOOSE('2_개행동'!N25+3,"−2","−1","0","+1","+2"))))</f>
        <v>조건 미확인</v>
      </c>
      <c r="AP10" s="40" t="str">
        <f>IF(COUNT('1_바디시그널'!N7,'1_바디시그널'!N38)&lt;2,"",'1_바디시그널'!N7-'1_바디시그널'!N38)</f>
        <v/>
      </c>
      <c r="AQ10" s="38" t="str">
        <f>IF(LEN(TRIM('3_보호자행동'!T55&amp;""))=0,"",'3_보호자행동'!T55)</f>
        <v>판정보류</v>
      </c>
      <c r="AR10" s="38" t="str">
        <f>IF('3_보호자행동'!U55&lt;&gt;"채점자 선택","",IF(LEN(TRIM('3_보호자행동'!C55&amp;""))=0,"",'3_보호자행동'!C55))</f>
        <v/>
      </c>
      <c r="AS10" s="38" t="str">
        <f>'3_보호자행동'!I55</f>
        <v>자동 · 판정보류</v>
      </c>
      <c r="AT10" s="38" t="str">
        <f>IF('3_보호자행동'!U55="채점자 선택",'3_보호자행동'!G55,"")</f>
        <v/>
      </c>
      <c r="AU10" s="40" t="str">
        <f>IF(COUNT('3_보호자행동'!N12)=0,"조건 미확인",IF('3_보호자행동'!N12=3,"조건 이탈",IF(COUNT(AE10,AF10,'2_개행동'!N18)&lt;3,"자료 부족",IF(AND(AE10&gt;=2,AF10&gt;=2),"접촉·거리 반응 혼재",IF(ABS('2_개행동'!N18)=2,"재회 몸 상태 지속",IF(AF10&gt;=3,"거리 유지 관찰",IF(AE10&gt;=4,"접촉 유지 관찰","기준상 뚜렷한 치우침 없음")))))))</f>
        <v>조건 미확인</v>
      </c>
      <c r="AV10" s="40" t="str">
        <f>"발성량: 혼자 "&amp;IF(COUNT('2_개행동'!N11)=0,"미확인",TEXT('2_개행동'!N11,"0"))&amp;" / 재회 "&amp;IF(COUNT('2_개행동'!N47)=0,"미확인",TEXT('2_개행동'!N47,"0"))&amp;" / 무시 "&amp;IF(COUNT('2_개행동'!N48)=0,"미확인",TEXT('2_개행동'!N48,"0"))&amp;" · 접근 변화 사건 "&amp;IF(COUNT('2_개행동'!N21)=0,"미확인",TEXT('2_개행동'!N21,"0"))</f>
        <v>발성량: 혼자 미확인 / 재회 미확인 / 무시 미확인 · 접근 변화 사건 미확인</v>
      </c>
      <c r="AW10" s="40" t="str">
        <f>IF(AND(OR('3_보호자행동'!N14=1,'3_보호자행동'!N14=2),BC10&gt;=2),(IF(COUNT('2_개행동'!N5)=0,0,100-50*ABS('2_개행동'!N5))+IF(COUNT('2_개행동'!N6)=0,0,100-50*ABS('2_개행동'!N6))+IF(COUNT('2_개행동'!N30)=0,0,100-50*ABS('2_개행동'!N30)))/BC10,"")</f>
        <v/>
      </c>
      <c r="AX10" s="40" t="str">
        <f>IF(BF10&gt;=4,(IF(COUNT('2_개행동'!N13)=0,0,100-50*ABS('2_개행동'!N13))+IF(COUNT('2_개행동'!N14)=0,0,100-50*ABS('2_개행동'!N14))+IF(COUNT('2_개행동'!N15)=0,0,100-50*ABS('2_개행동'!N15))+IF(COUNT('2_개행동'!N51)=0,0,100-50*ABS('2_개행동'!N51))+IF(COUNT('2_개행동'!N52)=0,0,100-50*ABS('2_개행동'!N52))+IF(COUNT('2_개행동'!N54)=0,0,100-50*ABS('2_개행동'!N54))+IF(COUNT('2_개행동'!N55)=0,0,100-50*ABS('2_개행동'!N55)))/BF10,"")</f>
        <v/>
      </c>
      <c r="AY10" s="40" t="str">
        <f t="shared" si="5"/>
        <v/>
      </c>
      <c r="AZ10" s="40" t="str">
        <f>IF(COUNT('2_개행동'!N48)=0,"",'2_개행동'!N48)</f>
        <v/>
      </c>
      <c r="BA10" s="40" t="str">
        <f>IF(COUNT('2_개행동'!N5,'2_개행동'!N6,'2_개행동'!N30)=0,"",IF(COUNT('2_개행동'!N5)=0,0,MAX(0,-'2_개행동'!N5))+IF(COUNT('2_개행동'!N6)=0,0,MAX(0,-'2_개행동'!N6))+IF(COUNT('2_개행동'!N30)=0,0,MAX(0,-'2_개행동'!N30)))</f>
        <v/>
      </c>
      <c r="BB10" s="40" t="str">
        <f>IF(COUNT('2_개행동'!N5,'2_개행동'!N6,'2_개행동'!N30)=0,"",IF(COUNT('2_개행동'!N5)=0,0,MAX(0,'2_개행동'!N5))+IF(COUNT('2_개행동'!N6)=0,0,MAX(0,'2_개행동'!N6))+IF(COUNT('2_개행동'!N30)=0,0,MAX(0,'2_개행동'!N30)))</f>
        <v/>
      </c>
      <c r="BC10" s="40">
        <f>COUNT('2_개행동'!N5,'2_개행동'!N6,'2_개행동'!N30)</f>
        <v>0</v>
      </c>
      <c r="BD10" s="40" t="str">
        <f>IF(COUNT('2_개행동'!N13,'2_개행동'!N14,'2_개행동'!N15,'2_개행동'!N51,'2_개행동'!N52,'2_개행동'!N54,'2_개행동'!N55)=0,"",IF(COUNT('2_개행동'!N13)=0,0,MAX(0,-'2_개행동'!N13))+IF(COUNT('2_개행동'!N14)=0,0,MAX(0,-'2_개행동'!N14))+IF(COUNT('2_개행동'!N15)=0,0,MAX(0,-'2_개행동'!N15))+IF(COUNT('2_개행동'!N51)=0,0,MAX(0,-'2_개행동'!N51))+IF(COUNT('2_개행동'!N52)=0,0,MAX(0,-'2_개행동'!N52))+IF(COUNT('2_개행동'!N54)=0,0,MAX(0,-'2_개행동'!N54))+IF(COUNT('2_개행동'!N55)=0,0,MAX(0,-'2_개행동'!N55)))</f>
        <v/>
      </c>
      <c r="BE10" s="40" t="str">
        <f>IF(COUNT('2_개행동'!N13,'2_개행동'!N14,'2_개행동'!N15,'2_개행동'!N51,'2_개행동'!N52,'2_개행동'!N54,'2_개행동'!N55)=0,"",IF(COUNT('2_개행동'!N13)=0,0,MAX(0,'2_개행동'!N13))+IF(COUNT('2_개행동'!N14)=0,0,MAX(0,'2_개행동'!N14))+IF(COUNT('2_개행동'!N15)=0,0,MAX(0,'2_개행동'!N15))+IF(COUNT('2_개행동'!N51)=0,0,MAX(0,'2_개행동'!N51))+IF(COUNT('2_개행동'!N52)=0,0,MAX(0,'2_개행동'!N52))+IF(COUNT('2_개행동'!N54)=0,0,MAX(0,'2_개행동'!N54))+IF(COUNT('2_개행동'!N55)=0,0,MAX(0,'2_개행동'!N55)))</f>
        <v/>
      </c>
      <c r="BF10" s="40">
        <f>COUNT('2_개행동'!N13,'2_개행동'!N14,'2_개행동'!N15,'2_개행동'!N51,'2_개행동'!N52,'2_개행동'!N54,'2_개행동'!N55)</f>
        <v>0</v>
      </c>
      <c r="BG10" s="38" t="str">
        <f>IF(LEN(TRIM('2_개행동'!C74&amp;""))=0,"",'2_개행동'!C74)</f>
        <v/>
      </c>
      <c r="BH10" s="38" t="str">
        <f>IF(LEN(TRIM('2_개행동'!G74&amp;""))=0,"",'2_개행동'!G74)</f>
        <v/>
      </c>
      <c r="BI10" s="38" t="str">
        <f>'2_개행동'!I74</f>
        <v>미판정</v>
      </c>
      <c r="BJ10" s="38" t="str">
        <f>IF(M10="미판정","애착유형 미판정",IF(M10="유형 입력 확인","유형 입력을 확인해 주세요.",IF(LEN(TRIM(BG10&amp;""))=0,IF(M10="판정보류","판정보류 사유를 입력해 주세요.","관찰 근거 미기록: 유형 설명 보류"),IF(M10="곁에서 안심하는 사이",성향문장!C49,IF(M10="가까이 있어도 안심이 어려운 사이",성향문장!C50,IF(M10="거리를 두고 지내는 사이",성향문장!C51,IF(M10="다가감과 물러섬이 함께 나오는 사이",성향문장!C52,성향문장!C53)))))))</f>
        <v>애착유형 미판정</v>
      </c>
      <c r="BK10" s="37" t="str">
        <f>IF(COUNT('3_보호자행동'!N12)=0,"조건 미확인",IF('3_보호자행동'!N12=3,"조건 이탈",IF(COUNT('2_개행동'!N9,'2_개행동'!N17,'2_개행동'!N18,'2_개행동'!N19,'2_개행동'!N22)&lt;5,"자료 부족",IF(N('2_개행동'!N21)&gt;=2,"접근이 여러 번 바뀜 — 한 서술로 묶지 않음",IF(AND($AE10&gt;=2,$AF10&gt;=2),"섞여 있음",IF(-'2_개행동'!N9&gt;=1,IF(ABS('2_개행동'!N18)&lt;=1,IF($AF10&gt;=$AE10,"없을 때 흔들 → 있을 때 가라앉고 자기 일","없을 때 흔들 → 있을 때 가라앉고 곁에 붙음"),"없을 때 흔들 → 있을 때도 못 가라앉음"),IF($AE10&gt;=2,"없을 때 담담 → 있을 때 곁에 붙음","없을 때도 있을 때도 비슷")))))))</f>
        <v>조건 미확인</v>
      </c>
      <c r="BL10" s="37" t="str">
        <f>IF(OR(COUNT('1_바디시그널'!N$5)=0,COUNT('1_바디시그널'!N$38)=0),"",'1_바디시그널'!N$5-'1_바디시그널'!N$38)</f>
        <v/>
      </c>
      <c r="BM10" s="37" t="str">
        <f>IF(OR(COUNT('1_바디시그널'!N$9)=0,COUNT('1_바디시그널'!N$38)=0),"",'1_바디시그널'!N$9-'1_바디시그널'!N$38)</f>
        <v/>
      </c>
      <c r="BN10" s="37" t="str">
        <f>IF(OR(COUNT('1_바디시그널'!N$11)=0,COUNT('1_바디시그널'!N$38)=0),"",'1_바디시그널'!N$11-'1_바디시그널'!N$38)</f>
        <v/>
      </c>
      <c r="BO10" s="37" t="str">
        <f>IF(OR(COUNT('1_바디시그널'!N$13)=0,COUNT('1_바디시그널'!N$38)=0),"",'1_바디시그널'!N$13-'1_바디시그널'!N$38)</f>
        <v/>
      </c>
      <c r="BP10" s="37" t="str">
        <f>IF(OR(COUNT('1_바디시그널'!N$39)=0,COUNT('1_바디시그널'!N$38)=0),"",'1_바디시그널'!N$39-'1_바디시그널'!N$38)</f>
        <v/>
      </c>
      <c r="BQ10" s="37" t="str">
        <f>IF(OR(COUNT('1_바디시그널'!N$43)=0,COUNT('1_바디시그널'!N$38)=0),"",'1_바디시그널'!N$43-'1_바디시그널'!N$38)</f>
        <v/>
      </c>
      <c r="BR10" s="37" t="str">
        <f>IF(OR(COUNT('1_바디시그널'!N$44)=0,COUNT('1_바디시그널'!N$38)=0),"",'1_바디시그널'!N$44-'1_바디시그널'!N$38)</f>
        <v/>
      </c>
      <c r="BS10" s="37" t="str">
        <f>IF(OR(COUNT('1_바디시그널'!N$45)=0,COUNT('1_바디시그널'!N$38)=0),"",'1_바디시그널'!N$45-'1_바디시그널'!N$38)</f>
        <v/>
      </c>
      <c r="BT10" s="37" t="str">
        <f>IF(OR(COUNT('1_바디시그널'!N$41)=0,COUNT('1_바디시그널'!N$40)=0),"",'1_바디시그널'!N$41-'1_바디시그널'!N$40)</f>
        <v/>
      </c>
      <c r="BU10" s="37" t="str">
        <f>IF(OR(COUNT('1_바디시그널'!N$42)=0,COUNT('1_바디시그널'!N$40)=0),"",'1_바디시그널'!N$42-'1_바디시그널'!N$40)</f>
        <v/>
      </c>
      <c r="BV10" s="37">
        <f>N('2_개행동'!N$5&lt;=-1)+N('2_개행동'!N$6&lt;=-1)+IF(AND(COUNT('2_개행동'!N$30)=1,COUNT('3_보호자행동'!N$14)=1,'3_보호자행동'!N$14&lt;=2),N('2_개행동'!N$30&lt;=-1),0)</f>
        <v>0</v>
      </c>
      <c r="BW10" s="37">
        <f>N('2_개행동'!N$5&gt;=1)+N('2_개행동'!N$6&gt;=1)+IF(AND(COUNT('2_개행동'!N$30)=1,COUNT('3_보호자행동'!N$14)=1,'3_보호자행동'!N$14&lt;=2),N('2_개행동'!N$30&gt;=1),0)</f>
        <v>0</v>
      </c>
      <c r="BX10" s="37">
        <f>COUNT('2_개행동'!N$5,'2_개행동'!N$6)+IF(AND(COUNT('2_개행동'!N$30)=1,COUNT('3_보호자행동'!N$14)=1,'3_보호자행동'!N$14&lt;=2),1,0)</f>
        <v>0</v>
      </c>
      <c r="BY10" s="37" t="str">
        <f t="shared" si="6"/>
        <v>자료 부족</v>
      </c>
      <c r="BZ10" s="37" t="str">
        <f>"문 "&amp;IF(COUNT('2_개행동'!N$5)=0,"미확인",SUBSTITUTE(TEXT('2_개행동'!N$5,"+0;-0;0"),"-","−"))&amp;" · 바닥 "&amp;IF(COUNT('2_개행동'!N$6)=0,"미확인",SUBSTITUTE(TEXT('2_개행동'!N$6,"+0;-0;0"),"-","−"))&amp;" · 물건 "&amp;IF(AND(COUNT('2_개행동'!N$30)=1,COUNT('3_보호자행동'!N$14)=1,'3_보호자행동'!N$14&lt;=2),IF(COUNT('2_개행동'!N$30)=0,"미확인",SUBSTITUTE(TEXT('2_개행동'!N$30,"+0;-0;0"),"-","−")),"보류")&amp;"  /  꼬리 기준대비 입장 "&amp;IF(COUNT($BL10)=0,"미확인",SUBSTITUTE(TEXT($BL10,"+0;-0;0"),"-","−"))&amp;" · 바닥 "&amp;IF(COUNT($AP10)=0,"미확인",SUBSTITUTE(TEXT($AP10,"+0;-0;0"),"-","−"))&amp;" · 물건 "&amp;IF(COUNT($BR10)=0,"미확인",SUBSTITUTE(TEXT($BR10,"+0;-0;0"),"-","−"))&amp;"  /  긴장 신호 "&amp;IF(COUNT('1_바디시그널'!N$14,'1_바디시그널'!N$15,'1_바디시그널'!N$16)=0,"미확인",TEXT(SUM('1_바디시그널'!N$14,'1_바디시그널'!N$15,'1_바디시그널'!N$16),"0")&amp;"회")&amp;"  /  냄새 "&amp;IF(COUNT('2_개행동'!N$7)=0,"미확인",IF('2_개행동'!N$7=0,"씀","안 씀"))</f>
        <v>문 미확인 · 바닥 미확인 · 물건 보류  /  꼬리 기준대비 입장 미확인 · 바닥 미확인 · 물건 미확인  /  긴장 신호 미확인  /  냄새 미확인</v>
      </c>
      <c r="CA10" s="37" t="str">
        <f>IF(AND('6_행사전문가의견'!E104="완료",OR('6_행사전문가의견'!B106="주저함 · 거리를 벌림",'6_행사전문가의견'!B106="뚜렷한 치우침 없음",'6_행사전문가의견'!B106="살피지 않고 들이닥침",'6_행사전문가의견'!B106="자극에 따라 다름",'6_행사전문가의견'!B106="판단보류"),LEN(TRIM('6_행사전문가의견'!B107&amp;""))&gt;0),'6_행사전문가의견'!B106,"")</f>
        <v/>
      </c>
      <c r="CB10" s="37" t="str">
        <f>IF(AND('6_행사전문가의견'!E104="완료",OR('6_행사전문가의견'!B106="주저함 · 거리를 벌림",'6_행사전문가의견'!B106="뚜렷한 치우침 없음",'6_행사전문가의견'!B106="살피지 않고 들이닥침",'6_행사전문가의견'!B106="자극에 따라 다름",'6_행사전문가의견'!B106="판단보류"),LEN(TRIM('6_행사전문가의견'!B107&amp;""))&gt;0),'6_행사전문가의견'!B107,"")</f>
        <v/>
      </c>
      <c r="CC10" s="37" t="str">
        <f t="shared" si="7"/>
        <v>자료 부족</v>
      </c>
      <c r="CD10" s="38" t="str">
        <f>IF('6_행사전문가의견'!E104&lt;&gt;"완료","",IF(LEN(TRIM('6_행사전문가의견'!D97&amp;""))=0,"",'6_행사전문가의견'!D97))</f>
        <v/>
      </c>
      <c r="CE10" s="38" t="str">
        <f>IF('6_행사전문가의견'!E104&lt;&gt;"완료","",IF(LEN(TRIM('6_행사전문가의견'!D98&amp;""))=0,"",'6_행사전문가의견'!D98))</f>
        <v/>
      </c>
      <c r="CF10" s="38" t="str">
        <f>IF('6_행사전문가의견'!E104&lt;&gt;"완료","",IF(LEN(TRIM('6_행사전문가의견'!D99&amp;""))=0,"",'6_행사전문가의견'!D99))</f>
        <v/>
      </c>
      <c r="CG10" s="38" t="str">
        <f>IF('6_행사전문가의견'!E104&lt;&gt;"완료","",IF(LEN(TRIM('6_행사전문가의견'!D101&amp;""))=0,"",'6_행사전문가의견'!D101))</f>
        <v/>
      </c>
      <c r="CH10" s="38" t="str">
        <f>IF('6_행사전문가의견'!E104&lt;&gt;"완료","",IF(LEN(TRIM('6_행사전문가의견'!D103&amp;""))=0,"",'6_행사전문가의견'!D103))</f>
        <v/>
      </c>
      <c r="CI10" s="38" t="str">
        <f>IF('6_행사전문가의견'!E104&lt;&gt;"완료","",IF(LEN(TRIM('6_행사전문가의견'!C95&amp;""))=0,"",'6_행사전문가의견'!C95))</f>
        <v/>
      </c>
      <c r="CJ10" s="38" t="str">
        <f>'6_행사전문가의견'!E104</f>
        <v>미작성</v>
      </c>
      <c r="CK10" s="37" t="str">
        <f>'2_개행동'!N60</f>
        <v>미채점</v>
      </c>
      <c r="CL10" s="40" t="str">
        <f>IF(LEN(TRIM(CD10&amp;""))&gt;0,CD10,"분리 초기: "&amp;IF(COUNT('2_개행동'!N$9)=0,"자료 부족",INDEX('2_개행동'!$C$9:$G$9,1,'2_개행동'!N$9+3))&amp;" / 분리 이후: "&amp;IF(COUNT('2_개행동'!N$10)=0,"자료 부족",INDEX('2_개행동'!$C$10:$G$10,1,'2_개행동'!N$10+3))&amp;" / 변화: "&amp;CK10&amp;" / 분리·재회·무시 보조: "&amp;BK10&amp;" / 재회·무시 패턴: "&amp;AU10&amp;IF(M10="미판정",""," / 기본 유형: "&amp;M10&amp;IF(LEN(TRIM(BG10&amp;""))&gt;0," / 근거: "&amp;BG10,"")))</f>
        <v>분리 초기: 자료 부족 / 분리 이후: 자료 부족 / 변화: 미채점 / 분리·재회·무시 보조: 조건 미확인 / 재회·무시 패턴: 조건 미확인</v>
      </c>
      <c r="CM10" s="40" t="str">
        <f>IF(LEN(TRIM(CE10&amp;""))&gt;0,CE10,IF(LEN(TRIM(AQ10&amp;""))=0,"",AQ10&amp;IF(LEN(TRIM(AR10&amp;""))&gt;0,". "&amp;AR10,IF(COUNT('3_보호자행동'!P55)=0," (자동 초안 · 근거 비율 미산출)"," (자동 초안 · 허용 "&amp;TEXT('3_보호자행동'!P55,"0.00")&amp;" / 조율 "&amp;TEXT('3_보호자행동'!Q55,"0.00")&amp;" / 통제 "&amp;TEXT('3_보호자행동'!R55,"0.00")&amp;")"))))</f>
        <v>판정보류 (자동 초안 · 근거 비율 미산출)</v>
      </c>
      <c r="CN10" s="40" t="str">
        <f t="shared" si="8"/>
        <v>자료 부족</v>
      </c>
      <c r="CO10" s="40" t="str">
        <f t="shared" si="9"/>
        <v>조건 미확인</v>
      </c>
      <c r="CP10" s="40" t="str">
        <f t="shared" si="10"/>
        <v/>
      </c>
      <c r="CQ10" s="40" t="str">
        <f>IF('6_행사전문가의견'!E104&lt;&gt;"완료","",IF(LEN(TRIM('6_행사전문가의견'!D100&amp;""))=0,"",'6_행사전문가의견'!D100))</f>
        <v/>
      </c>
      <c r="CR10" s="40" t="str">
        <f>IF('6_행사전문가의견'!E104&lt;&gt;"완료","",IF(LEN(TRIM('6_행사전문가의견'!D102&amp;""))=0,"",'6_행사전문가의견'!D102))</f>
        <v/>
      </c>
      <c r="CS10" s="40" t="str">
        <f t="shared" si="11"/>
        <v/>
      </c>
      <c r="CT10" s="40" t="str">
        <f t="shared" si="12"/>
        <v/>
      </c>
      <c r="CU10" s="37" t="str">
        <f>IF(LEN(TRIM('3_보호자행동'!U55&amp;""))=0,"",'3_보호자행동'!U55)</f>
        <v>자동 초안</v>
      </c>
    </row>
    <row r="11" spans="1:99" ht="81.95" customHeight="1" x14ac:dyDescent="0.3">
      <c r="A11" s="16">
        <v>6</v>
      </c>
      <c r="B11" s="16"/>
      <c r="C11" s="16"/>
      <c r="D11" s="50" t="str">
        <f>IF(COUNT('3_보호자행동'!O5)=0,"",'3_보호자행동'!O5)</f>
        <v/>
      </c>
      <c r="E11" s="16" t="str">
        <f>IF(COUNT('3_보호자행동'!O6)=0,"",'3_보호자행동'!O6)</f>
        <v/>
      </c>
      <c r="F11" s="16" t="str">
        <f>IF(COUNT('3_보호자행동'!O9)=0,"",'3_보호자행동'!O9)</f>
        <v/>
      </c>
      <c r="G11" s="50" t="str">
        <f>IF(AND(OR('3_보호자행동'!O14=1,'3_보호자행동'!O14=2),BC11&gt;=2),BA11/BC11,"")</f>
        <v/>
      </c>
      <c r="H11" s="16" t="str">
        <f>IF(AND(OR('3_보호자행동'!O14=1,'3_보호자행동'!O14=2),BC11&gt;=2),BB11/BC11,"")</f>
        <v/>
      </c>
      <c r="I11" s="17">
        <f t="shared" si="0"/>
        <v>0</v>
      </c>
      <c r="J11" s="16" t="str">
        <f t="shared" si="1"/>
        <v>자료 부족</v>
      </c>
      <c r="K11" s="16" t="str">
        <f t="shared" si="2"/>
        <v/>
      </c>
      <c r="L11" s="16" t="str">
        <f t="shared" si="3"/>
        <v/>
      </c>
      <c r="M11" s="16" t="str">
        <f>IF(LEN(TRIM('2_개행동'!B75&amp;""))=0,"미판정",IF(OR('2_개행동'!B75="곁에서 안심하는 사이",'2_개행동'!B75="가까이 있어도 안심이 어려운 사이",'2_개행동'!B75="거리를 두고 지내는 사이",'2_개행동'!B75="다가감과 물러섬이 함께 나오는 사이",'2_개행동'!B75="판정보류"),'2_개행동'!B75,"유형 입력 확인"))</f>
        <v>미판정</v>
      </c>
      <c r="N11" s="16" t="str">
        <f>IF(COUNT('2_개행동'!O18)=0,"",'2_개행동'!O18)</f>
        <v/>
      </c>
      <c r="O11" s="16" t="str">
        <f>IF(COUNT('2_개행동'!O47)=0,"",'2_개행동'!O47)</f>
        <v/>
      </c>
      <c r="P11" s="50" t="str">
        <f>IF(OR('3_보호자행동'!O13=1,'3_보호자행동'!O13=2),IF(COUNT('2_개행동'!O24)=0,"",'2_개행동'!O24),"")</f>
        <v/>
      </c>
      <c r="Q11" s="16" t="str">
        <f>IF(OR('3_보호자행동'!O13=1,'3_보호자행동'!O13=2),IF(COUNT('2_개행동'!O25)=0,"",'2_개행동'!O25),"")</f>
        <v/>
      </c>
      <c r="R11" s="51" t="str">
        <f t="shared" si="4"/>
        <v/>
      </c>
      <c r="S11" s="50" t="str">
        <f>IF(COUNT('2_개행동'!O28)=0,"",'2_개행동'!O28)</f>
        <v/>
      </c>
      <c r="T11" s="16" t="str">
        <f>IF(COUNT('2_개행동'!O34)=0,"",'2_개행동'!O34)</f>
        <v/>
      </c>
      <c r="U11" s="16" t="str">
        <f>IF(COUNT('2_개행동'!O50)=0,"",'2_개행동'!O50)</f>
        <v/>
      </c>
      <c r="V11" s="52" t="str">
        <f>IF(AND(COUNT('2_개행동'!O8,'2_개행동'!O23)=2,OR('3_보호자행동'!O12=1,'3_보호자행동'!O12=2)),ABS('2_개행동'!O8)-ABS('2_개행동'!O23),"")</f>
        <v/>
      </c>
      <c r="W11" s="52" t="str">
        <f>IF(COUNT('2_개행동'!O58,'2_개행동'!O18)&lt;2,"",ABS('2_개행동'!O58)-ABS('2_개행동'!O18))</f>
        <v/>
      </c>
      <c r="X11" s="52"/>
      <c r="Y11" s="16" t="str">
        <f>IF(COUNT('2_개행동'!O8)=0,"",'2_개행동'!O8)</f>
        <v/>
      </c>
      <c r="Z11" s="51" t="str">
        <f>IF(COUNT('2_개행동'!O27)=0,"",'2_개행동'!O27)</f>
        <v/>
      </c>
      <c r="AA11" s="18"/>
      <c r="AB11" s="16" t="str">
        <f>IF(COUNT('2_개행동'!O9)=0,"",'2_개행동'!O9)</f>
        <v/>
      </c>
      <c r="AC11" s="16" t="str">
        <f>IF(COUNT('2_개행동'!O10)=0,"",'2_개행동'!O10)</f>
        <v/>
      </c>
      <c r="AD11" s="16" t="str">
        <f>IF(COUNT('2_개행동'!O18)=0,"",'2_개행동'!O18)</f>
        <v/>
      </c>
      <c r="AE11" s="16" t="str">
        <f>IF(AND(COUNT('2_개행동'!O17,'2_개행동'!O19,'2_개행동'!O22)=3,OR('3_보호자행동'!O12=1,'3_보호자행동'!O12=2)),IF(COUNT('2_개행동'!O17)=0,0,MAX(0,-'2_개행동'!O17))+IF(COUNT('2_개행동'!O19)=0,0,MAX(0,-'2_개행동'!O19))+IF(COUNT('2_개행동'!O22)=0,0,MAX(0,-'2_개행동'!O22)),"")</f>
        <v/>
      </c>
      <c r="AF11" s="16" t="str">
        <f>IF(AND(COUNT('2_개행동'!O17,'2_개행동'!O19,'2_개행동'!O22)=3,OR('3_보호자행동'!O12=1,'3_보호자행동'!O12=2)),IF(COUNT('2_개행동'!O17)=0,0,MAX(0,'2_개행동'!O17))+IF(COUNT('2_개행동'!O19)=0,0,MAX(0,'2_개행동'!O19))+IF(COUNT('2_개행동'!O22)=0,0,MAX(0,'2_개행동'!O22)),"")</f>
        <v/>
      </c>
      <c r="AG11" s="40" t="str">
        <f>IF(COUNT('3_보호자행동'!O14)=0,"조건 미확인",IF('3_보호자행동'!O14=3,"조건 이탈",IF(BC11&lt;2,"자료 부족",IF(AND(BA11&gt;0,BB11&gt;0),"양방향 관찰",IF(BA11&gt;0,"−방향 관찰",IF(BB11&gt;0,"+방향 관찰","중앙범주만 관찰"))))))</f>
        <v>조건 미확인</v>
      </c>
      <c r="AH11" s="40" t="str">
        <f>IF(COUNT('3_보호자행동'!O13)=0,"조건 미확인",IF('3_보호자행동'!O13=3,"조건 이탈",IF(COUNT('2_개행동'!O24)=0,"자료 부족",CHOOSE('2_개행동'!O24+3,"−2","−1","0","+1","+2"))))</f>
        <v>조건 미확인</v>
      </c>
      <c r="AI11" s="40" t="str">
        <f>IF(COUNT('2_개행동'!O28)=0,"자료 부족",CHOOSE('2_개행동'!O28+3,"−2","−1","0","+1","+2"))</f>
        <v>자료 부족</v>
      </c>
      <c r="AJ11" s="40" t="str">
        <f>IF(COUNT('2_개행동'!O8,'2_개행동'!O14,'2_개행동'!O18,'2_개행동'!O23,'2_개행동'!O44,'2_개행동'!O52,'2_개행동'!O58)=0,"",IF(COUNT('2_개행동'!O8)=0,0,IF('2_개행동'!O8&lt;0,1,0))+IF(COUNT('2_개행동'!O14)=0,0,IF('2_개행동'!O14&lt;0,1,0))+IF(COUNT('2_개행동'!O18)=0,0,IF('2_개행동'!O18&lt;0,1,0))+IF(COUNT('2_개행동'!O23)=0,0,IF('2_개행동'!O23&lt;0,1,0))+IF(COUNT('2_개행동'!O44)=0,0,IF('2_개행동'!O44&lt;0,1,0))+IF(COUNT('2_개행동'!O52)=0,0,IF('2_개행동'!O52&lt;0,1,0))+IF(COUNT('2_개행동'!O58)=0,0,IF('2_개행동'!O58&lt;0,1,0)))</f>
        <v/>
      </c>
      <c r="AK11" s="40" t="str">
        <f>IF(COUNT('2_개행동'!O8,'2_개행동'!O14,'2_개행동'!O18,'2_개행동'!O23,'2_개행동'!O44,'2_개행동'!O52,'2_개행동'!O58)=0,"",IF(COUNT('2_개행동'!O8)=0,0,IF('2_개행동'!O8&gt;0,1,0))+IF(COUNT('2_개행동'!O14)=0,0,IF('2_개행동'!O14&gt;0,1,0))+IF(COUNT('2_개행동'!O18)=0,0,IF('2_개행동'!O18&gt;0,1,0))+IF(COUNT('2_개행동'!O23)=0,0,IF('2_개행동'!O23&gt;0,1,0))+IF(COUNT('2_개행동'!O44)=0,0,IF('2_개행동'!O44&gt;0,1,0))+IF(COUNT('2_개행동'!O52)=0,0,IF('2_개행동'!O52&gt;0,1,0))+IF(COUNT('2_개행동'!O58)=0,0,IF('2_개행동'!O58&gt;0,1,0)))</f>
        <v/>
      </c>
      <c r="AL11" s="40" t="str">
        <f>IF(COUNT('2_개행동'!O8,'2_개행동'!O14,'2_개행동'!O18,'2_개행동'!O23,'2_개행동'!O44,'2_개행동'!O52,'2_개행동'!O58)&lt;1,"자료 부족",IF(AND(AJ11&gt;0,AK11&gt;0),"양방향 관찰",IF(AJ11&gt;0,"−방향 관찰",IF(AK11&gt;0,"+방향 관찰","중앙범주만 관찰"))))</f>
        <v>자료 부족</v>
      </c>
      <c r="AM11" s="40" t="str">
        <f>IF(AND(COUNT('2_개행동'!O30,'2_개행동'!O34)=2,OR('3_보호자행동'!O14=1,'3_보호자행동'!O14=2)),IF('2_개행동'!O30='2_개행동'!O34,"같은 범주","범주 변화"),"비교 보류")</f>
        <v>비교 보류</v>
      </c>
      <c r="AN11" s="40" t="str">
        <f>IF(COUNT('2_개행동'!O5)=0,"자료 부족",CHOOSE('2_개행동'!O5+3,"−2","−1","0","+1","+2"))</f>
        <v>자료 부족</v>
      </c>
      <c r="AO11" s="40" t="str">
        <f>IF(COUNT('3_보호자행동'!O13)=0,"조건 미확인",IF('3_보호자행동'!O13=3,"조건 이탈",IF(COUNT('2_개행동'!O25)=0,"자료 부족",CHOOSE('2_개행동'!O25+3,"−2","−1","0","+1","+2"))))</f>
        <v>조건 미확인</v>
      </c>
      <c r="AP11" s="40" t="str">
        <f>IF(COUNT('1_바디시그널'!O7,'1_바디시그널'!O38)&lt;2,"",'1_바디시그널'!O7-'1_바디시그널'!O38)</f>
        <v/>
      </c>
      <c r="AQ11" s="38" t="str">
        <f>IF(LEN(TRIM('3_보호자행동'!T56&amp;""))=0,"",'3_보호자행동'!T56)</f>
        <v>판정보류</v>
      </c>
      <c r="AR11" s="38" t="str">
        <f>IF('3_보호자행동'!U56&lt;&gt;"채점자 선택","",IF(LEN(TRIM('3_보호자행동'!C56&amp;""))=0,"",'3_보호자행동'!C56))</f>
        <v/>
      </c>
      <c r="AS11" s="38" t="str">
        <f>'3_보호자행동'!I56</f>
        <v>자동 · 판정보류</v>
      </c>
      <c r="AT11" s="38" t="str">
        <f>IF('3_보호자행동'!U56="채점자 선택",'3_보호자행동'!G56,"")</f>
        <v/>
      </c>
      <c r="AU11" s="40" t="str">
        <f>IF(COUNT('3_보호자행동'!O12)=0,"조건 미확인",IF('3_보호자행동'!O12=3,"조건 이탈",IF(COUNT(AE11,AF11,'2_개행동'!O18)&lt;3,"자료 부족",IF(AND(AE11&gt;=2,AF11&gt;=2),"접촉·거리 반응 혼재",IF(ABS('2_개행동'!O18)=2,"재회 몸 상태 지속",IF(AF11&gt;=3,"거리 유지 관찰",IF(AE11&gt;=4,"접촉 유지 관찰","기준상 뚜렷한 치우침 없음")))))))</f>
        <v>조건 미확인</v>
      </c>
      <c r="AV11" s="40" t="str">
        <f>"발성량: 혼자 "&amp;IF(COUNT('2_개행동'!O11)=0,"미확인",TEXT('2_개행동'!O11,"0"))&amp;" / 재회 "&amp;IF(COUNT('2_개행동'!O47)=0,"미확인",TEXT('2_개행동'!O47,"0"))&amp;" / 무시 "&amp;IF(COUNT('2_개행동'!O48)=0,"미확인",TEXT('2_개행동'!O48,"0"))&amp;" · 접근 변화 사건 "&amp;IF(COUNT('2_개행동'!O21)=0,"미확인",TEXT('2_개행동'!O21,"0"))</f>
        <v>발성량: 혼자 미확인 / 재회 미확인 / 무시 미확인 · 접근 변화 사건 미확인</v>
      </c>
      <c r="AW11" s="40" t="str">
        <f>IF(AND(OR('3_보호자행동'!O14=1,'3_보호자행동'!O14=2),BC11&gt;=2),(IF(COUNT('2_개행동'!O5)=0,0,100-50*ABS('2_개행동'!O5))+IF(COUNT('2_개행동'!O6)=0,0,100-50*ABS('2_개행동'!O6))+IF(COUNT('2_개행동'!O30)=0,0,100-50*ABS('2_개행동'!O30)))/BC11,"")</f>
        <v/>
      </c>
      <c r="AX11" s="40" t="str">
        <f>IF(BF11&gt;=4,(IF(COUNT('2_개행동'!O13)=0,0,100-50*ABS('2_개행동'!O13))+IF(COUNT('2_개행동'!O14)=0,0,100-50*ABS('2_개행동'!O14))+IF(COUNT('2_개행동'!O15)=0,0,100-50*ABS('2_개행동'!O15))+IF(COUNT('2_개행동'!O51)=0,0,100-50*ABS('2_개행동'!O51))+IF(COUNT('2_개행동'!O52)=0,0,100-50*ABS('2_개행동'!O52))+IF(COUNT('2_개행동'!O54)=0,0,100-50*ABS('2_개행동'!O54))+IF(COUNT('2_개행동'!O55)=0,0,100-50*ABS('2_개행동'!O55)))/BF11,"")</f>
        <v/>
      </c>
      <c r="AY11" s="40" t="str">
        <f t="shared" si="5"/>
        <v/>
      </c>
      <c r="AZ11" s="40" t="str">
        <f>IF(COUNT('2_개행동'!O48)=0,"",'2_개행동'!O48)</f>
        <v/>
      </c>
      <c r="BA11" s="40" t="str">
        <f>IF(COUNT('2_개행동'!O5,'2_개행동'!O6,'2_개행동'!O30)=0,"",IF(COUNT('2_개행동'!O5)=0,0,MAX(0,-'2_개행동'!O5))+IF(COUNT('2_개행동'!O6)=0,0,MAX(0,-'2_개행동'!O6))+IF(COUNT('2_개행동'!O30)=0,0,MAX(0,-'2_개행동'!O30)))</f>
        <v/>
      </c>
      <c r="BB11" s="40" t="str">
        <f>IF(COUNT('2_개행동'!O5,'2_개행동'!O6,'2_개행동'!O30)=0,"",IF(COUNT('2_개행동'!O5)=0,0,MAX(0,'2_개행동'!O5))+IF(COUNT('2_개행동'!O6)=0,0,MAX(0,'2_개행동'!O6))+IF(COUNT('2_개행동'!O30)=0,0,MAX(0,'2_개행동'!O30)))</f>
        <v/>
      </c>
      <c r="BC11" s="40">
        <f>COUNT('2_개행동'!O5,'2_개행동'!O6,'2_개행동'!O30)</f>
        <v>0</v>
      </c>
      <c r="BD11" s="40" t="str">
        <f>IF(COUNT('2_개행동'!O13,'2_개행동'!O14,'2_개행동'!O15,'2_개행동'!O51,'2_개행동'!O52,'2_개행동'!O54,'2_개행동'!O55)=0,"",IF(COUNT('2_개행동'!O13)=0,0,MAX(0,-'2_개행동'!O13))+IF(COUNT('2_개행동'!O14)=0,0,MAX(0,-'2_개행동'!O14))+IF(COUNT('2_개행동'!O15)=0,0,MAX(0,-'2_개행동'!O15))+IF(COUNT('2_개행동'!O51)=0,0,MAX(0,-'2_개행동'!O51))+IF(COUNT('2_개행동'!O52)=0,0,MAX(0,-'2_개행동'!O52))+IF(COUNT('2_개행동'!O54)=0,0,MAX(0,-'2_개행동'!O54))+IF(COUNT('2_개행동'!O55)=0,0,MAX(0,-'2_개행동'!O55)))</f>
        <v/>
      </c>
      <c r="BE11" s="40" t="str">
        <f>IF(COUNT('2_개행동'!O13,'2_개행동'!O14,'2_개행동'!O15,'2_개행동'!O51,'2_개행동'!O52,'2_개행동'!O54,'2_개행동'!O55)=0,"",IF(COUNT('2_개행동'!O13)=0,0,MAX(0,'2_개행동'!O13))+IF(COUNT('2_개행동'!O14)=0,0,MAX(0,'2_개행동'!O14))+IF(COUNT('2_개행동'!O15)=0,0,MAX(0,'2_개행동'!O15))+IF(COUNT('2_개행동'!O51)=0,0,MAX(0,'2_개행동'!O51))+IF(COUNT('2_개행동'!O52)=0,0,MAX(0,'2_개행동'!O52))+IF(COUNT('2_개행동'!O54)=0,0,MAX(0,'2_개행동'!O54))+IF(COUNT('2_개행동'!O55)=0,0,MAX(0,'2_개행동'!O55)))</f>
        <v/>
      </c>
      <c r="BF11" s="40">
        <f>COUNT('2_개행동'!O13,'2_개행동'!O14,'2_개행동'!O15,'2_개행동'!O51,'2_개행동'!O52,'2_개행동'!O54,'2_개행동'!O55)</f>
        <v>0</v>
      </c>
      <c r="BG11" s="38" t="str">
        <f>IF(LEN(TRIM('2_개행동'!C75&amp;""))=0,"",'2_개행동'!C75)</f>
        <v/>
      </c>
      <c r="BH11" s="38" t="str">
        <f>IF(LEN(TRIM('2_개행동'!G75&amp;""))=0,"",'2_개행동'!G75)</f>
        <v/>
      </c>
      <c r="BI11" s="38" t="str">
        <f>'2_개행동'!I75</f>
        <v>미판정</v>
      </c>
      <c r="BJ11" s="38" t="str">
        <f>IF(M11="미판정","애착유형 미판정",IF(M11="유형 입력 확인","유형 입력을 확인해 주세요.",IF(LEN(TRIM(BG11&amp;""))=0,IF(M11="판정보류","판정보류 사유를 입력해 주세요.","관찰 근거 미기록: 유형 설명 보류"),IF(M11="곁에서 안심하는 사이",성향문장!C49,IF(M11="가까이 있어도 안심이 어려운 사이",성향문장!C50,IF(M11="거리를 두고 지내는 사이",성향문장!C51,IF(M11="다가감과 물러섬이 함께 나오는 사이",성향문장!C52,성향문장!C53)))))))</f>
        <v>애착유형 미판정</v>
      </c>
      <c r="BK11" s="37" t="str">
        <f>IF(COUNT('3_보호자행동'!O12)=0,"조건 미확인",IF('3_보호자행동'!O12=3,"조건 이탈",IF(COUNT('2_개행동'!O9,'2_개행동'!O17,'2_개행동'!O18,'2_개행동'!O19,'2_개행동'!O22)&lt;5,"자료 부족",IF(N('2_개행동'!O21)&gt;=2,"접근이 여러 번 바뀜 — 한 서술로 묶지 않음",IF(AND($AE11&gt;=2,$AF11&gt;=2),"섞여 있음",IF(-'2_개행동'!O9&gt;=1,IF(ABS('2_개행동'!O18)&lt;=1,IF($AF11&gt;=$AE11,"없을 때 흔들 → 있을 때 가라앉고 자기 일","없을 때 흔들 → 있을 때 가라앉고 곁에 붙음"),"없을 때 흔들 → 있을 때도 못 가라앉음"),IF($AE11&gt;=2,"없을 때 담담 → 있을 때 곁에 붙음","없을 때도 있을 때도 비슷")))))))</f>
        <v>조건 미확인</v>
      </c>
      <c r="BL11" s="37" t="str">
        <f>IF(OR(COUNT('1_바디시그널'!O$5)=0,COUNT('1_바디시그널'!O$38)=0),"",'1_바디시그널'!O$5-'1_바디시그널'!O$38)</f>
        <v/>
      </c>
      <c r="BM11" s="37" t="str">
        <f>IF(OR(COUNT('1_바디시그널'!O$9)=0,COUNT('1_바디시그널'!O$38)=0),"",'1_바디시그널'!O$9-'1_바디시그널'!O$38)</f>
        <v/>
      </c>
      <c r="BN11" s="37" t="str">
        <f>IF(OR(COUNT('1_바디시그널'!O$11)=0,COUNT('1_바디시그널'!O$38)=0),"",'1_바디시그널'!O$11-'1_바디시그널'!O$38)</f>
        <v/>
      </c>
      <c r="BO11" s="37" t="str">
        <f>IF(OR(COUNT('1_바디시그널'!O$13)=0,COUNT('1_바디시그널'!O$38)=0),"",'1_바디시그널'!O$13-'1_바디시그널'!O$38)</f>
        <v/>
      </c>
      <c r="BP11" s="37" t="str">
        <f>IF(OR(COUNT('1_바디시그널'!O$39)=0,COUNT('1_바디시그널'!O$38)=0),"",'1_바디시그널'!O$39-'1_바디시그널'!O$38)</f>
        <v/>
      </c>
      <c r="BQ11" s="37" t="str">
        <f>IF(OR(COUNT('1_바디시그널'!O$43)=0,COUNT('1_바디시그널'!O$38)=0),"",'1_바디시그널'!O$43-'1_바디시그널'!O$38)</f>
        <v/>
      </c>
      <c r="BR11" s="37" t="str">
        <f>IF(OR(COUNT('1_바디시그널'!O$44)=0,COUNT('1_바디시그널'!O$38)=0),"",'1_바디시그널'!O$44-'1_바디시그널'!O$38)</f>
        <v/>
      </c>
      <c r="BS11" s="37" t="str">
        <f>IF(OR(COUNT('1_바디시그널'!O$45)=0,COUNT('1_바디시그널'!O$38)=0),"",'1_바디시그널'!O$45-'1_바디시그널'!O$38)</f>
        <v/>
      </c>
      <c r="BT11" s="37" t="str">
        <f>IF(OR(COUNT('1_바디시그널'!O$41)=0,COUNT('1_바디시그널'!O$40)=0),"",'1_바디시그널'!O$41-'1_바디시그널'!O$40)</f>
        <v/>
      </c>
      <c r="BU11" s="37" t="str">
        <f>IF(OR(COUNT('1_바디시그널'!O$42)=0,COUNT('1_바디시그널'!O$40)=0),"",'1_바디시그널'!O$42-'1_바디시그널'!O$40)</f>
        <v/>
      </c>
      <c r="BV11" s="37">
        <f>N('2_개행동'!O$5&lt;=-1)+N('2_개행동'!O$6&lt;=-1)+IF(AND(COUNT('2_개행동'!O$30)=1,COUNT('3_보호자행동'!O$14)=1,'3_보호자행동'!O$14&lt;=2),N('2_개행동'!O$30&lt;=-1),0)</f>
        <v>0</v>
      </c>
      <c r="BW11" s="37">
        <f>N('2_개행동'!O$5&gt;=1)+N('2_개행동'!O$6&gt;=1)+IF(AND(COUNT('2_개행동'!O$30)=1,COUNT('3_보호자행동'!O$14)=1,'3_보호자행동'!O$14&lt;=2),N('2_개행동'!O$30&gt;=1),0)</f>
        <v>0</v>
      </c>
      <c r="BX11" s="37">
        <f>COUNT('2_개행동'!O$5,'2_개행동'!O$6)+IF(AND(COUNT('2_개행동'!O$30)=1,COUNT('3_보호자행동'!O$14)=1,'3_보호자행동'!O$14&lt;=2),1,0)</f>
        <v>0</v>
      </c>
      <c r="BY11" s="37" t="str">
        <f t="shared" si="6"/>
        <v>자료 부족</v>
      </c>
      <c r="BZ11" s="37" t="str">
        <f>"문 "&amp;IF(COUNT('2_개행동'!O$5)=0,"미확인",SUBSTITUTE(TEXT('2_개행동'!O$5,"+0;-0;0"),"-","−"))&amp;" · 바닥 "&amp;IF(COUNT('2_개행동'!O$6)=0,"미확인",SUBSTITUTE(TEXT('2_개행동'!O$6,"+0;-0;0"),"-","−"))&amp;" · 물건 "&amp;IF(AND(COUNT('2_개행동'!O$30)=1,COUNT('3_보호자행동'!O$14)=1,'3_보호자행동'!O$14&lt;=2),IF(COUNT('2_개행동'!O$30)=0,"미확인",SUBSTITUTE(TEXT('2_개행동'!O$30,"+0;-0;0"),"-","−")),"보류")&amp;"  /  꼬리 기준대비 입장 "&amp;IF(COUNT($BL11)=0,"미확인",SUBSTITUTE(TEXT($BL11,"+0;-0;0"),"-","−"))&amp;" · 바닥 "&amp;IF(COUNT($AP11)=0,"미확인",SUBSTITUTE(TEXT($AP11,"+0;-0;0"),"-","−"))&amp;" · 물건 "&amp;IF(COUNT($BR11)=0,"미확인",SUBSTITUTE(TEXT($BR11,"+0;-0;0"),"-","−"))&amp;"  /  긴장 신호 "&amp;IF(COUNT('1_바디시그널'!O$14,'1_바디시그널'!O$15,'1_바디시그널'!O$16)=0,"미확인",TEXT(SUM('1_바디시그널'!O$14,'1_바디시그널'!O$15,'1_바디시그널'!O$16),"0")&amp;"회")&amp;"  /  냄새 "&amp;IF(COUNT('2_개행동'!O$7)=0,"미확인",IF('2_개행동'!O$7=0,"씀","안 씀"))</f>
        <v>문 미확인 · 바닥 미확인 · 물건 보류  /  꼬리 기준대비 입장 미확인 · 바닥 미확인 · 물건 미확인  /  긴장 신호 미확인  /  냄새 미확인</v>
      </c>
      <c r="CA11" s="37" t="str">
        <f>IF(AND('6_행사전문가의견'!E120="완료",OR('6_행사전문가의견'!B122="주저함 · 거리를 벌림",'6_행사전문가의견'!B122="뚜렷한 치우침 없음",'6_행사전문가의견'!B122="살피지 않고 들이닥침",'6_행사전문가의견'!B122="자극에 따라 다름",'6_행사전문가의견'!B122="판단보류"),LEN(TRIM('6_행사전문가의견'!B123&amp;""))&gt;0),'6_행사전문가의견'!B122,"")</f>
        <v/>
      </c>
      <c r="CB11" s="37" t="str">
        <f>IF(AND('6_행사전문가의견'!E120="완료",OR('6_행사전문가의견'!B122="주저함 · 거리를 벌림",'6_행사전문가의견'!B122="뚜렷한 치우침 없음",'6_행사전문가의견'!B122="살피지 않고 들이닥침",'6_행사전문가의견'!B122="자극에 따라 다름",'6_행사전문가의견'!B122="판단보류"),LEN(TRIM('6_행사전문가의견'!B123&amp;""))&gt;0),'6_행사전문가의견'!B123,"")</f>
        <v/>
      </c>
      <c r="CC11" s="37" t="str">
        <f t="shared" si="7"/>
        <v>자료 부족</v>
      </c>
      <c r="CD11" s="38" t="str">
        <f>IF('6_행사전문가의견'!E120&lt;&gt;"완료","",IF(LEN(TRIM('6_행사전문가의견'!D113&amp;""))=0,"",'6_행사전문가의견'!D113))</f>
        <v/>
      </c>
      <c r="CE11" s="38" t="str">
        <f>IF('6_행사전문가의견'!E120&lt;&gt;"완료","",IF(LEN(TRIM('6_행사전문가의견'!D114&amp;""))=0,"",'6_행사전문가의견'!D114))</f>
        <v/>
      </c>
      <c r="CF11" s="38" t="str">
        <f>IF('6_행사전문가의견'!E120&lt;&gt;"완료","",IF(LEN(TRIM('6_행사전문가의견'!D115&amp;""))=0,"",'6_행사전문가의견'!D115))</f>
        <v/>
      </c>
      <c r="CG11" s="38" t="str">
        <f>IF('6_행사전문가의견'!E120&lt;&gt;"완료","",IF(LEN(TRIM('6_행사전문가의견'!D117&amp;""))=0,"",'6_행사전문가의견'!D117))</f>
        <v/>
      </c>
      <c r="CH11" s="38" t="str">
        <f>IF('6_행사전문가의견'!E120&lt;&gt;"완료","",IF(LEN(TRIM('6_행사전문가의견'!D119&amp;""))=0,"",'6_행사전문가의견'!D119))</f>
        <v/>
      </c>
      <c r="CI11" s="38" t="str">
        <f>IF('6_행사전문가의견'!E120&lt;&gt;"완료","",IF(LEN(TRIM('6_행사전문가의견'!C111&amp;""))=0,"",'6_행사전문가의견'!C111))</f>
        <v/>
      </c>
      <c r="CJ11" s="38" t="str">
        <f>'6_행사전문가의견'!E120</f>
        <v>미작성</v>
      </c>
      <c r="CK11" s="37" t="str">
        <f>'2_개행동'!O60</f>
        <v>미채점</v>
      </c>
      <c r="CL11" s="40" t="str">
        <f>IF(LEN(TRIM(CD11&amp;""))&gt;0,CD11,"분리 초기: "&amp;IF(COUNT('2_개행동'!O$9)=0,"자료 부족",INDEX('2_개행동'!$C$9:$G$9,1,'2_개행동'!O$9+3))&amp;" / 분리 이후: "&amp;IF(COUNT('2_개행동'!O$10)=0,"자료 부족",INDEX('2_개행동'!$C$10:$G$10,1,'2_개행동'!O$10+3))&amp;" / 변화: "&amp;CK11&amp;" / 분리·재회·무시 보조: "&amp;BK11&amp;" / 재회·무시 패턴: "&amp;AU11&amp;IF(M11="미판정",""," / 기본 유형: "&amp;M11&amp;IF(LEN(TRIM(BG11&amp;""))&gt;0," / 근거: "&amp;BG11,"")))</f>
        <v>분리 초기: 자료 부족 / 분리 이후: 자료 부족 / 변화: 미채점 / 분리·재회·무시 보조: 조건 미확인 / 재회·무시 패턴: 조건 미확인</v>
      </c>
      <c r="CM11" s="40" t="str">
        <f>IF(LEN(TRIM(CE11&amp;""))&gt;0,CE11,IF(LEN(TRIM(AQ11&amp;""))=0,"",AQ11&amp;IF(LEN(TRIM(AR11&amp;""))&gt;0,". "&amp;AR11,IF(COUNT('3_보호자행동'!P56)=0," (자동 초안 · 근거 비율 미산출)"," (자동 초안 · 허용 "&amp;TEXT('3_보호자행동'!P56,"0.00")&amp;" / 조율 "&amp;TEXT('3_보호자행동'!Q56,"0.00")&amp;" / 통제 "&amp;TEXT('3_보호자행동'!R56,"0.00")&amp;")"))))</f>
        <v>판정보류 (자동 초안 · 근거 비율 미산출)</v>
      </c>
      <c r="CN11" s="40" t="str">
        <f t="shared" si="8"/>
        <v>자료 부족</v>
      </c>
      <c r="CO11" s="40" t="str">
        <f t="shared" si="9"/>
        <v>조건 미확인</v>
      </c>
      <c r="CP11" s="40" t="str">
        <f t="shared" si="10"/>
        <v/>
      </c>
      <c r="CQ11" s="40" t="str">
        <f>IF('6_행사전문가의견'!E120&lt;&gt;"완료","",IF(LEN(TRIM('6_행사전문가의견'!D116&amp;""))=0,"",'6_행사전문가의견'!D116))</f>
        <v/>
      </c>
      <c r="CR11" s="40" t="str">
        <f>IF('6_행사전문가의견'!E120&lt;&gt;"완료","",IF(LEN(TRIM('6_행사전문가의견'!D118&amp;""))=0,"",'6_행사전문가의견'!D118))</f>
        <v/>
      </c>
      <c r="CS11" s="40" t="str">
        <f t="shared" si="11"/>
        <v/>
      </c>
      <c r="CT11" s="40" t="str">
        <f t="shared" si="12"/>
        <v/>
      </c>
      <c r="CU11" s="37" t="str">
        <f>IF(LEN(TRIM('3_보호자행동'!U56&amp;""))=0,"",'3_보호자행동'!U56)</f>
        <v>자동 초안</v>
      </c>
    </row>
    <row r="12" spans="1:99" ht="81.95" customHeight="1" x14ac:dyDescent="0.3">
      <c r="A12" s="16">
        <v>7</v>
      </c>
      <c r="B12" s="16"/>
      <c r="C12" s="16"/>
      <c r="D12" s="50" t="str">
        <f>IF(COUNT('3_보호자행동'!P5)=0,"",'3_보호자행동'!P5)</f>
        <v/>
      </c>
      <c r="E12" s="16" t="str">
        <f>IF(COUNT('3_보호자행동'!P6)=0,"",'3_보호자행동'!P6)</f>
        <v/>
      </c>
      <c r="F12" s="16" t="str">
        <f>IF(COUNT('3_보호자행동'!P9)=0,"",'3_보호자행동'!P9)</f>
        <v/>
      </c>
      <c r="G12" s="50" t="str">
        <f>IF(AND(OR('3_보호자행동'!P14=1,'3_보호자행동'!P14=2),BC12&gt;=2),BA12/BC12,"")</f>
        <v/>
      </c>
      <c r="H12" s="16" t="str">
        <f>IF(AND(OR('3_보호자행동'!P14=1,'3_보호자행동'!P14=2),BC12&gt;=2),BB12/BC12,"")</f>
        <v/>
      </c>
      <c r="I12" s="17">
        <f t="shared" si="0"/>
        <v>0</v>
      </c>
      <c r="J12" s="16" t="str">
        <f t="shared" si="1"/>
        <v>자료 부족</v>
      </c>
      <c r="K12" s="16" t="str">
        <f t="shared" si="2"/>
        <v/>
      </c>
      <c r="L12" s="16" t="str">
        <f t="shared" si="3"/>
        <v/>
      </c>
      <c r="M12" s="16" t="str">
        <f>IF(LEN(TRIM('2_개행동'!B76&amp;""))=0,"미판정",IF(OR('2_개행동'!B76="곁에서 안심하는 사이",'2_개행동'!B76="가까이 있어도 안심이 어려운 사이",'2_개행동'!B76="거리를 두고 지내는 사이",'2_개행동'!B76="다가감과 물러섬이 함께 나오는 사이",'2_개행동'!B76="판정보류"),'2_개행동'!B76,"유형 입력 확인"))</f>
        <v>미판정</v>
      </c>
      <c r="N12" s="16" t="str">
        <f>IF(COUNT('2_개행동'!P18)=0,"",'2_개행동'!P18)</f>
        <v/>
      </c>
      <c r="O12" s="16" t="str">
        <f>IF(COUNT('2_개행동'!P47)=0,"",'2_개행동'!P47)</f>
        <v/>
      </c>
      <c r="P12" s="50" t="str">
        <f>IF(OR('3_보호자행동'!P13=1,'3_보호자행동'!P13=2),IF(COUNT('2_개행동'!P24)=0,"",'2_개행동'!P24),"")</f>
        <v/>
      </c>
      <c r="Q12" s="16" t="str">
        <f>IF(OR('3_보호자행동'!P13=1,'3_보호자행동'!P13=2),IF(COUNT('2_개행동'!P25)=0,"",'2_개행동'!P25),"")</f>
        <v/>
      </c>
      <c r="R12" s="51" t="str">
        <f t="shared" si="4"/>
        <v/>
      </c>
      <c r="S12" s="50" t="str">
        <f>IF(COUNT('2_개행동'!P28)=0,"",'2_개행동'!P28)</f>
        <v/>
      </c>
      <c r="T12" s="16" t="str">
        <f>IF(COUNT('2_개행동'!P34)=0,"",'2_개행동'!P34)</f>
        <v/>
      </c>
      <c r="U12" s="16" t="str">
        <f>IF(COUNT('2_개행동'!P50)=0,"",'2_개행동'!P50)</f>
        <v/>
      </c>
      <c r="V12" s="52" t="str">
        <f>IF(AND(COUNT('2_개행동'!P8,'2_개행동'!P23)=2,OR('3_보호자행동'!P12=1,'3_보호자행동'!P12=2)),ABS('2_개행동'!P8)-ABS('2_개행동'!P23),"")</f>
        <v/>
      </c>
      <c r="W12" s="52" t="str">
        <f>IF(COUNT('2_개행동'!P58,'2_개행동'!P18)&lt;2,"",ABS('2_개행동'!P58)-ABS('2_개행동'!P18))</f>
        <v/>
      </c>
      <c r="X12" s="52"/>
      <c r="Y12" s="16" t="str">
        <f>IF(COUNT('2_개행동'!P8)=0,"",'2_개행동'!P8)</f>
        <v/>
      </c>
      <c r="Z12" s="51" t="str">
        <f>IF(COUNT('2_개행동'!P27)=0,"",'2_개행동'!P27)</f>
        <v/>
      </c>
      <c r="AA12" s="18"/>
      <c r="AB12" s="16" t="str">
        <f>IF(COUNT('2_개행동'!P9)=0,"",'2_개행동'!P9)</f>
        <v/>
      </c>
      <c r="AC12" s="16" t="str">
        <f>IF(COUNT('2_개행동'!P10)=0,"",'2_개행동'!P10)</f>
        <v/>
      </c>
      <c r="AD12" s="16" t="str">
        <f>IF(COUNT('2_개행동'!P18)=0,"",'2_개행동'!P18)</f>
        <v/>
      </c>
      <c r="AE12" s="16" t="str">
        <f>IF(AND(COUNT('2_개행동'!P17,'2_개행동'!P19,'2_개행동'!P22)=3,OR('3_보호자행동'!P12=1,'3_보호자행동'!P12=2)),IF(COUNT('2_개행동'!P17)=0,0,MAX(0,-'2_개행동'!P17))+IF(COUNT('2_개행동'!P19)=0,0,MAX(0,-'2_개행동'!P19))+IF(COUNT('2_개행동'!P22)=0,0,MAX(0,-'2_개행동'!P22)),"")</f>
        <v/>
      </c>
      <c r="AF12" s="16" t="str">
        <f>IF(AND(COUNT('2_개행동'!P17,'2_개행동'!P19,'2_개행동'!P22)=3,OR('3_보호자행동'!P12=1,'3_보호자행동'!P12=2)),IF(COUNT('2_개행동'!P17)=0,0,MAX(0,'2_개행동'!P17))+IF(COUNT('2_개행동'!P19)=0,0,MAX(0,'2_개행동'!P19))+IF(COUNT('2_개행동'!P22)=0,0,MAX(0,'2_개행동'!P22)),"")</f>
        <v/>
      </c>
      <c r="AG12" s="40" t="str">
        <f>IF(COUNT('3_보호자행동'!P14)=0,"조건 미확인",IF('3_보호자행동'!P14=3,"조건 이탈",IF(BC12&lt;2,"자료 부족",IF(AND(BA12&gt;0,BB12&gt;0),"양방향 관찰",IF(BA12&gt;0,"−방향 관찰",IF(BB12&gt;0,"+방향 관찰","중앙범주만 관찰"))))))</f>
        <v>조건 미확인</v>
      </c>
      <c r="AH12" s="40" t="str">
        <f>IF(COUNT('3_보호자행동'!P13)=0,"조건 미확인",IF('3_보호자행동'!P13=3,"조건 이탈",IF(COUNT('2_개행동'!P24)=0,"자료 부족",CHOOSE('2_개행동'!P24+3,"−2","−1","0","+1","+2"))))</f>
        <v>조건 미확인</v>
      </c>
      <c r="AI12" s="40" t="str">
        <f>IF(COUNT('2_개행동'!P28)=0,"자료 부족",CHOOSE('2_개행동'!P28+3,"−2","−1","0","+1","+2"))</f>
        <v>자료 부족</v>
      </c>
      <c r="AJ12" s="40" t="str">
        <f>IF(COUNT('2_개행동'!P8,'2_개행동'!P14,'2_개행동'!P18,'2_개행동'!P23,'2_개행동'!P44,'2_개행동'!P52,'2_개행동'!P58)=0,"",IF(COUNT('2_개행동'!P8)=0,0,IF('2_개행동'!P8&lt;0,1,0))+IF(COUNT('2_개행동'!P14)=0,0,IF('2_개행동'!P14&lt;0,1,0))+IF(COUNT('2_개행동'!P18)=0,0,IF('2_개행동'!P18&lt;0,1,0))+IF(COUNT('2_개행동'!P23)=0,0,IF('2_개행동'!P23&lt;0,1,0))+IF(COUNT('2_개행동'!P44)=0,0,IF('2_개행동'!P44&lt;0,1,0))+IF(COUNT('2_개행동'!P52)=0,0,IF('2_개행동'!P52&lt;0,1,0))+IF(COUNT('2_개행동'!P58)=0,0,IF('2_개행동'!P58&lt;0,1,0)))</f>
        <v/>
      </c>
      <c r="AK12" s="40" t="str">
        <f>IF(COUNT('2_개행동'!P8,'2_개행동'!P14,'2_개행동'!P18,'2_개행동'!P23,'2_개행동'!P44,'2_개행동'!P52,'2_개행동'!P58)=0,"",IF(COUNT('2_개행동'!P8)=0,0,IF('2_개행동'!P8&gt;0,1,0))+IF(COUNT('2_개행동'!P14)=0,0,IF('2_개행동'!P14&gt;0,1,0))+IF(COUNT('2_개행동'!P18)=0,0,IF('2_개행동'!P18&gt;0,1,0))+IF(COUNT('2_개행동'!P23)=0,0,IF('2_개행동'!P23&gt;0,1,0))+IF(COUNT('2_개행동'!P44)=0,0,IF('2_개행동'!P44&gt;0,1,0))+IF(COUNT('2_개행동'!P52)=0,0,IF('2_개행동'!P52&gt;0,1,0))+IF(COUNT('2_개행동'!P58)=0,0,IF('2_개행동'!P58&gt;0,1,0)))</f>
        <v/>
      </c>
      <c r="AL12" s="40" t="str">
        <f>IF(COUNT('2_개행동'!P8,'2_개행동'!P14,'2_개행동'!P18,'2_개행동'!P23,'2_개행동'!P44,'2_개행동'!P52,'2_개행동'!P58)&lt;1,"자료 부족",IF(AND(AJ12&gt;0,AK12&gt;0),"양방향 관찰",IF(AJ12&gt;0,"−방향 관찰",IF(AK12&gt;0,"+방향 관찰","중앙범주만 관찰"))))</f>
        <v>자료 부족</v>
      </c>
      <c r="AM12" s="40" t="str">
        <f>IF(AND(COUNT('2_개행동'!P30,'2_개행동'!P34)=2,OR('3_보호자행동'!P14=1,'3_보호자행동'!P14=2)),IF('2_개행동'!P30='2_개행동'!P34,"같은 범주","범주 변화"),"비교 보류")</f>
        <v>비교 보류</v>
      </c>
      <c r="AN12" s="40" t="str">
        <f>IF(COUNT('2_개행동'!P5)=0,"자료 부족",CHOOSE('2_개행동'!P5+3,"−2","−1","0","+1","+2"))</f>
        <v>자료 부족</v>
      </c>
      <c r="AO12" s="40" t="str">
        <f>IF(COUNT('3_보호자행동'!P13)=0,"조건 미확인",IF('3_보호자행동'!P13=3,"조건 이탈",IF(COUNT('2_개행동'!P25)=0,"자료 부족",CHOOSE('2_개행동'!P25+3,"−2","−1","0","+1","+2"))))</f>
        <v>조건 미확인</v>
      </c>
      <c r="AP12" s="40" t="str">
        <f>IF(COUNT('1_바디시그널'!P7,'1_바디시그널'!P38)&lt;2,"",'1_바디시그널'!P7-'1_바디시그널'!P38)</f>
        <v/>
      </c>
      <c r="AQ12" s="38" t="str">
        <f>IF(LEN(TRIM('3_보호자행동'!T57&amp;""))=0,"",'3_보호자행동'!T57)</f>
        <v>판정보류</v>
      </c>
      <c r="AR12" s="38" t="str">
        <f>IF('3_보호자행동'!U57&lt;&gt;"채점자 선택","",IF(LEN(TRIM('3_보호자행동'!C57&amp;""))=0,"",'3_보호자행동'!C57))</f>
        <v/>
      </c>
      <c r="AS12" s="38" t="str">
        <f>'3_보호자행동'!I57</f>
        <v>자동 · 판정보류</v>
      </c>
      <c r="AT12" s="38" t="str">
        <f>IF('3_보호자행동'!U57="채점자 선택",'3_보호자행동'!G57,"")</f>
        <v/>
      </c>
      <c r="AU12" s="40" t="str">
        <f>IF(COUNT('3_보호자행동'!P12)=0,"조건 미확인",IF('3_보호자행동'!P12=3,"조건 이탈",IF(COUNT(AE12,AF12,'2_개행동'!P18)&lt;3,"자료 부족",IF(AND(AE12&gt;=2,AF12&gt;=2),"접촉·거리 반응 혼재",IF(ABS('2_개행동'!P18)=2,"재회 몸 상태 지속",IF(AF12&gt;=3,"거리 유지 관찰",IF(AE12&gt;=4,"접촉 유지 관찰","기준상 뚜렷한 치우침 없음")))))))</f>
        <v>조건 미확인</v>
      </c>
      <c r="AV12" s="40" t="str">
        <f>"발성량: 혼자 "&amp;IF(COUNT('2_개행동'!P11)=0,"미확인",TEXT('2_개행동'!P11,"0"))&amp;" / 재회 "&amp;IF(COUNT('2_개행동'!P47)=0,"미확인",TEXT('2_개행동'!P47,"0"))&amp;" / 무시 "&amp;IF(COUNT('2_개행동'!P48)=0,"미확인",TEXT('2_개행동'!P48,"0"))&amp;" · 접근 변화 사건 "&amp;IF(COUNT('2_개행동'!P21)=0,"미확인",TEXT('2_개행동'!P21,"0"))</f>
        <v>발성량: 혼자 미확인 / 재회 미확인 / 무시 미확인 · 접근 변화 사건 미확인</v>
      </c>
      <c r="AW12" s="40" t="str">
        <f>IF(AND(OR('3_보호자행동'!P14=1,'3_보호자행동'!P14=2),BC12&gt;=2),(IF(COUNT('2_개행동'!P5)=0,0,100-50*ABS('2_개행동'!P5))+IF(COUNT('2_개행동'!P6)=0,0,100-50*ABS('2_개행동'!P6))+IF(COUNT('2_개행동'!P30)=0,0,100-50*ABS('2_개행동'!P30)))/BC12,"")</f>
        <v/>
      </c>
      <c r="AX12" s="40" t="str">
        <f>IF(BF12&gt;=4,(IF(COUNT('2_개행동'!P13)=0,0,100-50*ABS('2_개행동'!P13))+IF(COUNT('2_개행동'!P14)=0,0,100-50*ABS('2_개행동'!P14))+IF(COUNT('2_개행동'!P15)=0,0,100-50*ABS('2_개행동'!P15))+IF(COUNT('2_개행동'!P51)=0,0,100-50*ABS('2_개행동'!P51))+IF(COUNT('2_개행동'!P52)=0,0,100-50*ABS('2_개행동'!P52))+IF(COUNT('2_개행동'!P54)=0,0,100-50*ABS('2_개행동'!P54))+IF(COUNT('2_개행동'!P55)=0,0,100-50*ABS('2_개행동'!P55)))/BF12,"")</f>
        <v/>
      </c>
      <c r="AY12" s="40" t="str">
        <f t="shared" si="5"/>
        <v/>
      </c>
      <c r="AZ12" s="40" t="str">
        <f>IF(COUNT('2_개행동'!P48)=0,"",'2_개행동'!P48)</f>
        <v/>
      </c>
      <c r="BA12" s="40" t="str">
        <f>IF(COUNT('2_개행동'!P5,'2_개행동'!P6,'2_개행동'!P30)=0,"",IF(COUNT('2_개행동'!P5)=0,0,MAX(0,-'2_개행동'!P5))+IF(COUNT('2_개행동'!P6)=0,0,MAX(0,-'2_개행동'!P6))+IF(COUNT('2_개행동'!P30)=0,0,MAX(0,-'2_개행동'!P30)))</f>
        <v/>
      </c>
      <c r="BB12" s="40" t="str">
        <f>IF(COUNT('2_개행동'!P5,'2_개행동'!P6,'2_개행동'!P30)=0,"",IF(COUNT('2_개행동'!P5)=0,0,MAX(0,'2_개행동'!P5))+IF(COUNT('2_개행동'!P6)=0,0,MAX(0,'2_개행동'!P6))+IF(COUNT('2_개행동'!P30)=0,0,MAX(0,'2_개행동'!P30)))</f>
        <v/>
      </c>
      <c r="BC12" s="40">
        <f>COUNT('2_개행동'!P5,'2_개행동'!P6,'2_개행동'!P30)</f>
        <v>0</v>
      </c>
      <c r="BD12" s="40" t="str">
        <f>IF(COUNT('2_개행동'!P13,'2_개행동'!P14,'2_개행동'!P15,'2_개행동'!P51,'2_개행동'!P52,'2_개행동'!P54,'2_개행동'!P55)=0,"",IF(COUNT('2_개행동'!P13)=0,0,MAX(0,-'2_개행동'!P13))+IF(COUNT('2_개행동'!P14)=0,0,MAX(0,-'2_개행동'!P14))+IF(COUNT('2_개행동'!P15)=0,0,MAX(0,-'2_개행동'!P15))+IF(COUNT('2_개행동'!P51)=0,0,MAX(0,-'2_개행동'!P51))+IF(COUNT('2_개행동'!P52)=0,0,MAX(0,-'2_개행동'!P52))+IF(COUNT('2_개행동'!P54)=0,0,MAX(0,-'2_개행동'!P54))+IF(COUNT('2_개행동'!P55)=0,0,MAX(0,-'2_개행동'!P55)))</f>
        <v/>
      </c>
      <c r="BE12" s="40" t="str">
        <f>IF(COUNT('2_개행동'!P13,'2_개행동'!P14,'2_개행동'!P15,'2_개행동'!P51,'2_개행동'!P52,'2_개행동'!P54,'2_개행동'!P55)=0,"",IF(COUNT('2_개행동'!P13)=0,0,MAX(0,'2_개행동'!P13))+IF(COUNT('2_개행동'!P14)=0,0,MAX(0,'2_개행동'!P14))+IF(COUNT('2_개행동'!P15)=0,0,MAX(0,'2_개행동'!P15))+IF(COUNT('2_개행동'!P51)=0,0,MAX(0,'2_개행동'!P51))+IF(COUNT('2_개행동'!P52)=0,0,MAX(0,'2_개행동'!P52))+IF(COUNT('2_개행동'!P54)=0,0,MAX(0,'2_개행동'!P54))+IF(COUNT('2_개행동'!P55)=0,0,MAX(0,'2_개행동'!P55)))</f>
        <v/>
      </c>
      <c r="BF12" s="40">
        <f>COUNT('2_개행동'!P13,'2_개행동'!P14,'2_개행동'!P15,'2_개행동'!P51,'2_개행동'!P52,'2_개행동'!P54,'2_개행동'!P55)</f>
        <v>0</v>
      </c>
      <c r="BG12" s="38" t="str">
        <f>IF(LEN(TRIM('2_개행동'!C76&amp;""))=0,"",'2_개행동'!C76)</f>
        <v/>
      </c>
      <c r="BH12" s="38" t="str">
        <f>IF(LEN(TRIM('2_개행동'!G76&amp;""))=0,"",'2_개행동'!G76)</f>
        <v/>
      </c>
      <c r="BI12" s="38" t="str">
        <f>'2_개행동'!I76</f>
        <v>미판정</v>
      </c>
      <c r="BJ12" s="38" t="str">
        <f>IF(M12="미판정","애착유형 미판정",IF(M12="유형 입력 확인","유형 입력을 확인해 주세요.",IF(LEN(TRIM(BG12&amp;""))=0,IF(M12="판정보류","판정보류 사유를 입력해 주세요.","관찰 근거 미기록: 유형 설명 보류"),IF(M12="곁에서 안심하는 사이",성향문장!C49,IF(M12="가까이 있어도 안심이 어려운 사이",성향문장!C50,IF(M12="거리를 두고 지내는 사이",성향문장!C51,IF(M12="다가감과 물러섬이 함께 나오는 사이",성향문장!C52,성향문장!C53)))))))</f>
        <v>애착유형 미판정</v>
      </c>
      <c r="BK12" s="37" t="str">
        <f>IF(COUNT('3_보호자행동'!P12)=0,"조건 미확인",IF('3_보호자행동'!P12=3,"조건 이탈",IF(COUNT('2_개행동'!P9,'2_개행동'!P17,'2_개행동'!P18,'2_개행동'!P19,'2_개행동'!P22)&lt;5,"자료 부족",IF(N('2_개행동'!P21)&gt;=2,"접근이 여러 번 바뀜 — 한 서술로 묶지 않음",IF(AND($AE12&gt;=2,$AF12&gt;=2),"섞여 있음",IF(-'2_개행동'!P9&gt;=1,IF(ABS('2_개행동'!P18)&lt;=1,IF($AF12&gt;=$AE12,"없을 때 흔들 → 있을 때 가라앉고 자기 일","없을 때 흔들 → 있을 때 가라앉고 곁에 붙음"),"없을 때 흔들 → 있을 때도 못 가라앉음"),IF($AE12&gt;=2,"없을 때 담담 → 있을 때 곁에 붙음","없을 때도 있을 때도 비슷")))))))</f>
        <v>조건 미확인</v>
      </c>
      <c r="BL12" s="37" t="str">
        <f>IF(OR(COUNT('1_바디시그널'!P$5)=0,COUNT('1_바디시그널'!P$38)=0),"",'1_바디시그널'!P$5-'1_바디시그널'!P$38)</f>
        <v/>
      </c>
      <c r="BM12" s="37" t="str">
        <f>IF(OR(COUNT('1_바디시그널'!P$9)=0,COUNT('1_바디시그널'!P$38)=0),"",'1_바디시그널'!P$9-'1_바디시그널'!P$38)</f>
        <v/>
      </c>
      <c r="BN12" s="37" t="str">
        <f>IF(OR(COUNT('1_바디시그널'!P$11)=0,COUNT('1_바디시그널'!P$38)=0),"",'1_바디시그널'!P$11-'1_바디시그널'!P$38)</f>
        <v/>
      </c>
      <c r="BO12" s="37" t="str">
        <f>IF(OR(COUNT('1_바디시그널'!P$13)=0,COUNT('1_바디시그널'!P$38)=0),"",'1_바디시그널'!P$13-'1_바디시그널'!P$38)</f>
        <v/>
      </c>
      <c r="BP12" s="37" t="str">
        <f>IF(OR(COUNT('1_바디시그널'!P$39)=0,COUNT('1_바디시그널'!P$38)=0),"",'1_바디시그널'!P$39-'1_바디시그널'!P$38)</f>
        <v/>
      </c>
      <c r="BQ12" s="37" t="str">
        <f>IF(OR(COUNT('1_바디시그널'!P$43)=0,COUNT('1_바디시그널'!P$38)=0),"",'1_바디시그널'!P$43-'1_바디시그널'!P$38)</f>
        <v/>
      </c>
      <c r="BR12" s="37" t="str">
        <f>IF(OR(COUNT('1_바디시그널'!P$44)=0,COUNT('1_바디시그널'!P$38)=0),"",'1_바디시그널'!P$44-'1_바디시그널'!P$38)</f>
        <v/>
      </c>
      <c r="BS12" s="37" t="str">
        <f>IF(OR(COUNT('1_바디시그널'!P$45)=0,COUNT('1_바디시그널'!P$38)=0),"",'1_바디시그널'!P$45-'1_바디시그널'!P$38)</f>
        <v/>
      </c>
      <c r="BT12" s="37" t="str">
        <f>IF(OR(COUNT('1_바디시그널'!P$41)=0,COUNT('1_바디시그널'!P$40)=0),"",'1_바디시그널'!P$41-'1_바디시그널'!P$40)</f>
        <v/>
      </c>
      <c r="BU12" s="37" t="str">
        <f>IF(OR(COUNT('1_바디시그널'!P$42)=0,COUNT('1_바디시그널'!P$40)=0),"",'1_바디시그널'!P$42-'1_바디시그널'!P$40)</f>
        <v/>
      </c>
      <c r="BV12" s="37">
        <f>N('2_개행동'!P$5&lt;=-1)+N('2_개행동'!P$6&lt;=-1)+IF(AND(COUNT('2_개행동'!P$30)=1,COUNT('3_보호자행동'!P$14)=1,'3_보호자행동'!P$14&lt;=2),N('2_개행동'!P$30&lt;=-1),0)</f>
        <v>0</v>
      </c>
      <c r="BW12" s="37">
        <f>N('2_개행동'!P$5&gt;=1)+N('2_개행동'!P$6&gt;=1)+IF(AND(COUNT('2_개행동'!P$30)=1,COUNT('3_보호자행동'!P$14)=1,'3_보호자행동'!P$14&lt;=2),N('2_개행동'!P$30&gt;=1),0)</f>
        <v>0</v>
      </c>
      <c r="BX12" s="37">
        <f>COUNT('2_개행동'!P$5,'2_개행동'!P$6)+IF(AND(COUNT('2_개행동'!P$30)=1,COUNT('3_보호자행동'!P$14)=1,'3_보호자행동'!P$14&lt;=2),1,0)</f>
        <v>0</v>
      </c>
      <c r="BY12" s="37" t="str">
        <f t="shared" si="6"/>
        <v>자료 부족</v>
      </c>
      <c r="BZ12" s="37" t="str">
        <f>"문 "&amp;IF(COUNT('2_개행동'!P$5)=0,"미확인",SUBSTITUTE(TEXT('2_개행동'!P$5,"+0;-0;0"),"-","−"))&amp;" · 바닥 "&amp;IF(COUNT('2_개행동'!P$6)=0,"미확인",SUBSTITUTE(TEXT('2_개행동'!P$6,"+0;-0;0"),"-","−"))&amp;" · 물건 "&amp;IF(AND(COUNT('2_개행동'!P$30)=1,COUNT('3_보호자행동'!P$14)=1,'3_보호자행동'!P$14&lt;=2),IF(COUNT('2_개행동'!P$30)=0,"미확인",SUBSTITUTE(TEXT('2_개행동'!P$30,"+0;-0;0"),"-","−")),"보류")&amp;"  /  꼬리 기준대비 입장 "&amp;IF(COUNT($BL12)=0,"미확인",SUBSTITUTE(TEXT($BL12,"+0;-0;0"),"-","−"))&amp;" · 바닥 "&amp;IF(COUNT($AP12)=0,"미확인",SUBSTITUTE(TEXT($AP12,"+0;-0;0"),"-","−"))&amp;" · 물건 "&amp;IF(COUNT($BR12)=0,"미확인",SUBSTITUTE(TEXT($BR12,"+0;-0;0"),"-","−"))&amp;"  /  긴장 신호 "&amp;IF(COUNT('1_바디시그널'!P$14,'1_바디시그널'!P$15,'1_바디시그널'!P$16)=0,"미확인",TEXT(SUM('1_바디시그널'!P$14,'1_바디시그널'!P$15,'1_바디시그널'!P$16),"0")&amp;"회")&amp;"  /  냄새 "&amp;IF(COUNT('2_개행동'!P$7)=0,"미확인",IF('2_개행동'!P$7=0,"씀","안 씀"))</f>
        <v>문 미확인 · 바닥 미확인 · 물건 보류  /  꼬리 기준대비 입장 미확인 · 바닥 미확인 · 물건 미확인  /  긴장 신호 미확인  /  냄새 미확인</v>
      </c>
      <c r="CA12" s="37" t="str">
        <f>IF(AND('6_행사전문가의견'!E136="완료",OR('6_행사전문가의견'!B138="주저함 · 거리를 벌림",'6_행사전문가의견'!B138="뚜렷한 치우침 없음",'6_행사전문가의견'!B138="살피지 않고 들이닥침",'6_행사전문가의견'!B138="자극에 따라 다름",'6_행사전문가의견'!B138="판단보류"),LEN(TRIM('6_행사전문가의견'!B139&amp;""))&gt;0),'6_행사전문가의견'!B138,"")</f>
        <v/>
      </c>
      <c r="CB12" s="37" t="str">
        <f>IF(AND('6_행사전문가의견'!E136="완료",OR('6_행사전문가의견'!B138="주저함 · 거리를 벌림",'6_행사전문가의견'!B138="뚜렷한 치우침 없음",'6_행사전문가의견'!B138="살피지 않고 들이닥침",'6_행사전문가의견'!B138="자극에 따라 다름",'6_행사전문가의견'!B138="판단보류"),LEN(TRIM('6_행사전문가의견'!B139&amp;""))&gt;0),'6_행사전문가의견'!B139,"")</f>
        <v/>
      </c>
      <c r="CC12" s="37" t="str">
        <f t="shared" si="7"/>
        <v>자료 부족</v>
      </c>
      <c r="CD12" s="38" t="str">
        <f>IF('6_행사전문가의견'!E136&lt;&gt;"완료","",IF(LEN(TRIM('6_행사전문가의견'!D129&amp;""))=0,"",'6_행사전문가의견'!D129))</f>
        <v/>
      </c>
      <c r="CE12" s="38" t="str">
        <f>IF('6_행사전문가의견'!E136&lt;&gt;"완료","",IF(LEN(TRIM('6_행사전문가의견'!D130&amp;""))=0,"",'6_행사전문가의견'!D130))</f>
        <v/>
      </c>
      <c r="CF12" s="38" t="str">
        <f>IF('6_행사전문가의견'!E136&lt;&gt;"완료","",IF(LEN(TRIM('6_행사전문가의견'!D131&amp;""))=0,"",'6_행사전문가의견'!D131))</f>
        <v/>
      </c>
      <c r="CG12" s="38" t="str">
        <f>IF('6_행사전문가의견'!E136&lt;&gt;"완료","",IF(LEN(TRIM('6_행사전문가의견'!D133&amp;""))=0,"",'6_행사전문가의견'!D133))</f>
        <v/>
      </c>
      <c r="CH12" s="38" t="str">
        <f>IF('6_행사전문가의견'!E136&lt;&gt;"완료","",IF(LEN(TRIM('6_행사전문가의견'!D135&amp;""))=0,"",'6_행사전문가의견'!D135))</f>
        <v/>
      </c>
      <c r="CI12" s="38" t="str">
        <f>IF('6_행사전문가의견'!E136&lt;&gt;"완료","",IF(LEN(TRIM('6_행사전문가의견'!C127&amp;""))=0,"",'6_행사전문가의견'!C127))</f>
        <v/>
      </c>
      <c r="CJ12" s="38" t="str">
        <f>'6_행사전문가의견'!E136</f>
        <v>미작성</v>
      </c>
      <c r="CK12" s="37" t="str">
        <f>'2_개행동'!P60</f>
        <v>미채점</v>
      </c>
      <c r="CL12" s="40" t="str">
        <f>IF(LEN(TRIM(CD12&amp;""))&gt;0,CD12,"분리 초기: "&amp;IF(COUNT('2_개행동'!P$9)=0,"자료 부족",INDEX('2_개행동'!$C$9:$G$9,1,'2_개행동'!P$9+3))&amp;" / 분리 이후: "&amp;IF(COUNT('2_개행동'!P$10)=0,"자료 부족",INDEX('2_개행동'!$C$10:$G$10,1,'2_개행동'!P$10+3))&amp;" / 변화: "&amp;CK12&amp;" / 분리·재회·무시 보조: "&amp;BK12&amp;" / 재회·무시 패턴: "&amp;AU12&amp;IF(M12="미판정",""," / 기본 유형: "&amp;M12&amp;IF(LEN(TRIM(BG12&amp;""))&gt;0," / 근거: "&amp;BG12,"")))</f>
        <v>분리 초기: 자료 부족 / 분리 이후: 자료 부족 / 변화: 미채점 / 분리·재회·무시 보조: 조건 미확인 / 재회·무시 패턴: 조건 미확인</v>
      </c>
      <c r="CM12" s="40" t="str">
        <f>IF(LEN(TRIM(CE12&amp;""))&gt;0,CE12,IF(LEN(TRIM(AQ12&amp;""))=0,"",AQ12&amp;IF(LEN(TRIM(AR12&amp;""))&gt;0,". "&amp;AR12,IF(COUNT('3_보호자행동'!P57)=0," (자동 초안 · 근거 비율 미산출)"," (자동 초안 · 허용 "&amp;TEXT('3_보호자행동'!P57,"0.00")&amp;" / 조율 "&amp;TEXT('3_보호자행동'!Q57,"0.00")&amp;" / 통제 "&amp;TEXT('3_보호자행동'!R57,"0.00")&amp;")"))))</f>
        <v>판정보류 (자동 초안 · 근거 비율 미산출)</v>
      </c>
      <c r="CN12" s="40" t="str">
        <f t="shared" si="8"/>
        <v>자료 부족</v>
      </c>
      <c r="CO12" s="40" t="str">
        <f t="shared" si="9"/>
        <v>조건 미확인</v>
      </c>
      <c r="CP12" s="40" t="str">
        <f t="shared" si="10"/>
        <v/>
      </c>
      <c r="CQ12" s="40" t="str">
        <f>IF('6_행사전문가의견'!E136&lt;&gt;"완료","",IF(LEN(TRIM('6_행사전문가의견'!D132&amp;""))=0,"",'6_행사전문가의견'!D132))</f>
        <v/>
      </c>
      <c r="CR12" s="40" t="str">
        <f>IF('6_행사전문가의견'!E136&lt;&gt;"완료","",IF(LEN(TRIM('6_행사전문가의견'!D134&amp;""))=0,"",'6_행사전문가의견'!D134))</f>
        <v/>
      </c>
      <c r="CS12" s="40" t="str">
        <f t="shared" si="11"/>
        <v/>
      </c>
      <c r="CT12" s="40" t="str">
        <f t="shared" si="12"/>
        <v/>
      </c>
      <c r="CU12" s="37" t="str">
        <f>IF(LEN(TRIM('3_보호자행동'!U57&amp;""))=0,"",'3_보호자행동'!U57)</f>
        <v>자동 초안</v>
      </c>
    </row>
    <row r="13" spans="1:99" ht="81.95" customHeight="1" x14ac:dyDescent="0.3">
      <c r="A13" s="16">
        <v>8</v>
      </c>
      <c r="B13" s="16"/>
      <c r="C13" s="16"/>
      <c r="D13" s="50" t="str">
        <f>IF(COUNT('3_보호자행동'!Q5)=0,"",'3_보호자행동'!Q5)</f>
        <v/>
      </c>
      <c r="E13" s="16" t="str">
        <f>IF(COUNT('3_보호자행동'!Q6)=0,"",'3_보호자행동'!Q6)</f>
        <v/>
      </c>
      <c r="F13" s="16" t="str">
        <f>IF(COUNT('3_보호자행동'!Q9)=0,"",'3_보호자행동'!Q9)</f>
        <v/>
      </c>
      <c r="G13" s="50" t="str">
        <f>IF(AND(OR('3_보호자행동'!Q14=1,'3_보호자행동'!Q14=2),BC13&gt;=2),BA13/BC13,"")</f>
        <v/>
      </c>
      <c r="H13" s="16" t="str">
        <f>IF(AND(OR('3_보호자행동'!Q14=1,'3_보호자행동'!Q14=2),BC13&gt;=2),BB13/BC13,"")</f>
        <v/>
      </c>
      <c r="I13" s="17">
        <f t="shared" si="0"/>
        <v>0</v>
      </c>
      <c r="J13" s="16" t="str">
        <f t="shared" si="1"/>
        <v>자료 부족</v>
      </c>
      <c r="K13" s="16" t="str">
        <f t="shared" si="2"/>
        <v/>
      </c>
      <c r="L13" s="16" t="str">
        <f t="shared" si="3"/>
        <v/>
      </c>
      <c r="M13" s="16" t="str">
        <f>IF(LEN(TRIM('2_개행동'!B77&amp;""))=0,"미판정",IF(OR('2_개행동'!B77="곁에서 안심하는 사이",'2_개행동'!B77="가까이 있어도 안심이 어려운 사이",'2_개행동'!B77="거리를 두고 지내는 사이",'2_개행동'!B77="다가감과 물러섬이 함께 나오는 사이",'2_개행동'!B77="판정보류"),'2_개행동'!B77,"유형 입력 확인"))</f>
        <v>미판정</v>
      </c>
      <c r="N13" s="16" t="str">
        <f>IF(COUNT('2_개행동'!Q18)=0,"",'2_개행동'!Q18)</f>
        <v/>
      </c>
      <c r="O13" s="16" t="str">
        <f>IF(COUNT('2_개행동'!Q47)=0,"",'2_개행동'!Q47)</f>
        <v/>
      </c>
      <c r="P13" s="50" t="str">
        <f>IF(OR('3_보호자행동'!Q13=1,'3_보호자행동'!Q13=2),IF(COUNT('2_개행동'!Q24)=0,"",'2_개행동'!Q24),"")</f>
        <v/>
      </c>
      <c r="Q13" s="16" t="str">
        <f>IF(OR('3_보호자행동'!Q13=1,'3_보호자행동'!Q13=2),IF(COUNT('2_개행동'!Q25)=0,"",'2_개행동'!Q25),"")</f>
        <v/>
      </c>
      <c r="R13" s="51" t="str">
        <f t="shared" si="4"/>
        <v/>
      </c>
      <c r="S13" s="50" t="str">
        <f>IF(COUNT('2_개행동'!Q28)=0,"",'2_개행동'!Q28)</f>
        <v/>
      </c>
      <c r="T13" s="16" t="str">
        <f>IF(COUNT('2_개행동'!Q34)=0,"",'2_개행동'!Q34)</f>
        <v/>
      </c>
      <c r="U13" s="16" t="str">
        <f>IF(COUNT('2_개행동'!Q50)=0,"",'2_개행동'!Q50)</f>
        <v/>
      </c>
      <c r="V13" s="52" t="str">
        <f>IF(AND(COUNT('2_개행동'!Q8,'2_개행동'!Q23)=2,OR('3_보호자행동'!Q12=1,'3_보호자행동'!Q12=2)),ABS('2_개행동'!Q8)-ABS('2_개행동'!Q23),"")</f>
        <v/>
      </c>
      <c r="W13" s="52" t="str">
        <f>IF(COUNT('2_개행동'!Q58,'2_개행동'!Q18)&lt;2,"",ABS('2_개행동'!Q58)-ABS('2_개행동'!Q18))</f>
        <v/>
      </c>
      <c r="X13" s="52"/>
      <c r="Y13" s="16" t="str">
        <f>IF(COUNT('2_개행동'!Q8)=0,"",'2_개행동'!Q8)</f>
        <v/>
      </c>
      <c r="Z13" s="51" t="str">
        <f>IF(COUNT('2_개행동'!Q27)=0,"",'2_개행동'!Q27)</f>
        <v/>
      </c>
      <c r="AA13" s="18"/>
      <c r="AB13" s="16" t="str">
        <f>IF(COUNT('2_개행동'!Q9)=0,"",'2_개행동'!Q9)</f>
        <v/>
      </c>
      <c r="AC13" s="16" t="str">
        <f>IF(COUNT('2_개행동'!Q10)=0,"",'2_개행동'!Q10)</f>
        <v/>
      </c>
      <c r="AD13" s="16" t="str">
        <f>IF(COUNT('2_개행동'!Q18)=0,"",'2_개행동'!Q18)</f>
        <v/>
      </c>
      <c r="AE13" s="16" t="str">
        <f>IF(AND(COUNT('2_개행동'!Q17,'2_개행동'!Q19,'2_개행동'!Q22)=3,OR('3_보호자행동'!Q12=1,'3_보호자행동'!Q12=2)),IF(COUNT('2_개행동'!Q17)=0,0,MAX(0,-'2_개행동'!Q17))+IF(COUNT('2_개행동'!Q19)=0,0,MAX(0,-'2_개행동'!Q19))+IF(COUNT('2_개행동'!Q22)=0,0,MAX(0,-'2_개행동'!Q22)),"")</f>
        <v/>
      </c>
      <c r="AF13" s="16" t="str">
        <f>IF(AND(COUNT('2_개행동'!Q17,'2_개행동'!Q19,'2_개행동'!Q22)=3,OR('3_보호자행동'!Q12=1,'3_보호자행동'!Q12=2)),IF(COUNT('2_개행동'!Q17)=0,0,MAX(0,'2_개행동'!Q17))+IF(COUNT('2_개행동'!Q19)=0,0,MAX(0,'2_개행동'!Q19))+IF(COUNT('2_개행동'!Q22)=0,0,MAX(0,'2_개행동'!Q22)),"")</f>
        <v/>
      </c>
      <c r="AG13" s="40" t="str">
        <f>IF(COUNT('3_보호자행동'!Q14)=0,"조건 미확인",IF('3_보호자행동'!Q14=3,"조건 이탈",IF(BC13&lt;2,"자료 부족",IF(AND(BA13&gt;0,BB13&gt;0),"양방향 관찰",IF(BA13&gt;0,"−방향 관찰",IF(BB13&gt;0,"+방향 관찰","중앙범주만 관찰"))))))</f>
        <v>조건 미확인</v>
      </c>
      <c r="AH13" s="40" t="str">
        <f>IF(COUNT('3_보호자행동'!Q13)=0,"조건 미확인",IF('3_보호자행동'!Q13=3,"조건 이탈",IF(COUNT('2_개행동'!Q24)=0,"자료 부족",CHOOSE('2_개행동'!Q24+3,"−2","−1","0","+1","+2"))))</f>
        <v>조건 미확인</v>
      </c>
      <c r="AI13" s="40" t="str">
        <f>IF(COUNT('2_개행동'!Q28)=0,"자료 부족",CHOOSE('2_개행동'!Q28+3,"−2","−1","0","+1","+2"))</f>
        <v>자료 부족</v>
      </c>
      <c r="AJ13" s="40" t="str">
        <f>IF(COUNT('2_개행동'!Q8,'2_개행동'!Q14,'2_개행동'!Q18,'2_개행동'!Q23,'2_개행동'!Q44,'2_개행동'!Q52,'2_개행동'!Q58)=0,"",IF(COUNT('2_개행동'!Q8)=0,0,IF('2_개행동'!Q8&lt;0,1,0))+IF(COUNT('2_개행동'!Q14)=0,0,IF('2_개행동'!Q14&lt;0,1,0))+IF(COUNT('2_개행동'!Q18)=0,0,IF('2_개행동'!Q18&lt;0,1,0))+IF(COUNT('2_개행동'!Q23)=0,0,IF('2_개행동'!Q23&lt;0,1,0))+IF(COUNT('2_개행동'!Q44)=0,0,IF('2_개행동'!Q44&lt;0,1,0))+IF(COUNT('2_개행동'!Q52)=0,0,IF('2_개행동'!Q52&lt;0,1,0))+IF(COUNT('2_개행동'!Q58)=0,0,IF('2_개행동'!Q58&lt;0,1,0)))</f>
        <v/>
      </c>
      <c r="AK13" s="40" t="str">
        <f>IF(COUNT('2_개행동'!Q8,'2_개행동'!Q14,'2_개행동'!Q18,'2_개행동'!Q23,'2_개행동'!Q44,'2_개행동'!Q52,'2_개행동'!Q58)=0,"",IF(COUNT('2_개행동'!Q8)=0,0,IF('2_개행동'!Q8&gt;0,1,0))+IF(COUNT('2_개행동'!Q14)=0,0,IF('2_개행동'!Q14&gt;0,1,0))+IF(COUNT('2_개행동'!Q18)=0,0,IF('2_개행동'!Q18&gt;0,1,0))+IF(COUNT('2_개행동'!Q23)=0,0,IF('2_개행동'!Q23&gt;0,1,0))+IF(COUNT('2_개행동'!Q44)=0,0,IF('2_개행동'!Q44&gt;0,1,0))+IF(COUNT('2_개행동'!Q52)=0,0,IF('2_개행동'!Q52&gt;0,1,0))+IF(COUNT('2_개행동'!Q58)=0,0,IF('2_개행동'!Q58&gt;0,1,0)))</f>
        <v/>
      </c>
      <c r="AL13" s="40" t="str">
        <f>IF(COUNT('2_개행동'!Q8,'2_개행동'!Q14,'2_개행동'!Q18,'2_개행동'!Q23,'2_개행동'!Q44,'2_개행동'!Q52,'2_개행동'!Q58)&lt;1,"자료 부족",IF(AND(AJ13&gt;0,AK13&gt;0),"양방향 관찰",IF(AJ13&gt;0,"−방향 관찰",IF(AK13&gt;0,"+방향 관찰","중앙범주만 관찰"))))</f>
        <v>자료 부족</v>
      </c>
      <c r="AM13" s="40" t="str">
        <f>IF(AND(COUNT('2_개행동'!Q30,'2_개행동'!Q34)=2,OR('3_보호자행동'!Q14=1,'3_보호자행동'!Q14=2)),IF('2_개행동'!Q30='2_개행동'!Q34,"같은 범주","범주 변화"),"비교 보류")</f>
        <v>비교 보류</v>
      </c>
      <c r="AN13" s="40" t="str">
        <f>IF(COUNT('2_개행동'!Q5)=0,"자료 부족",CHOOSE('2_개행동'!Q5+3,"−2","−1","0","+1","+2"))</f>
        <v>자료 부족</v>
      </c>
      <c r="AO13" s="40" t="str">
        <f>IF(COUNT('3_보호자행동'!Q13)=0,"조건 미확인",IF('3_보호자행동'!Q13=3,"조건 이탈",IF(COUNT('2_개행동'!Q25)=0,"자료 부족",CHOOSE('2_개행동'!Q25+3,"−2","−1","0","+1","+2"))))</f>
        <v>조건 미확인</v>
      </c>
      <c r="AP13" s="40" t="str">
        <f>IF(COUNT('1_바디시그널'!Q7,'1_바디시그널'!Q38)&lt;2,"",'1_바디시그널'!Q7-'1_바디시그널'!Q38)</f>
        <v/>
      </c>
      <c r="AQ13" s="38" t="str">
        <f>IF(LEN(TRIM('3_보호자행동'!T58&amp;""))=0,"",'3_보호자행동'!T58)</f>
        <v>판정보류</v>
      </c>
      <c r="AR13" s="38" t="str">
        <f>IF('3_보호자행동'!U58&lt;&gt;"채점자 선택","",IF(LEN(TRIM('3_보호자행동'!C58&amp;""))=0,"",'3_보호자행동'!C58))</f>
        <v/>
      </c>
      <c r="AS13" s="38" t="str">
        <f>'3_보호자행동'!I58</f>
        <v>자동 · 판정보류</v>
      </c>
      <c r="AT13" s="38" t="str">
        <f>IF('3_보호자행동'!U58="채점자 선택",'3_보호자행동'!G58,"")</f>
        <v/>
      </c>
      <c r="AU13" s="40" t="str">
        <f>IF(COUNT('3_보호자행동'!Q12)=0,"조건 미확인",IF('3_보호자행동'!Q12=3,"조건 이탈",IF(COUNT(AE13,AF13,'2_개행동'!Q18)&lt;3,"자료 부족",IF(AND(AE13&gt;=2,AF13&gt;=2),"접촉·거리 반응 혼재",IF(ABS('2_개행동'!Q18)=2,"재회 몸 상태 지속",IF(AF13&gt;=3,"거리 유지 관찰",IF(AE13&gt;=4,"접촉 유지 관찰","기준상 뚜렷한 치우침 없음")))))))</f>
        <v>조건 미확인</v>
      </c>
      <c r="AV13" s="40" t="str">
        <f>"발성량: 혼자 "&amp;IF(COUNT('2_개행동'!Q11)=0,"미확인",TEXT('2_개행동'!Q11,"0"))&amp;" / 재회 "&amp;IF(COUNT('2_개행동'!Q47)=0,"미확인",TEXT('2_개행동'!Q47,"0"))&amp;" / 무시 "&amp;IF(COUNT('2_개행동'!Q48)=0,"미확인",TEXT('2_개행동'!Q48,"0"))&amp;" · 접근 변화 사건 "&amp;IF(COUNT('2_개행동'!Q21)=0,"미확인",TEXT('2_개행동'!Q21,"0"))</f>
        <v>발성량: 혼자 미확인 / 재회 미확인 / 무시 미확인 · 접근 변화 사건 미확인</v>
      </c>
      <c r="AW13" s="40" t="str">
        <f>IF(AND(OR('3_보호자행동'!Q14=1,'3_보호자행동'!Q14=2),BC13&gt;=2),(IF(COUNT('2_개행동'!Q5)=0,0,100-50*ABS('2_개행동'!Q5))+IF(COUNT('2_개행동'!Q6)=0,0,100-50*ABS('2_개행동'!Q6))+IF(COUNT('2_개행동'!Q30)=0,0,100-50*ABS('2_개행동'!Q30)))/BC13,"")</f>
        <v/>
      </c>
      <c r="AX13" s="40" t="str">
        <f>IF(BF13&gt;=4,(IF(COUNT('2_개행동'!Q13)=0,0,100-50*ABS('2_개행동'!Q13))+IF(COUNT('2_개행동'!Q14)=0,0,100-50*ABS('2_개행동'!Q14))+IF(COUNT('2_개행동'!Q15)=0,0,100-50*ABS('2_개행동'!Q15))+IF(COUNT('2_개행동'!Q51)=0,0,100-50*ABS('2_개행동'!Q51))+IF(COUNT('2_개행동'!Q52)=0,0,100-50*ABS('2_개행동'!Q52))+IF(COUNT('2_개행동'!Q54)=0,0,100-50*ABS('2_개행동'!Q54))+IF(COUNT('2_개행동'!Q55)=0,0,100-50*ABS('2_개행동'!Q55)))/BF13,"")</f>
        <v/>
      </c>
      <c r="AY13" s="40" t="str">
        <f t="shared" si="5"/>
        <v/>
      </c>
      <c r="AZ13" s="40" t="str">
        <f>IF(COUNT('2_개행동'!Q48)=0,"",'2_개행동'!Q48)</f>
        <v/>
      </c>
      <c r="BA13" s="40" t="str">
        <f>IF(COUNT('2_개행동'!Q5,'2_개행동'!Q6,'2_개행동'!Q30)=0,"",IF(COUNT('2_개행동'!Q5)=0,0,MAX(0,-'2_개행동'!Q5))+IF(COUNT('2_개행동'!Q6)=0,0,MAX(0,-'2_개행동'!Q6))+IF(COUNT('2_개행동'!Q30)=0,0,MAX(0,-'2_개행동'!Q30)))</f>
        <v/>
      </c>
      <c r="BB13" s="40" t="str">
        <f>IF(COUNT('2_개행동'!Q5,'2_개행동'!Q6,'2_개행동'!Q30)=0,"",IF(COUNT('2_개행동'!Q5)=0,0,MAX(0,'2_개행동'!Q5))+IF(COUNT('2_개행동'!Q6)=0,0,MAX(0,'2_개행동'!Q6))+IF(COUNT('2_개행동'!Q30)=0,0,MAX(0,'2_개행동'!Q30)))</f>
        <v/>
      </c>
      <c r="BC13" s="40">
        <f>COUNT('2_개행동'!Q5,'2_개행동'!Q6,'2_개행동'!Q30)</f>
        <v>0</v>
      </c>
      <c r="BD13" s="40" t="str">
        <f>IF(COUNT('2_개행동'!Q13,'2_개행동'!Q14,'2_개행동'!Q15,'2_개행동'!Q51,'2_개행동'!Q52,'2_개행동'!Q54,'2_개행동'!Q55)=0,"",IF(COUNT('2_개행동'!Q13)=0,0,MAX(0,-'2_개행동'!Q13))+IF(COUNT('2_개행동'!Q14)=0,0,MAX(0,-'2_개행동'!Q14))+IF(COUNT('2_개행동'!Q15)=0,0,MAX(0,-'2_개행동'!Q15))+IF(COUNT('2_개행동'!Q51)=0,0,MAX(0,-'2_개행동'!Q51))+IF(COUNT('2_개행동'!Q52)=0,0,MAX(0,-'2_개행동'!Q52))+IF(COUNT('2_개행동'!Q54)=0,0,MAX(0,-'2_개행동'!Q54))+IF(COUNT('2_개행동'!Q55)=0,0,MAX(0,-'2_개행동'!Q55)))</f>
        <v/>
      </c>
      <c r="BE13" s="40" t="str">
        <f>IF(COUNT('2_개행동'!Q13,'2_개행동'!Q14,'2_개행동'!Q15,'2_개행동'!Q51,'2_개행동'!Q52,'2_개행동'!Q54,'2_개행동'!Q55)=0,"",IF(COUNT('2_개행동'!Q13)=0,0,MAX(0,'2_개행동'!Q13))+IF(COUNT('2_개행동'!Q14)=0,0,MAX(0,'2_개행동'!Q14))+IF(COUNT('2_개행동'!Q15)=0,0,MAX(0,'2_개행동'!Q15))+IF(COUNT('2_개행동'!Q51)=0,0,MAX(0,'2_개행동'!Q51))+IF(COUNT('2_개행동'!Q52)=0,0,MAX(0,'2_개행동'!Q52))+IF(COUNT('2_개행동'!Q54)=0,0,MAX(0,'2_개행동'!Q54))+IF(COUNT('2_개행동'!Q55)=0,0,MAX(0,'2_개행동'!Q55)))</f>
        <v/>
      </c>
      <c r="BF13" s="40">
        <f>COUNT('2_개행동'!Q13,'2_개행동'!Q14,'2_개행동'!Q15,'2_개행동'!Q51,'2_개행동'!Q52,'2_개행동'!Q54,'2_개행동'!Q55)</f>
        <v>0</v>
      </c>
      <c r="BG13" s="38" t="str">
        <f>IF(LEN(TRIM('2_개행동'!C77&amp;""))=0,"",'2_개행동'!C77)</f>
        <v/>
      </c>
      <c r="BH13" s="38" t="str">
        <f>IF(LEN(TRIM('2_개행동'!G77&amp;""))=0,"",'2_개행동'!G77)</f>
        <v/>
      </c>
      <c r="BI13" s="38" t="str">
        <f>'2_개행동'!I77</f>
        <v>미판정</v>
      </c>
      <c r="BJ13" s="38" t="str">
        <f>IF(M13="미판정","애착유형 미판정",IF(M13="유형 입력 확인","유형 입력을 확인해 주세요.",IF(LEN(TRIM(BG13&amp;""))=0,IF(M13="판정보류","판정보류 사유를 입력해 주세요.","관찰 근거 미기록: 유형 설명 보류"),IF(M13="곁에서 안심하는 사이",성향문장!C49,IF(M13="가까이 있어도 안심이 어려운 사이",성향문장!C50,IF(M13="거리를 두고 지내는 사이",성향문장!C51,IF(M13="다가감과 물러섬이 함께 나오는 사이",성향문장!C52,성향문장!C53)))))))</f>
        <v>애착유형 미판정</v>
      </c>
      <c r="BK13" s="37" t="str">
        <f>IF(COUNT('3_보호자행동'!Q12)=0,"조건 미확인",IF('3_보호자행동'!Q12=3,"조건 이탈",IF(COUNT('2_개행동'!Q9,'2_개행동'!Q17,'2_개행동'!Q18,'2_개행동'!Q19,'2_개행동'!Q22)&lt;5,"자료 부족",IF(N('2_개행동'!Q21)&gt;=2,"접근이 여러 번 바뀜 — 한 서술로 묶지 않음",IF(AND($AE13&gt;=2,$AF13&gt;=2),"섞여 있음",IF(-'2_개행동'!Q9&gt;=1,IF(ABS('2_개행동'!Q18)&lt;=1,IF($AF13&gt;=$AE13,"없을 때 흔들 → 있을 때 가라앉고 자기 일","없을 때 흔들 → 있을 때 가라앉고 곁에 붙음"),"없을 때 흔들 → 있을 때도 못 가라앉음"),IF($AE13&gt;=2,"없을 때 담담 → 있을 때 곁에 붙음","없을 때도 있을 때도 비슷")))))))</f>
        <v>조건 미확인</v>
      </c>
      <c r="BL13" s="37" t="str">
        <f>IF(OR(COUNT('1_바디시그널'!Q$5)=0,COUNT('1_바디시그널'!Q$38)=0),"",'1_바디시그널'!Q$5-'1_바디시그널'!Q$38)</f>
        <v/>
      </c>
      <c r="BM13" s="37" t="str">
        <f>IF(OR(COUNT('1_바디시그널'!Q$9)=0,COUNT('1_바디시그널'!Q$38)=0),"",'1_바디시그널'!Q$9-'1_바디시그널'!Q$38)</f>
        <v/>
      </c>
      <c r="BN13" s="37" t="str">
        <f>IF(OR(COUNT('1_바디시그널'!Q$11)=0,COUNT('1_바디시그널'!Q$38)=0),"",'1_바디시그널'!Q$11-'1_바디시그널'!Q$38)</f>
        <v/>
      </c>
      <c r="BO13" s="37" t="str">
        <f>IF(OR(COUNT('1_바디시그널'!Q$13)=0,COUNT('1_바디시그널'!Q$38)=0),"",'1_바디시그널'!Q$13-'1_바디시그널'!Q$38)</f>
        <v/>
      </c>
      <c r="BP13" s="37" t="str">
        <f>IF(OR(COUNT('1_바디시그널'!Q$39)=0,COUNT('1_바디시그널'!Q$38)=0),"",'1_바디시그널'!Q$39-'1_바디시그널'!Q$38)</f>
        <v/>
      </c>
      <c r="BQ13" s="37" t="str">
        <f>IF(OR(COUNT('1_바디시그널'!Q$43)=0,COUNT('1_바디시그널'!Q$38)=0),"",'1_바디시그널'!Q$43-'1_바디시그널'!Q$38)</f>
        <v/>
      </c>
      <c r="BR13" s="37" t="str">
        <f>IF(OR(COUNT('1_바디시그널'!Q$44)=0,COUNT('1_바디시그널'!Q$38)=0),"",'1_바디시그널'!Q$44-'1_바디시그널'!Q$38)</f>
        <v/>
      </c>
      <c r="BS13" s="37" t="str">
        <f>IF(OR(COUNT('1_바디시그널'!Q$45)=0,COUNT('1_바디시그널'!Q$38)=0),"",'1_바디시그널'!Q$45-'1_바디시그널'!Q$38)</f>
        <v/>
      </c>
      <c r="BT13" s="37" t="str">
        <f>IF(OR(COUNT('1_바디시그널'!Q$41)=0,COUNT('1_바디시그널'!Q$40)=0),"",'1_바디시그널'!Q$41-'1_바디시그널'!Q$40)</f>
        <v/>
      </c>
      <c r="BU13" s="37" t="str">
        <f>IF(OR(COUNT('1_바디시그널'!Q$42)=0,COUNT('1_바디시그널'!Q$40)=0),"",'1_바디시그널'!Q$42-'1_바디시그널'!Q$40)</f>
        <v/>
      </c>
      <c r="BV13" s="37">
        <f>N('2_개행동'!Q$5&lt;=-1)+N('2_개행동'!Q$6&lt;=-1)+IF(AND(COUNT('2_개행동'!Q$30)=1,COUNT('3_보호자행동'!Q$14)=1,'3_보호자행동'!Q$14&lt;=2),N('2_개행동'!Q$30&lt;=-1),0)</f>
        <v>0</v>
      </c>
      <c r="BW13" s="37">
        <f>N('2_개행동'!Q$5&gt;=1)+N('2_개행동'!Q$6&gt;=1)+IF(AND(COUNT('2_개행동'!Q$30)=1,COUNT('3_보호자행동'!Q$14)=1,'3_보호자행동'!Q$14&lt;=2),N('2_개행동'!Q$30&gt;=1),0)</f>
        <v>0</v>
      </c>
      <c r="BX13" s="37">
        <f>COUNT('2_개행동'!Q$5,'2_개행동'!Q$6)+IF(AND(COUNT('2_개행동'!Q$30)=1,COUNT('3_보호자행동'!Q$14)=1,'3_보호자행동'!Q$14&lt;=2),1,0)</f>
        <v>0</v>
      </c>
      <c r="BY13" s="37" t="str">
        <f t="shared" si="6"/>
        <v>자료 부족</v>
      </c>
      <c r="BZ13" s="37" t="str">
        <f>"문 "&amp;IF(COUNT('2_개행동'!Q$5)=0,"미확인",SUBSTITUTE(TEXT('2_개행동'!Q$5,"+0;-0;0"),"-","−"))&amp;" · 바닥 "&amp;IF(COUNT('2_개행동'!Q$6)=0,"미확인",SUBSTITUTE(TEXT('2_개행동'!Q$6,"+0;-0;0"),"-","−"))&amp;" · 물건 "&amp;IF(AND(COUNT('2_개행동'!Q$30)=1,COUNT('3_보호자행동'!Q$14)=1,'3_보호자행동'!Q$14&lt;=2),IF(COUNT('2_개행동'!Q$30)=0,"미확인",SUBSTITUTE(TEXT('2_개행동'!Q$30,"+0;-0;0"),"-","−")),"보류")&amp;"  /  꼬리 기준대비 입장 "&amp;IF(COUNT($BL13)=0,"미확인",SUBSTITUTE(TEXT($BL13,"+0;-0;0"),"-","−"))&amp;" · 바닥 "&amp;IF(COUNT($AP13)=0,"미확인",SUBSTITUTE(TEXT($AP13,"+0;-0;0"),"-","−"))&amp;" · 물건 "&amp;IF(COUNT($BR13)=0,"미확인",SUBSTITUTE(TEXT($BR13,"+0;-0;0"),"-","−"))&amp;"  /  긴장 신호 "&amp;IF(COUNT('1_바디시그널'!Q$14,'1_바디시그널'!Q$15,'1_바디시그널'!Q$16)=0,"미확인",TEXT(SUM('1_바디시그널'!Q$14,'1_바디시그널'!Q$15,'1_바디시그널'!Q$16),"0")&amp;"회")&amp;"  /  냄새 "&amp;IF(COUNT('2_개행동'!Q$7)=0,"미확인",IF('2_개행동'!Q$7=0,"씀","안 씀"))</f>
        <v>문 미확인 · 바닥 미확인 · 물건 보류  /  꼬리 기준대비 입장 미확인 · 바닥 미확인 · 물건 미확인  /  긴장 신호 미확인  /  냄새 미확인</v>
      </c>
      <c r="CA13" s="37" t="str">
        <f>IF(AND('6_행사전문가의견'!E152="완료",OR('6_행사전문가의견'!B154="주저함 · 거리를 벌림",'6_행사전문가의견'!B154="뚜렷한 치우침 없음",'6_행사전문가의견'!B154="살피지 않고 들이닥침",'6_행사전문가의견'!B154="자극에 따라 다름",'6_행사전문가의견'!B154="판단보류"),LEN(TRIM('6_행사전문가의견'!B155&amp;""))&gt;0),'6_행사전문가의견'!B154,"")</f>
        <v/>
      </c>
      <c r="CB13" s="37" t="str">
        <f>IF(AND('6_행사전문가의견'!E152="완료",OR('6_행사전문가의견'!B154="주저함 · 거리를 벌림",'6_행사전문가의견'!B154="뚜렷한 치우침 없음",'6_행사전문가의견'!B154="살피지 않고 들이닥침",'6_행사전문가의견'!B154="자극에 따라 다름",'6_행사전문가의견'!B154="판단보류"),LEN(TRIM('6_행사전문가의견'!B155&amp;""))&gt;0),'6_행사전문가의견'!B155,"")</f>
        <v/>
      </c>
      <c r="CC13" s="37" t="str">
        <f t="shared" si="7"/>
        <v>자료 부족</v>
      </c>
      <c r="CD13" s="38" t="str">
        <f>IF('6_행사전문가의견'!E152&lt;&gt;"완료","",IF(LEN(TRIM('6_행사전문가의견'!D145&amp;""))=0,"",'6_행사전문가의견'!D145))</f>
        <v/>
      </c>
      <c r="CE13" s="38" t="str">
        <f>IF('6_행사전문가의견'!E152&lt;&gt;"완료","",IF(LEN(TRIM('6_행사전문가의견'!D146&amp;""))=0,"",'6_행사전문가의견'!D146))</f>
        <v/>
      </c>
      <c r="CF13" s="38" t="str">
        <f>IF('6_행사전문가의견'!E152&lt;&gt;"완료","",IF(LEN(TRIM('6_행사전문가의견'!D147&amp;""))=0,"",'6_행사전문가의견'!D147))</f>
        <v/>
      </c>
      <c r="CG13" s="38" t="str">
        <f>IF('6_행사전문가의견'!E152&lt;&gt;"완료","",IF(LEN(TRIM('6_행사전문가의견'!D149&amp;""))=0,"",'6_행사전문가의견'!D149))</f>
        <v/>
      </c>
      <c r="CH13" s="38" t="str">
        <f>IF('6_행사전문가의견'!E152&lt;&gt;"완료","",IF(LEN(TRIM('6_행사전문가의견'!D151&amp;""))=0,"",'6_행사전문가의견'!D151))</f>
        <v/>
      </c>
      <c r="CI13" s="38" t="str">
        <f>IF('6_행사전문가의견'!E152&lt;&gt;"완료","",IF(LEN(TRIM('6_행사전문가의견'!C143&amp;""))=0,"",'6_행사전문가의견'!C143))</f>
        <v/>
      </c>
      <c r="CJ13" s="38" t="str">
        <f>'6_행사전문가의견'!E152</f>
        <v>미작성</v>
      </c>
      <c r="CK13" s="37" t="str">
        <f>'2_개행동'!Q60</f>
        <v>미채점</v>
      </c>
      <c r="CL13" s="40" t="str">
        <f>IF(LEN(TRIM(CD13&amp;""))&gt;0,CD13,"분리 초기: "&amp;IF(COUNT('2_개행동'!Q$9)=0,"자료 부족",INDEX('2_개행동'!$C$9:$G$9,1,'2_개행동'!Q$9+3))&amp;" / 분리 이후: "&amp;IF(COUNT('2_개행동'!Q$10)=0,"자료 부족",INDEX('2_개행동'!$C$10:$G$10,1,'2_개행동'!Q$10+3))&amp;" / 변화: "&amp;CK13&amp;" / 분리·재회·무시 보조: "&amp;BK13&amp;" / 재회·무시 패턴: "&amp;AU13&amp;IF(M13="미판정",""," / 기본 유형: "&amp;M13&amp;IF(LEN(TRIM(BG13&amp;""))&gt;0," / 근거: "&amp;BG13,"")))</f>
        <v>분리 초기: 자료 부족 / 분리 이후: 자료 부족 / 변화: 미채점 / 분리·재회·무시 보조: 조건 미확인 / 재회·무시 패턴: 조건 미확인</v>
      </c>
      <c r="CM13" s="40" t="str">
        <f>IF(LEN(TRIM(CE13&amp;""))&gt;0,CE13,IF(LEN(TRIM(AQ13&amp;""))=0,"",AQ13&amp;IF(LEN(TRIM(AR13&amp;""))&gt;0,". "&amp;AR13,IF(COUNT('3_보호자행동'!P58)=0," (자동 초안 · 근거 비율 미산출)"," (자동 초안 · 허용 "&amp;TEXT('3_보호자행동'!P58,"0.00")&amp;" / 조율 "&amp;TEXT('3_보호자행동'!Q58,"0.00")&amp;" / 통제 "&amp;TEXT('3_보호자행동'!R58,"0.00")&amp;")"))))</f>
        <v>판정보류 (자동 초안 · 근거 비율 미산출)</v>
      </c>
      <c r="CN13" s="40" t="str">
        <f t="shared" si="8"/>
        <v>자료 부족</v>
      </c>
      <c r="CO13" s="40" t="str">
        <f t="shared" si="9"/>
        <v>조건 미확인</v>
      </c>
      <c r="CP13" s="40" t="str">
        <f t="shared" si="10"/>
        <v/>
      </c>
      <c r="CQ13" s="40" t="str">
        <f>IF('6_행사전문가의견'!E152&lt;&gt;"완료","",IF(LEN(TRIM('6_행사전문가의견'!D148&amp;""))=0,"",'6_행사전문가의견'!D148))</f>
        <v/>
      </c>
      <c r="CR13" s="40" t="str">
        <f>IF('6_행사전문가의견'!E152&lt;&gt;"완료","",IF(LEN(TRIM('6_행사전문가의견'!D150&amp;""))=0,"",'6_행사전문가의견'!D150))</f>
        <v/>
      </c>
      <c r="CS13" s="40" t="str">
        <f t="shared" si="11"/>
        <v/>
      </c>
      <c r="CT13" s="40" t="str">
        <f t="shared" si="12"/>
        <v/>
      </c>
      <c r="CU13" s="37" t="str">
        <f>IF(LEN(TRIM('3_보호자행동'!U58&amp;""))=0,"",'3_보호자행동'!U58)</f>
        <v>자동 초안</v>
      </c>
    </row>
    <row r="14" spans="1:99" ht="81.95" customHeight="1" x14ac:dyDescent="0.3">
      <c r="A14" s="16">
        <v>9</v>
      </c>
      <c r="B14" s="16"/>
      <c r="C14" s="16"/>
      <c r="D14" s="50" t="str">
        <f>IF(COUNT('3_보호자행동'!R5)=0,"",'3_보호자행동'!R5)</f>
        <v/>
      </c>
      <c r="E14" s="16" t="str">
        <f>IF(COUNT('3_보호자행동'!R6)=0,"",'3_보호자행동'!R6)</f>
        <v/>
      </c>
      <c r="F14" s="16" t="str">
        <f>IF(COUNT('3_보호자행동'!R9)=0,"",'3_보호자행동'!R9)</f>
        <v/>
      </c>
      <c r="G14" s="50" t="str">
        <f>IF(AND(OR('3_보호자행동'!R14=1,'3_보호자행동'!R14=2),BC14&gt;=2),BA14/BC14,"")</f>
        <v/>
      </c>
      <c r="H14" s="16" t="str">
        <f>IF(AND(OR('3_보호자행동'!R14=1,'3_보호자행동'!R14=2),BC14&gt;=2),BB14/BC14,"")</f>
        <v/>
      </c>
      <c r="I14" s="17">
        <f t="shared" si="0"/>
        <v>0</v>
      </c>
      <c r="J14" s="16" t="str">
        <f t="shared" si="1"/>
        <v>자료 부족</v>
      </c>
      <c r="K14" s="16" t="str">
        <f t="shared" si="2"/>
        <v/>
      </c>
      <c r="L14" s="16" t="str">
        <f t="shared" si="3"/>
        <v/>
      </c>
      <c r="M14" s="16" t="str">
        <f>IF(LEN(TRIM('2_개행동'!B78&amp;""))=0,"미판정",IF(OR('2_개행동'!B78="곁에서 안심하는 사이",'2_개행동'!B78="가까이 있어도 안심이 어려운 사이",'2_개행동'!B78="거리를 두고 지내는 사이",'2_개행동'!B78="다가감과 물러섬이 함께 나오는 사이",'2_개행동'!B78="판정보류"),'2_개행동'!B78,"유형 입력 확인"))</f>
        <v>미판정</v>
      </c>
      <c r="N14" s="16" t="str">
        <f>IF(COUNT('2_개행동'!R18)=0,"",'2_개행동'!R18)</f>
        <v/>
      </c>
      <c r="O14" s="16" t="str">
        <f>IF(COUNT('2_개행동'!R47)=0,"",'2_개행동'!R47)</f>
        <v/>
      </c>
      <c r="P14" s="50" t="str">
        <f>IF(OR('3_보호자행동'!R13=1,'3_보호자행동'!R13=2),IF(COUNT('2_개행동'!R24)=0,"",'2_개행동'!R24),"")</f>
        <v/>
      </c>
      <c r="Q14" s="16" t="str">
        <f>IF(OR('3_보호자행동'!R13=1,'3_보호자행동'!R13=2),IF(COUNT('2_개행동'!R25)=0,"",'2_개행동'!R25),"")</f>
        <v/>
      </c>
      <c r="R14" s="51" t="str">
        <f t="shared" si="4"/>
        <v/>
      </c>
      <c r="S14" s="50" t="str">
        <f>IF(COUNT('2_개행동'!R28)=0,"",'2_개행동'!R28)</f>
        <v/>
      </c>
      <c r="T14" s="16" t="str">
        <f>IF(COUNT('2_개행동'!R34)=0,"",'2_개행동'!R34)</f>
        <v/>
      </c>
      <c r="U14" s="16" t="str">
        <f>IF(COUNT('2_개행동'!R50)=0,"",'2_개행동'!R50)</f>
        <v/>
      </c>
      <c r="V14" s="52" t="str">
        <f>IF(AND(COUNT('2_개행동'!R8,'2_개행동'!R23)=2,OR('3_보호자행동'!R12=1,'3_보호자행동'!R12=2)),ABS('2_개행동'!R8)-ABS('2_개행동'!R23),"")</f>
        <v/>
      </c>
      <c r="W14" s="52" t="str">
        <f>IF(COUNT('2_개행동'!R58,'2_개행동'!R18)&lt;2,"",ABS('2_개행동'!R58)-ABS('2_개행동'!R18))</f>
        <v/>
      </c>
      <c r="X14" s="52"/>
      <c r="Y14" s="16" t="str">
        <f>IF(COUNT('2_개행동'!R8)=0,"",'2_개행동'!R8)</f>
        <v/>
      </c>
      <c r="Z14" s="51" t="str">
        <f>IF(COUNT('2_개행동'!R27)=0,"",'2_개행동'!R27)</f>
        <v/>
      </c>
      <c r="AA14" s="18"/>
      <c r="AB14" s="16" t="str">
        <f>IF(COUNT('2_개행동'!R9)=0,"",'2_개행동'!R9)</f>
        <v/>
      </c>
      <c r="AC14" s="16" t="str">
        <f>IF(COUNT('2_개행동'!R10)=0,"",'2_개행동'!R10)</f>
        <v/>
      </c>
      <c r="AD14" s="16" t="str">
        <f>IF(COUNT('2_개행동'!R18)=0,"",'2_개행동'!R18)</f>
        <v/>
      </c>
      <c r="AE14" s="16" t="str">
        <f>IF(AND(COUNT('2_개행동'!R17,'2_개행동'!R19,'2_개행동'!R22)=3,OR('3_보호자행동'!R12=1,'3_보호자행동'!R12=2)),IF(COUNT('2_개행동'!R17)=0,0,MAX(0,-'2_개행동'!R17))+IF(COUNT('2_개행동'!R19)=0,0,MAX(0,-'2_개행동'!R19))+IF(COUNT('2_개행동'!R22)=0,0,MAX(0,-'2_개행동'!R22)),"")</f>
        <v/>
      </c>
      <c r="AF14" s="16" t="str">
        <f>IF(AND(COUNT('2_개행동'!R17,'2_개행동'!R19,'2_개행동'!R22)=3,OR('3_보호자행동'!R12=1,'3_보호자행동'!R12=2)),IF(COUNT('2_개행동'!R17)=0,0,MAX(0,'2_개행동'!R17))+IF(COUNT('2_개행동'!R19)=0,0,MAX(0,'2_개행동'!R19))+IF(COUNT('2_개행동'!R22)=0,0,MAX(0,'2_개행동'!R22)),"")</f>
        <v/>
      </c>
      <c r="AG14" s="40" t="str">
        <f>IF(COUNT('3_보호자행동'!R14)=0,"조건 미확인",IF('3_보호자행동'!R14=3,"조건 이탈",IF(BC14&lt;2,"자료 부족",IF(AND(BA14&gt;0,BB14&gt;0),"양방향 관찰",IF(BA14&gt;0,"−방향 관찰",IF(BB14&gt;0,"+방향 관찰","중앙범주만 관찰"))))))</f>
        <v>조건 미확인</v>
      </c>
      <c r="AH14" s="40" t="str">
        <f>IF(COUNT('3_보호자행동'!R13)=0,"조건 미확인",IF('3_보호자행동'!R13=3,"조건 이탈",IF(COUNT('2_개행동'!R24)=0,"자료 부족",CHOOSE('2_개행동'!R24+3,"−2","−1","0","+1","+2"))))</f>
        <v>조건 미확인</v>
      </c>
      <c r="AI14" s="40" t="str">
        <f>IF(COUNT('2_개행동'!R28)=0,"자료 부족",CHOOSE('2_개행동'!R28+3,"−2","−1","0","+1","+2"))</f>
        <v>자료 부족</v>
      </c>
      <c r="AJ14" s="40" t="str">
        <f>IF(COUNT('2_개행동'!R8,'2_개행동'!R14,'2_개행동'!R18,'2_개행동'!R23,'2_개행동'!R44,'2_개행동'!R52,'2_개행동'!R58)=0,"",IF(COUNT('2_개행동'!R8)=0,0,IF('2_개행동'!R8&lt;0,1,0))+IF(COUNT('2_개행동'!R14)=0,0,IF('2_개행동'!R14&lt;0,1,0))+IF(COUNT('2_개행동'!R18)=0,0,IF('2_개행동'!R18&lt;0,1,0))+IF(COUNT('2_개행동'!R23)=0,0,IF('2_개행동'!R23&lt;0,1,0))+IF(COUNT('2_개행동'!R44)=0,0,IF('2_개행동'!R44&lt;0,1,0))+IF(COUNT('2_개행동'!R52)=0,0,IF('2_개행동'!R52&lt;0,1,0))+IF(COUNT('2_개행동'!R58)=0,0,IF('2_개행동'!R58&lt;0,1,0)))</f>
        <v/>
      </c>
      <c r="AK14" s="40" t="str">
        <f>IF(COUNT('2_개행동'!R8,'2_개행동'!R14,'2_개행동'!R18,'2_개행동'!R23,'2_개행동'!R44,'2_개행동'!R52,'2_개행동'!R58)=0,"",IF(COUNT('2_개행동'!R8)=0,0,IF('2_개행동'!R8&gt;0,1,0))+IF(COUNT('2_개행동'!R14)=0,0,IF('2_개행동'!R14&gt;0,1,0))+IF(COUNT('2_개행동'!R18)=0,0,IF('2_개행동'!R18&gt;0,1,0))+IF(COUNT('2_개행동'!R23)=0,0,IF('2_개행동'!R23&gt;0,1,0))+IF(COUNT('2_개행동'!R44)=0,0,IF('2_개행동'!R44&gt;0,1,0))+IF(COUNT('2_개행동'!R52)=0,0,IF('2_개행동'!R52&gt;0,1,0))+IF(COUNT('2_개행동'!R58)=0,0,IF('2_개행동'!R58&gt;0,1,0)))</f>
        <v/>
      </c>
      <c r="AL14" s="40" t="str">
        <f>IF(COUNT('2_개행동'!R8,'2_개행동'!R14,'2_개행동'!R18,'2_개행동'!R23,'2_개행동'!R44,'2_개행동'!R52,'2_개행동'!R58)&lt;1,"자료 부족",IF(AND(AJ14&gt;0,AK14&gt;0),"양방향 관찰",IF(AJ14&gt;0,"−방향 관찰",IF(AK14&gt;0,"+방향 관찰","중앙범주만 관찰"))))</f>
        <v>자료 부족</v>
      </c>
      <c r="AM14" s="40" t="str">
        <f>IF(AND(COUNT('2_개행동'!R30,'2_개행동'!R34)=2,OR('3_보호자행동'!R14=1,'3_보호자행동'!R14=2)),IF('2_개행동'!R30='2_개행동'!R34,"같은 범주","범주 변화"),"비교 보류")</f>
        <v>비교 보류</v>
      </c>
      <c r="AN14" s="40" t="str">
        <f>IF(COUNT('2_개행동'!R5)=0,"자료 부족",CHOOSE('2_개행동'!R5+3,"−2","−1","0","+1","+2"))</f>
        <v>자료 부족</v>
      </c>
      <c r="AO14" s="40" t="str">
        <f>IF(COUNT('3_보호자행동'!R13)=0,"조건 미확인",IF('3_보호자행동'!R13=3,"조건 이탈",IF(COUNT('2_개행동'!R25)=0,"자료 부족",CHOOSE('2_개행동'!R25+3,"−2","−1","0","+1","+2"))))</f>
        <v>조건 미확인</v>
      </c>
      <c r="AP14" s="40" t="str">
        <f>IF(COUNT('1_바디시그널'!R7,'1_바디시그널'!R38)&lt;2,"",'1_바디시그널'!R7-'1_바디시그널'!R38)</f>
        <v/>
      </c>
      <c r="AQ14" s="38" t="str">
        <f>IF(LEN(TRIM('3_보호자행동'!T59&amp;""))=0,"",'3_보호자행동'!T59)</f>
        <v>판정보류</v>
      </c>
      <c r="AR14" s="38" t="str">
        <f>IF('3_보호자행동'!U59&lt;&gt;"채점자 선택","",IF(LEN(TRIM('3_보호자행동'!C59&amp;""))=0,"",'3_보호자행동'!C59))</f>
        <v/>
      </c>
      <c r="AS14" s="38" t="str">
        <f>'3_보호자행동'!I59</f>
        <v>자동 · 판정보류</v>
      </c>
      <c r="AT14" s="38" t="str">
        <f>IF('3_보호자행동'!U59="채점자 선택",'3_보호자행동'!G59,"")</f>
        <v/>
      </c>
      <c r="AU14" s="40" t="str">
        <f>IF(COUNT('3_보호자행동'!R12)=0,"조건 미확인",IF('3_보호자행동'!R12=3,"조건 이탈",IF(COUNT(AE14,AF14,'2_개행동'!R18)&lt;3,"자료 부족",IF(AND(AE14&gt;=2,AF14&gt;=2),"접촉·거리 반응 혼재",IF(ABS('2_개행동'!R18)=2,"재회 몸 상태 지속",IF(AF14&gt;=3,"거리 유지 관찰",IF(AE14&gt;=4,"접촉 유지 관찰","기준상 뚜렷한 치우침 없음")))))))</f>
        <v>조건 미확인</v>
      </c>
      <c r="AV14" s="40" t="str">
        <f>"발성량: 혼자 "&amp;IF(COUNT('2_개행동'!R11)=0,"미확인",TEXT('2_개행동'!R11,"0"))&amp;" / 재회 "&amp;IF(COUNT('2_개행동'!R47)=0,"미확인",TEXT('2_개행동'!R47,"0"))&amp;" / 무시 "&amp;IF(COUNT('2_개행동'!R48)=0,"미확인",TEXT('2_개행동'!R48,"0"))&amp;" · 접근 변화 사건 "&amp;IF(COUNT('2_개행동'!R21)=0,"미확인",TEXT('2_개행동'!R21,"0"))</f>
        <v>발성량: 혼자 미확인 / 재회 미확인 / 무시 미확인 · 접근 변화 사건 미확인</v>
      </c>
      <c r="AW14" s="40" t="str">
        <f>IF(AND(OR('3_보호자행동'!R14=1,'3_보호자행동'!R14=2),BC14&gt;=2),(IF(COUNT('2_개행동'!R5)=0,0,100-50*ABS('2_개행동'!R5))+IF(COUNT('2_개행동'!R6)=0,0,100-50*ABS('2_개행동'!R6))+IF(COUNT('2_개행동'!R30)=0,0,100-50*ABS('2_개행동'!R30)))/BC14,"")</f>
        <v/>
      </c>
      <c r="AX14" s="40" t="str">
        <f>IF(BF14&gt;=4,(IF(COUNT('2_개행동'!R13)=0,0,100-50*ABS('2_개행동'!R13))+IF(COUNT('2_개행동'!R14)=0,0,100-50*ABS('2_개행동'!R14))+IF(COUNT('2_개행동'!R15)=0,0,100-50*ABS('2_개행동'!R15))+IF(COUNT('2_개행동'!R51)=0,0,100-50*ABS('2_개행동'!R51))+IF(COUNT('2_개행동'!R52)=0,0,100-50*ABS('2_개행동'!R52))+IF(COUNT('2_개행동'!R54)=0,0,100-50*ABS('2_개행동'!R54))+IF(COUNT('2_개행동'!R55)=0,0,100-50*ABS('2_개행동'!R55)))/BF14,"")</f>
        <v/>
      </c>
      <c r="AY14" s="40" t="str">
        <f t="shared" si="5"/>
        <v/>
      </c>
      <c r="AZ14" s="40" t="str">
        <f>IF(COUNT('2_개행동'!R48)=0,"",'2_개행동'!R48)</f>
        <v/>
      </c>
      <c r="BA14" s="40" t="str">
        <f>IF(COUNT('2_개행동'!R5,'2_개행동'!R6,'2_개행동'!R30)=0,"",IF(COUNT('2_개행동'!R5)=0,0,MAX(0,-'2_개행동'!R5))+IF(COUNT('2_개행동'!R6)=0,0,MAX(0,-'2_개행동'!R6))+IF(COUNT('2_개행동'!R30)=0,0,MAX(0,-'2_개행동'!R30)))</f>
        <v/>
      </c>
      <c r="BB14" s="40" t="str">
        <f>IF(COUNT('2_개행동'!R5,'2_개행동'!R6,'2_개행동'!R30)=0,"",IF(COUNT('2_개행동'!R5)=0,0,MAX(0,'2_개행동'!R5))+IF(COUNT('2_개행동'!R6)=0,0,MAX(0,'2_개행동'!R6))+IF(COUNT('2_개행동'!R30)=0,0,MAX(0,'2_개행동'!R30)))</f>
        <v/>
      </c>
      <c r="BC14" s="40">
        <f>COUNT('2_개행동'!R5,'2_개행동'!R6,'2_개행동'!R30)</f>
        <v>0</v>
      </c>
      <c r="BD14" s="40" t="str">
        <f>IF(COUNT('2_개행동'!R13,'2_개행동'!R14,'2_개행동'!R15,'2_개행동'!R51,'2_개행동'!R52,'2_개행동'!R54,'2_개행동'!R55)=0,"",IF(COUNT('2_개행동'!R13)=0,0,MAX(0,-'2_개행동'!R13))+IF(COUNT('2_개행동'!R14)=0,0,MAX(0,-'2_개행동'!R14))+IF(COUNT('2_개행동'!R15)=0,0,MAX(0,-'2_개행동'!R15))+IF(COUNT('2_개행동'!R51)=0,0,MAX(0,-'2_개행동'!R51))+IF(COUNT('2_개행동'!R52)=0,0,MAX(0,-'2_개행동'!R52))+IF(COUNT('2_개행동'!R54)=0,0,MAX(0,-'2_개행동'!R54))+IF(COUNT('2_개행동'!R55)=0,0,MAX(0,-'2_개행동'!R55)))</f>
        <v/>
      </c>
      <c r="BE14" s="40" t="str">
        <f>IF(COUNT('2_개행동'!R13,'2_개행동'!R14,'2_개행동'!R15,'2_개행동'!R51,'2_개행동'!R52,'2_개행동'!R54,'2_개행동'!R55)=0,"",IF(COUNT('2_개행동'!R13)=0,0,MAX(0,'2_개행동'!R13))+IF(COUNT('2_개행동'!R14)=0,0,MAX(0,'2_개행동'!R14))+IF(COUNT('2_개행동'!R15)=0,0,MAX(0,'2_개행동'!R15))+IF(COUNT('2_개행동'!R51)=0,0,MAX(0,'2_개행동'!R51))+IF(COUNT('2_개행동'!R52)=0,0,MAX(0,'2_개행동'!R52))+IF(COUNT('2_개행동'!R54)=0,0,MAX(0,'2_개행동'!R54))+IF(COUNT('2_개행동'!R55)=0,0,MAX(0,'2_개행동'!R55)))</f>
        <v/>
      </c>
      <c r="BF14" s="40">
        <f>COUNT('2_개행동'!R13,'2_개행동'!R14,'2_개행동'!R15,'2_개행동'!R51,'2_개행동'!R52,'2_개행동'!R54,'2_개행동'!R55)</f>
        <v>0</v>
      </c>
      <c r="BG14" s="38" t="str">
        <f>IF(LEN(TRIM('2_개행동'!C78&amp;""))=0,"",'2_개행동'!C78)</f>
        <v/>
      </c>
      <c r="BH14" s="38" t="str">
        <f>IF(LEN(TRIM('2_개행동'!G78&amp;""))=0,"",'2_개행동'!G78)</f>
        <v/>
      </c>
      <c r="BI14" s="38" t="str">
        <f>'2_개행동'!I78</f>
        <v>미판정</v>
      </c>
      <c r="BJ14" s="38" t="str">
        <f>IF(M14="미판정","애착유형 미판정",IF(M14="유형 입력 확인","유형 입력을 확인해 주세요.",IF(LEN(TRIM(BG14&amp;""))=0,IF(M14="판정보류","판정보류 사유를 입력해 주세요.","관찰 근거 미기록: 유형 설명 보류"),IF(M14="곁에서 안심하는 사이",성향문장!C49,IF(M14="가까이 있어도 안심이 어려운 사이",성향문장!C50,IF(M14="거리를 두고 지내는 사이",성향문장!C51,IF(M14="다가감과 물러섬이 함께 나오는 사이",성향문장!C52,성향문장!C53)))))))</f>
        <v>애착유형 미판정</v>
      </c>
      <c r="BK14" s="37" t="str">
        <f>IF(COUNT('3_보호자행동'!R12)=0,"조건 미확인",IF('3_보호자행동'!R12=3,"조건 이탈",IF(COUNT('2_개행동'!R9,'2_개행동'!R17,'2_개행동'!R18,'2_개행동'!R19,'2_개행동'!R22)&lt;5,"자료 부족",IF(N('2_개행동'!R21)&gt;=2,"접근이 여러 번 바뀜 — 한 서술로 묶지 않음",IF(AND($AE14&gt;=2,$AF14&gt;=2),"섞여 있음",IF(-'2_개행동'!R9&gt;=1,IF(ABS('2_개행동'!R18)&lt;=1,IF($AF14&gt;=$AE14,"없을 때 흔들 → 있을 때 가라앉고 자기 일","없을 때 흔들 → 있을 때 가라앉고 곁에 붙음"),"없을 때 흔들 → 있을 때도 못 가라앉음"),IF($AE14&gt;=2,"없을 때 담담 → 있을 때 곁에 붙음","없을 때도 있을 때도 비슷")))))))</f>
        <v>조건 미확인</v>
      </c>
      <c r="BL14" s="37" t="str">
        <f>IF(OR(COUNT('1_바디시그널'!R$5)=0,COUNT('1_바디시그널'!R$38)=0),"",'1_바디시그널'!R$5-'1_바디시그널'!R$38)</f>
        <v/>
      </c>
      <c r="BM14" s="37" t="str">
        <f>IF(OR(COUNT('1_바디시그널'!R$9)=0,COUNT('1_바디시그널'!R$38)=0),"",'1_바디시그널'!R$9-'1_바디시그널'!R$38)</f>
        <v/>
      </c>
      <c r="BN14" s="37" t="str">
        <f>IF(OR(COUNT('1_바디시그널'!R$11)=0,COUNT('1_바디시그널'!R$38)=0),"",'1_바디시그널'!R$11-'1_바디시그널'!R$38)</f>
        <v/>
      </c>
      <c r="BO14" s="37" t="str">
        <f>IF(OR(COUNT('1_바디시그널'!R$13)=0,COUNT('1_바디시그널'!R$38)=0),"",'1_바디시그널'!R$13-'1_바디시그널'!R$38)</f>
        <v/>
      </c>
      <c r="BP14" s="37" t="str">
        <f>IF(OR(COUNT('1_바디시그널'!R$39)=0,COUNT('1_바디시그널'!R$38)=0),"",'1_바디시그널'!R$39-'1_바디시그널'!R$38)</f>
        <v/>
      </c>
      <c r="BQ14" s="37" t="str">
        <f>IF(OR(COUNT('1_바디시그널'!R$43)=0,COUNT('1_바디시그널'!R$38)=0),"",'1_바디시그널'!R$43-'1_바디시그널'!R$38)</f>
        <v/>
      </c>
      <c r="BR14" s="37" t="str">
        <f>IF(OR(COUNT('1_바디시그널'!R$44)=0,COUNT('1_바디시그널'!R$38)=0),"",'1_바디시그널'!R$44-'1_바디시그널'!R$38)</f>
        <v/>
      </c>
      <c r="BS14" s="37" t="str">
        <f>IF(OR(COUNT('1_바디시그널'!R$45)=0,COUNT('1_바디시그널'!R$38)=0),"",'1_바디시그널'!R$45-'1_바디시그널'!R$38)</f>
        <v/>
      </c>
      <c r="BT14" s="37" t="str">
        <f>IF(OR(COUNT('1_바디시그널'!R$41)=0,COUNT('1_바디시그널'!R$40)=0),"",'1_바디시그널'!R$41-'1_바디시그널'!R$40)</f>
        <v/>
      </c>
      <c r="BU14" s="37" t="str">
        <f>IF(OR(COUNT('1_바디시그널'!R$42)=0,COUNT('1_바디시그널'!R$40)=0),"",'1_바디시그널'!R$42-'1_바디시그널'!R$40)</f>
        <v/>
      </c>
      <c r="BV14" s="37">
        <f>N('2_개행동'!R$5&lt;=-1)+N('2_개행동'!R$6&lt;=-1)+IF(AND(COUNT('2_개행동'!R$30)=1,COUNT('3_보호자행동'!R$14)=1,'3_보호자행동'!R$14&lt;=2),N('2_개행동'!R$30&lt;=-1),0)</f>
        <v>0</v>
      </c>
      <c r="BW14" s="37">
        <f>N('2_개행동'!R$5&gt;=1)+N('2_개행동'!R$6&gt;=1)+IF(AND(COUNT('2_개행동'!R$30)=1,COUNT('3_보호자행동'!R$14)=1,'3_보호자행동'!R$14&lt;=2),N('2_개행동'!R$30&gt;=1),0)</f>
        <v>0</v>
      </c>
      <c r="BX14" s="37">
        <f>COUNT('2_개행동'!R$5,'2_개행동'!R$6)+IF(AND(COUNT('2_개행동'!R$30)=1,COUNT('3_보호자행동'!R$14)=1,'3_보호자행동'!R$14&lt;=2),1,0)</f>
        <v>0</v>
      </c>
      <c r="BY14" s="37" t="str">
        <f t="shared" si="6"/>
        <v>자료 부족</v>
      </c>
      <c r="BZ14" s="37" t="str">
        <f>"문 "&amp;IF(COUNT('2_개행동'!R$5)=0,"미확인",SUBSTITUTE(TEXT('2_개행동'!R$5,"+0;-0;0"),"-","−"))&amp;" · 바닥 "&amp;IF(COUNT('2_개행동'!R$6)=0,"미확인",SUBSTITUTE(TEXT('2_개행동'!R$6,"+0;-0;0"),"-","−"))&amp;" · 물건 "&amp;IF(AND(COUNT('2_개행동'!R$30)=1,COUNT('3_보호자행동'!R$14)=1,'3_보호자행동'!R$14&lt;=2),IF(COUNT('2_개행동'!R$30)=0,"미확인",SUBSTITUTE(TEXT('2_개행동'!R$30,"+0;-0;0"),"-","−")),"보류")&amp;"  /  꼬리 기준대비 입장 "&amp;IF(COUNT($BL14)=0,"미확인",SUBSTITUTE(TEXT($BL14,"+0;-0;0"),"-","−"))&amp;" · 바닥 "&amp;IF(COUNT($AP14)=0,"미확인",SUBSTITUTE(TEXT($AP14,"+0;-0;0"),"-","−"))&amp;" · 물건 "&amp;IF(COUNT($BR14)=0,"미확인",SUBSTITUTE(TEXT($BR14,"+0;-0;0"),"-","−"))&amp;"  /  긴장 신호 "&amp;IF(COUNT('1_바디시그널'!R$14,'1_바디시그널'!R$15,'1_바디시그널'!R$16)=0,"미확인",TEXT(SUM('1_바디시그널'!R$14,'1_바디시그널'!R$15,'1_바디시그널'!R$16),"0")&amp;"회")&amp;"  /  냄새 "&amp;IF(COUNT('2_개행동'!R$7)=0,"미확인",IF('2_개행동'!R$7=0,"씀","안 씀"))</f>
        <v>문 미확인 · 바닥 미확인 · 물건 보류  /  꼬리 기준대비 입장 미확인 · 바닥 미확인 · 물건 미확인  /  긴장 신호 미확인  /  냄새 미확인</v>
      </c>
      <c r="CA14" s="37" t="str">
        <f>IF(AND('6_행사전문가의견'!E168="완료",OR('6_행사전문가의견'!B170="주저함 · 거리를 벌림",'6_행사전문가의견'!B170="뚜렷한 치우침 없음",'6_행사전문가의견'!B170="살피지 않고 들이닥침",'6_행사전문가의견'!B170="자극에 따라 다름",'6_행사전문가의견'!B170="판단보류"),LEN(TRIM('6_행사전문가의견'!B171&amp;""))&gt;0),'6_행사전문가의견'!B170,"")</f>
        <v/>
      </c>
      <c r="CB14" s="37" t="str">
        <f>IF(AND('6_행사전문가의견'!E168="완료",OR('6_행사전문가의견'!B170="주저함 · 거리를 벌림",'6_행사전문가의견'!B170="뚜렷한 치우침 없음",'6_행사전문가의견'!B170="살피지 않고 들이닥침",'6_행사전문가의견'!B170="자극에 따라 다름",'6_행사전문가의견'!B170="판단보류"),LEN(TRIM('6_행사전문가의견'!B171&amp;""))&gt;0),'6_행사전문가의견'!B171,"")</f>
        <v/>
      </c>
      <c r="CC14" s="37" t="str">
        <f t="shared" si="7"/>
        <v>자료 부족</v>
      </c>
      <c r="CD14" s="38" t="str">
        <f>IF('6_행사전문가의견'!E168&lt;&gt;"완료","",IF(LEN(TRIM('6_행사전문가의견'!D161&amp;""))=0,"",'6_행사전문가의견'!D161))</f>
        <v/>
      </c>
      <c r="CE14" s="38" t="str">
        <f>IF('6_행사전문가의견'!E168&lt;&gt;"완료","",IF(LEN(TRIM('6_행사전문가의견'!D162&amp;""))=0,"",'6_행사전문가의견'!D162))</f>
        <v/>
      </c>
      <c r="CF14" s="38" t="str">
        <f>IF('6_행사전문가의견'!E168&lt;&gt;"완료","",IF(LEN(TRIM('6_행사전문가의견'!D163&amp;""))=0,"",'6_행사전문가의견'!D163))</f>
        <v/>
      </c>
      <c r="CG14" s="38" t="str">
        <f>IF('6_행사전문가의견'!E168&lt;&gt;"완료","",IF(LEN(TRIM('6_행사전문가의견'!D165&amp;""))=0,"",'6_행사전문가의견'!D165))</f>
        <v/>
      </c>
      <c r="CH14" s="38" t="str">
        <f>IF('6_행사전문가의견'!E168&lt;&gt;"완료","",IF(LEN(TRIM('6_행사전문가의견'!D167&amp;""))=0,"",'6_행사전문가의견'!D167))</f>
        <v/>
      </c>
      <c r="CI14" s="38" t="str">
        <f>IF('6_행사전문가의견'!E168&lt;&gt;"완료","",IF(LEN(TRIM('6_행사전문가의견'!C159&amp;""))=0,"",'6_행사전문가의견'!C159))</f>
        <v/>
      </c>
      <c r="CJ14" s="38" t="str">
        <f>'6_행사전문가의견'!E168</f>
        <v>미작성</v>
      </c>
      <c r="CK14" s="37" t="str">
        <f>'2_개행동'!R60</f>
        <v>미채점</v>
      </c>
      <c r="CL14" s="40" t="str">
        <f>IF(LEN(TRIM(CD14&amp;""))&gt;0,CD14,"분리 초기: "&amp;IF(COUNT('2_개행동'!R$9)=0,"자료 부족",INDEX('2_개행동'!$C$9:$G$9,1,'2_개행동'!R$9+3))&amp;" / 분리 이후: "&amp;IF(COUNT('2_개행동'!R$10)=0,"자료 부족",INDEX('2_개행동'!$C$10:$G$10,1,'2_개행동'!R$10+3))&amp;" / 변화: "&amp;CK14&amp;" / 분리·재회·무시 보조: "&amp;BK14&amp;" / 재회·무시 패턴: "&amp;AU14&amp;IF(M14="미판정",""," / 기본 유형: "&amp;M14&amp;IF(LEN(TRIM(BG14&amp;""))&gt;0," / 근거: "&amp;BG14,"")))</f>
        <v>분리 초기: 자료 부족 / 분리 이후: 자료 부족 / 변화: 미채점 / 분리·재회·무시 보조: 조건 미확인 / 재회·무시 패턴: 조건 미확인</v>
      </c>
      <c r="CM14" s="40" t="str">
        <f>IF(LEN(TRIM(CE14&amp;""))&gt;0,CE14,IF(LEN(TRIM(AQ14&amp;""))=0,"",AQ14&amp;IF(LEN(TRIM(AR14&amp;""))&gt;0,". "&amp;AR14,IF(COUNT('3_보호자행동'!P59)=0," (자동 초안 · 근거 비율 미산출)"," (자동 초안 · 허용 "&amp;TEXT('3_보호자행동'!P59,"0.00")&amp;" / 조율 "&amp;TEXT('3_보호자행동'!Q59,"0.00")&amp;" / 통제 "&amp;TEXT('3_보호자행동'!R59,"0.00")&amp;")"))))</f>
        <v>판정보류 (자동 초안 · 근거 비율 미산출)</v>
      </c>
      <c r="CN14" s="40" t="str">
        <f t="shared" si="8"/>
        <v>자료 부족</v>
      </c>
      <c r="CO14" s="40" t="str">
        <f t="shared" si="9"/>
        <v>조건 미확인</v>
      </c>
      <c r="CP14" s="40" t="str">
        <f t="shared" si="10"/>
        <v/>
      </c>
      <c r="CQ14" s="40" t="str">
        <f>IF('6_행사전문가의견'!E168&lt;&gt;"완료","",IF(LEN(TRIM('6_행사전문가의견'!D164&amp;""))=0,"",'6_행사전문가의견'!D164))</f>
        <v/>
      </c>
      <c r="CR14" s="40" t="str">
        <f>IF('6_행사전문가의견'!E168&lt;&gt;"완료","",IF(LEN(TRIM('6_행사전문가의견'!D166&amp;""))=0,"",'6_행사전문가의견'!D166))</f>
        <v/>
      </c>
      <c r="CS14" s="40" t="str">
        <f t="shared" si="11"/>
        <v/>
      </c>
      <c r="CT14" s="40" t="str">
        <f t="shared" si="12"/>
        <v/>
      </c>
      <c r="CU14" s="37" t="str">
        <f>IF(LEN(TRIM('3_보호자행동'!U59&amp;""))=0,"",'3_보호자행동'!U59)</f>
        <v>자동 초안</v>
      </c>
    </row>
    <row r="15" spans="1:99" ht="81.95" customHeight="1" x14ac:dyDescent="0.3">
      <c r="A15" s="16">
        <v>10</v>
      </c>
      <c r="B15" s="16"/>
      <c r="C15" s="16"/>
      <c r="D15" s="50" t="str">
        <f>IF(COUNT('3_보호자행동'!S5)=0,"",'3_보호자행동'!S5)</f>
        <v/>
      </c>
      <c r="E15" s="16" t="str">
        <f>IF(COUNT('3_보호자행동'!S6)=0,"",'3_보호자행동'!S6)</f>
        <v/>
      </c>
      <c r="F15" s="16" t="str">
        <f>IF(COUNT('3_보호자행동'!S9)=0,"",'3_보호자행동'!S9)</f>
        <v/>
      </c>
      <c r="G15" s="50" t="str">
        <f>IF(AND(OR('3_보호자행동'!S14=1,'3_보호자행동'!S14=2),BC15&gt;=2),BA15/BC15,"")</f>
        <v/>
      </c>
      <c r="H15" s="16" t="str">
        <f>IF(AND(OR('3_보호자행동'!S14=1,'3_보호자행동'!S14=2),BC15&gt;=2),BB15/BC15,"")</f>
        <v/>
      </c>
      <c r="I15" s="17">
        <f t="shared" si="0"/>
        <v>0</v>
      </c>
      <c r="J15" s="16" t="str">
        <f t="shared" si="1"/>
        <v>자료 부족</v>
      </c>
      <c r="K15" s="16" t="str">
        <f t="shared" si="2"/>
        <v/>
      </c>
      <c r="L15" s="16" t="str">
        <f t="shared" si="3"/>
        <v/>
      </c>
      <c r="M15" s="16" t="str">
        <f>IF(LEN(TRIM('2_개행동'!B79&amp;""))=0,"미판정",IF(OR('2_개행동'!B79="곁에서 안심하는 사이",'2_개행동'!B79="가까이 있어도 안심이 어려운 사이",'2_개행동'!B79="거리를 두고 지내는 사이",'2_개행동'!B79="다가감과 물러섬이 함께 나오는 사이",'2_개행동'!B79="판정보류"),'2_개행동'!B79,"유형 입력 확인"))</f>
        <v>미판정</v>
      </c>
      <c r="N15" s="16" t="str">
        <f>IF(COUNT('2_개행동'!S18)=0,"",'2_개행동'!S18)</f>
        <v/>
      </c>
      <c r="O15" s="16" t="str">
        <f>IF(COUNT('2_개행동'!S47)=0,"",'2_개행동'!S47)</f>
        <v/>
      </c>
      <c r="P15" s="50" t="str">
        <f>IF(OR('3_보호자행동'!S13=1,'3_보호자행동'!S13=2),IF(COUNT('2_개행동'!S24)=0,"",'2_개행동'!S24),"")</f>
        <v/>
      </c>
      <c r="Q15" s="16" t="str">
        <f>IF(OR('3_보호자행동'!S13=1,'3_보호자행동'!S13=2),IF(COUNT('2_개행동'!S25)=0,"",'2_개행동'!S25),"")</f>
        <v/>
      </c>
      <c r="R15" s="51" t="str">
        <f t="shared" si="4"/>
        <v/>
      </c>
      <c r="S15" s="50" t="str">
        <f>IF(COUNT('2_개행동'!S28)=0,"",'2_개행동'!S28)</f>
        <v/>
      </c>
      <c r="T15" s="16" t="str">
        <f>IF(COUNT('2_개행동'!S34)=0,"",'2_개행동'!S34)</f>
        <v/>
      </c>
      <c r="U15" s="16" t="str">
        <f>IF(COUNT('2_개행동'!S50)=0,"",'2_개행동'!S50)</f>
        <v/>
      </c>
      <c r="V15" s="52" t="str">
        <f>IF(AND(COUNT('2_개행동'!S8,'2_개행동'!S23)=2,OR('3_보호자행동'!S12=1,'3_보호자행동'!S12=2)),ABS('2_개행동'!S8)-ABS('2_개행동'!S23),"")</f>
        <v/>
      </c>
      <c r="W15" s="52" t="str">
        <f>IF(COUNT('2_개행동'!S58,'2_개행동'!S18)&lt;2,"",ABS('2_개행동'!S58)-ABS('2_개행동'!S18))</f>
        <v/>
      </c>
      <c r="X15" s="52"/>
      <c r="Y15" s="16" t="str">
        <f>IF(COUNT('2_개행동'!S8)=0,"",'2_개행동'!S8)</f>
        <v/>
      </c>
      <c r="Z15" s="51" t="str">
        <f>IF(COUNT('2_개행동'!S27)=0,"",'2_개행동'!S27)</f>
        <v/>
      </c>
      <c r="AA15" s="18"/>
      <c r="AB15" s="16" t="str">
        <f>IF(COUNT('2_개행동'!S9)=0,"",'2_개행동'!S9)</f>
        <v/>
      </c>
      <c r="AC15" s="16" t="str">
        <f>IF(COUNT('2_개행동'!S10)=0,"",'2_개행동'!S10)</f>
        <v/>
      </c>
      <c r="AD15" s="16" t="str">
        <f>IF(COUNT('2_개행동'!S18)=0,"",'2_개행동'!S18)</f>
        <v/>
      </c>
      <c r="AE15" s="16" t="str">
        <f>IF(AND(COUNT('2_개행동'!S17,'2_개행동'!S19,'2_개행동'!S22)=3,OR('3_보호자행동'!S12=1,'3_보호자행동'!S12=2)),IF(COUNT('2_개행동'!S17)=0,0,MAX(0,-'2_개행동'!S17))+IF(COUNT('2_개행동'!S19)=0,0,MAX(0,-'2_개행동'!S19))+IF(COUNT('2_개행동'!S22)=0,0,MAX(0,-'2_개행동'!S22)),"")</f>
        <v/>
      </c>
      <c r="AF15" s="16" t="str">
        <f>IF(AND(COUNT('2_개행동'!S17,'2_개행동'!S19,'2_개행동'!S22)=3,OR('3_보호자행동'!S12=1,'3_보호자행동'!S12=2)),IF(COUNT('2_개행동'!S17)=0,0,MAX(0,'2_개행동'!S17))+IF(COUNT('2_개행동'!S19)=0,0,MAX(0,'2_개행동'!S19))+IF(COUNT('2_개행동'!S22)=0,0,MAX(0,'2_개행동'!S22)),"")</f>
        <v/>
      </c>
      <c r="AG15" s="40" t="str">
        <f>IF(COUNT('3_보호자행동'!S14)=0,"조건 미확인",IF('3_보호자행동'!S14=3,"조건 이탈",IF(BC15&lt;2,"자료 부족",IF(AND(BA15&gt;0,BB15&gt;0),"양방향 관찰",IF(BA15&gt;0,"−방향 관찰",IF(BB15&gt;0,"+방향 관찰","중앙범주만 관찰"))))))</f>
        <v>조건 미확인</v>
      </c>
      <c r="AH15" s="40" t="str">
        <f>IF(COUNT('3_보호자행동'!S13)=0,"조건 미확인",IF('3_보호자행동'!S13=3,"조건 이탈",IF(COUNT('2_개행동'!S24)=0,"자료 부족",CHOOSE('2_개행동'!S24+3,"−2","−1","0","+1","+2"))))</f>
        <v>조건 미확인</v>
      </c>
      <c r="AI15" s="40" t="str">
        <f>IF(COUNT('2_개행동'!S28)=0,"자료 부족",CHOOSE('2_개행동'!S28+3,"−2","−1","0","+1","+2"))</f>
        <v>자료 부족</v>
      </c>
      <c r="AJ15" s="40" t="str">
        <f>IF(COUNT('2_개행동'!S8,'2_개행동'!S14,'2_개행동'!S18,'2_개행동'!S23,'2_개행동'!S44,'2_개행동'!S52,'2_개행동'!S58)=0,"",IF(COUNT('2_개행동'!S8)=0,0,IF('2_개행동'!S8&lt;0,1,0))+IF(COUNT('2_개행동'!S14)=0,0,IF('2_개행동'!S14&lt;0,1,0))+IF(COUNT('2_개행동'!S18)=0,0,IF('2_개행동'!S18&lt;0,1,0))+IF(COUNT('2_개행동'!S23)=0,0,IF('2_개행동'!S23&lt;0,1,0))+IF(COUNT('2_개행동'!S44)=0,0,IF('2_개행동'!S44&lt;0,1,0))+IF(COUNT('2_개행동'!S52)=0,0,IF('2_개행동'!S52&lt;0,1,0))+IF(COUNT('2_개행동'!S58)=0,0,IF('2_개행동'!S58&lt;0,1,0)))</f>
        <v/>
      </c>
      <c r="AK15" s="40" t="str">
        <f>IF(COUNT('2_개행동'!S8,'2_개행동'!S14,'2_개행동'!S18,'2_개행동'!S23,'2_개행동'!S44,'2_개행동'!S52,'2_개행동'!S58)=0,"",IF(COUNT('2_개행동'!S8)=0,0,IF('2_개행동'!S8&gt;0,1,0))+IF(COUNT('2_개행동'!S14)=0,0,IF('2_개행동'!S14&gt;0,1,0))+IF(COUNT('2_개행동'!S18)=0,0,IF('2_개행동'!S18&gt;0,1,0))+IF(COUNT('2_개행동'!S23)=0,0,IF('2_개행동'!S23&gt;0,1,0))+IF(COUNT('2_개행동'!S44)=0,0,IF('2_개행동'!S44&gt;0,1,0))+IF(COUNT('2_개행동'!S52)=0,0,IF('2_개행동'!S52&gt;0,1,0))+IF(COUNT('2_개행동'!S58)=0,0,IF('2_개행동'!S58&gt;0,1,0)))</f>
        <v/>
      </c>
      <c r="AL15" s="40" t="str">
        <f>IF(COUNT('2_개행동'!S8,'2_개행동'!S14,'2_개행동'!S18,'2_개행동'!S23,'2_개행동'!S44,'2_개행동'!S52,'2_개행동'!S58)&lt;1,"자료 부족",IF(AND(AJ15&gt;0,AK15&gt;0),"양방향 관찰",IF(AJ15&gt;0,"−방향 관찰",IF(AK15&gt;0,"+방향 관찰","중앙범주만 관찰"))))</f>
        <v>자료 부족</v>
      </c>
      <c r="AM15" s="40" t="str">
        <f>IF(AND(COUNT('2_개행동'!S30,'2_개행동'!S34)=2,OR('3_보호자행동'!S14=1,'3_보호자행동'!S14=2)),IF('2_개행동'!S30='2_개행동'!S34,"같은 범주","범주 변화"),"비교 보류")</f>
        <v>비교 보류</v>
      </c>
      <c r="AN15" s="40" t="str">
        <f>IF(COUNT('2_개행동'!S5)=0,"자료 부족",CHOOSE('2_개행동'!S5+3,"−2","−1","0","+1","+2"))</f>
        <v>자료 부족</v>
      </c>
      <c r="AO15" s="40" t="str">
        <f>IF(COUNT('3_보호자행동'!S13)=0,"조건 미확인",IF('3_보호자행동'!S13=3,"조건 이탈",IF(COUNT('2_개행동'!S25)=0,"자료 부족",CHOOSE('2_개행동'!S25+3,"−2","−1","0","+1","+2"))))</f>
        <v>조건 미확인</v>
      </c>
      <c r="AP15" s="40" t="str">
        <f>IF(COUNT('1_바디시그널'!S7,'1_바디시그널'!S38)&lt;2,"",'1_바디시그널'!S7-'1_바디시그널'!S38)</f>
        <v/>
      </c>
      <c r="AQ15" s="38" t="str">
        <f>IF(LEN(TRIM('3_보호자행동'!T60&amp;""))=0,"",'3_보호자행동'!T60)</f>
        <v>판정보류</v>
      </c>
      <c r="AR15" s="38" t="str">
        <f>IF('3_보호자행동'!U60&lt;&gt;"채점자 선택","",IF(LEN(TRIM('3_보호자행동'!C60&amp;""))=0,"",'3_보호자행동'!C60))</f>
        <v/>
      </c>
      <c r="AS15" s="38" t="str">
        <f>'3_보호자행동'!I60</f>
        <v>자동 · 판정보류</v>
      </c>
      <c r="AT15" s="38" t="str">
        <f>IF('3_보호자행동'!U60="채점자 선택",'3_보호자행동'!G60,"")</f>
        <v/>
      </c>
      <c r="AU15" s="40" t="str">
        <f>IF(COUNT('3_보호자행동'!S12)=0,"조건 미확인",IF('3_보호자행동'!S12=3,"조건 이탈",IF(COUNT(AE15,AF15,'2_개행동'!S18)&lt;3,"자료 부족",IF(AND(AE15&gt;=2,AF15&gt;=2),"접촉·거리 반응 혼재",IF(ABS('2_개행동'!S18)=2,"재회 몸 상태 지속",IF(AF15&gt;=3,"거리 유지 관찰",IF(AE15&gt;=4,"접촉 유지 관찰","기준상 뚜렷한 치우침 없음")))))))</f>
        <v>조건 미확인</v>
      </c>
      <c r="AV15" s="40" t="str">
        <f>"발성량: 혼자 "&amp;IF(COUNT('2_개행동'!S11)=0,"미확인",TEXT('2_개행동'!S11,"0"))&amp;" / 재회 "&amp;IF(COUNT('2_개행동'!S47)=0,"미확인",TEXT('2_개행동'!S47,"0"))&amp;" / 무시 "&amp;IF(COUNT('2_개행동'!S48)=0,"미확인",TEXT('2_개행동'!S48,"0"))&amp;" · 접근 변화 사건 "&amp;IF(COUNT('2_개행동'!S21)=0,"미확인",TEXT('2_개행동'!S21,"0"))</f>
        <v>발성량: 혼자 미확인 / 재회 미확인 / 무시 미확인 · 접근 변화 사건 미확인</v>
      </c>
      <c r="AW15" s="40" t="str">
        <f>IF(AND(OR('3_보호자행동'!S14=1,'3_보호자행동'!S14=2),BC15&gt;=2),(IF(COUNT('2_개행동'!S5)=0,0,100-50*ABS('2_개행동'!S5))+IF(COUNT('2_개행동'!S6)=0,0,100-50*ABS('2_개행동'!S6))+IF(COUNT('2_개행동'!S30)=0,0,100-50*ABS('2_개행동'!S30)))/BC15,"")</f>
        <v/>
      </c>
      <c r="AX15" s="40" t="str">
        <f>IF(BF15&gt;=4,(IF(COUNT('2_개행동'!S13)=0,0,100-50*ABS('2_개행동'!S13))+IF(COUNT('2_개행동'!S14)=0,0,100-50*ABS('2_개행동'!S14))+IF(COUNT('2_개행동'!S15)=0,0,100-50*ABS('2_개행동'!S15))+IF(COUNT('2_개행동'!S51)=0,0,100-50*ABS('2_개행동'!S51))+IF(COUNT('2_개행동'!S52)=0,0,100-50*ABS('2_개행동'!S52))+IF(COUNT('2_개행동'!S54)=0,0,100-50*ABS('2_개행동'!S54))+IF(COUNT('2_개행동'!S55)=0,0,100-50*ABS('2_개행동'!S55)))/BF15,"")</f>
        <v/>
      </c>
      <c r="AY15" s="40" t="str">
        <f t="shared" si="5"/>
        <v/>
      </c>
      <c r="AZ15" s="40" t="str">
        <f>IF(COUNT('2_개행동'!S48)=0,"",'2_개행동'!S48)</f>
        <v/>
      </c>
      <c r="BA15" s="40" t="str">
        <f>IF(COUNT('2_개행동'!S5,'2_개행동'!S6,'2_개행동'!S30)=0,"",IF(COUNT('2_개행동'!S5)=0,0,MAX(0,-'2_개행동'!S5))+IF(COUNT('2_개행동'!S6)=0,0,MAX(0,-'2_개행동'!S6))+IF(COUNT('2_개행동'!S30)=0,0,MAX(0,-'2_개행동'!S30)))</f>
        <v/>
      </c>
      <c r="BB15" s="40" t="str">
        <f>IF(COUNT('2_개행동'!S5,'2_개행동'!S6,'2_개행동'!S30)=0,"",IF(COUNT('2_개행동'!S5)=0,0,MAX(0,'2_개행동'!S5))+IF(COUNT('2_개행동'!S6)=0,0,MAX(0,'2_개행동'!S6))+IF(COUNT('2_개행동'!S30)=0,0,MAX(0,'2_개행동'!S30)))</f>
        <v/>
      </c>
      <c r="BC15" s="40">
        <f>COUNT('2_개행동'!S5,'2_개행동'!S6,'2_개행동'!S30)</f>
        <v>0</v>
      </c>
      <c r="BD15" s="40" t="str">
        <f>IF(COUNT('2_개행동'!S13,'2_개행동'!S14,'2_개행동'!S15,'2_개행동'!S51,'2_개행동'!S52,'2_개행동'!S54,'2_개행동'!S55)=0,"",IF(COUNT('2_개행동'!S13)=0,0,MAX(0,-'2_개행동'!S13))+IF(COUNT('2_개행동'!S14)=0,0,MAX(0,-'2_개행동'!S14))+IF(COUNT('2_개행동'!S15)=0,0,MAX(0,-'2_개행동'!S15))+IF(COUNT('2_개행동'!S51)=0,0,MAX(0,-'2_개행동'!S51))+IF(COUNT('2_개행동'!S52)=0,0,MAX(0,-'2_개행동'!S52))+IF(COUNT('2_개행동'!S54)=0,0,MAX(0,-'2_개행동'!S54))+IF(COUNT('2_개행동'!S55)=0,0,MAX(0,-'2_개행동'!S55)))</f>
        <v/>
      </c>
      <c r="BE15" s="40" t="str">
        <f>IF(COUNT('2_개행동'!S13,'2_개행동'!S14,'2_개행동'!S15,'2_개행동'!S51,'2_개행동'!S52,'2_개행동'!S54,'2_개행동'!S55)=0,"",IF(COUNT('2_개행동'!S13)=0,0,MAX(0,'2_개행동'!S13))+IF(COUNT('2_개행동'!S14)=0,0,MAX(0,'2_개행동'!S14))+IF(COUNT('2_개행동'!S15)=0,0,MAX(0,'2_개행동'!S15))+IF(COUNT('2_개행동'!S51)=0,0,MAX(0,'2_개행동'!S51))+IF(COUNT('2_개행동'!S52)=0,0,MAX(0,'2_개행동'!S52))+IF(COUNT('2_개행동'!S54)=0,0,MAX(0,'2_개행동'!S54))+IF(COUNT('2_개행동'!S55)=0,0,MAX(0,'2_개행동'!S55)))</f>
        <v/>
      </c>
      <c r="BF15" s="40">
        <f>COUNT('2_개행동'!S13,'2_개행동'!S14,'2_개행동'!S15,'2_개행동'!S51,'2_개행동'!S52,'2_개행동'!S54,'2_개행동'!S55)</f>
        <v>0</v>
      </c>
      <c r="BG15" s="38" t="str">
        <f>IF(LEN(TRIM('2_개행동'!C79&amp;""))=0,"",'2_개행동'!C79)</f>
        <v/>
      </c>
      <c r="BH15" s="38" t="str">
        <f>IF(LEN(TRIM('2_개행동'!G79&amp;""))=0,"",'2_개행동'!G79)</f>
        <v/>
      </c>
      <c r="BI15" s="38" t="str">
        <f>'2_개행동'!I79</f>
        <v>미판정</v>
      </c>
      <c r="BJ15" s="38" t="str">
        <f>IF(M15="미판정","애착유형 미판정",IF(M15="유형 입력 확인","유형 입력을 확인해 주세요.",IF(LEN(TRIM(BG15&amp;""))=0,IF(M15="판정보류","판정보류 사유를 입력해 주세요.","관찰 근거 미기록: 유형 설명 보류"),IF(M15="곁에서 안심하는 사이",성향문장!C49,IF(M15="가까이 있어도 안심이 어려운 사이",성향문장!C50,IF(M15="거리를 두고 지내는 사이",성향문장!C51,IF(M15="다가감과 물러섬이 함께 나오는 사이",성향문장!C52,성향문장!C53)))))))</f>
        <v>애착유형 미판정</v>
      </c>
      <c r="BK15" s="37" t="str">
        <f>IF(COUNT('3_보호자행동'!S12)=0,"조건 미확인",IF('3_보호자행동'!S12=3,"조건 이탈",IF(COUNT('2_개행동'!S9,'2_개행동'!S17,'2_개행동'!S18,'2_개행동'!S19,'2_개행동'!S22)&lt;5,"자료 부족",IF(N('2_개행동'!S21)&gt;=2,"접근이 여러 번 바뀜 — 한 서술로 묶지 않음",IF(AND($AE15&gt;=2,$AF15&gt;=2),"섞여 있음",IF(-'2_개행동'!S9&gt;=1,IF(ABS('2_개행동'!S18)&lt;=1,IF($AF15&gt;=$AE15,"없을 때 흔들 → 있을 때 가라앉고 자기 일","없을 때 흔들 → 있을 때 가라앉고 곁에 붙음"),"없을 때 흔들 → 있을 때도 못 가라앉음"),IF($AE15&gt;=2,"없을 때 담담 → 있을 때 곁에 붙음","없을 때도 있을 때도 비슷")))))))</f>
        <v>조건 미확인</v>
      </c>
      <c r="BL15" s="37" t="str">
        <f>IF(OR(COUNT('1_바디시그널'!S$5)=0,COUNT('1_바디시그널'!S$38)=0),"",'1_바디시그널'!S$5-'1_바디시그널'!S$38)</f>
        <v/>
      </c>
      <c r="BM15" s="37" t="str">
        <f>IF(OR(COUNT('1_바디시그널'!S$9)=0,COUNT('1_바디시그널'!S$38)=0),"",'1_바디시그널'!S$9-'1_바디시그널'!S$38)</f>
        <v/>
      </c>
      <c r="BN15" s="37" t="str">
        <f>IF(OR(COUNT('1_바디시그널'!S$11)=0,COUNT('1_바디시그널'!S$38)=0),"",'1_바디시그널'!S$11-'1_바디시그널'!S$38)</f>
        <v/>
      </c>
      <c r="BO15" s="37" t="str">
        <f>IF(OR(COUNT('1_바디시그널'!S$13)=0,COUNT('1_바디시그널'!S$38)=0),"",'1_바디시그널'!S$13-'1_바디시그널'!S$38)</f>
        <v/>
      </c>
      <c r="BP15" s="37" t="str">
        <f>IF(OR(COUNT('1_바디시그널'!S$39)=0,COUNT('1_바디시그널'!S$38)=0),"",'1_바디시그널'!S$39-'1_바디시그널'!S$38)</f>
        <v/>
      </c>
      <c r="BQ15" s="37" t="str">
        <f>IF(OR(COUNT('1_바디시그널'!S$43)=0,COUNT('1_바디시그널'!S$38)=0),"",'1_바디시그널'!S$43-'1_바디시그널'!S$38)</f>
        <v/>
      </c>
      <c r="BR15" s="37" t="str">
        <f>IF(OR(COUNT('1_바디시그널'!S$44)=0,COUNT('1_바디시그널'!S$38)=0),"",'1_바디시그널'!S$44-'1_바디시그널'!S$38)</f>
        <v/>
      </c>
      <c r="BS15" s="37" t="str">
        <f>IF(OR(COUNT('1_바디시그널'!S$45)=0,COUNT('1_바디시그널'!S$38)=0),"",'1_바디시그널'!S$45-'1_바디시그널'!S$38)</f>
        <v/>
      </c>
      <c r="BT15" s="37" t="str">
        <f>IF(OR(COUNT('1_바디시그널'!S$41)=0,COUNT('1_바디시그널'!S$40)=0),"",'1_바디시그널'!S$41-'1_바디시그널'!S$40)</f>
        <v/>
      </c>
      <c r="BU15" s="37" t="str">
        <f>IF(OR(COUNT('1_바디시그널'!S$42)=0,COUNT('1_바디시그널'!S$40)=0),"",'1_바디시그널'!S$42-'1_바디시그널'!S$40)</f>
        <v/>
      </c>
      <c r="BV15" s="37">
        <f>N('2_개행동'!S$5&lt;=-1)+N('2_개행동'!S$6&lt;=-1)+IF(AND(COUNT('2_개행동'!S$30)=1,COUNT('3_보호자행동'!S$14)=1,'3_보호자행동'!S$14&lt;=2),N('2_개행동'!S$30&lt;=-1),0)</f>
        <v>0</v>
      </c>
      <c r="BW15" s="37">
        <f>N('2_개행동'!S$5&gt;=1)+N('2_개행동'!S$6&gt;=1)+IF(AND(COUNT('2_개행동'!S$30)=1,COUNT('3_보호자행동'!S$14)=1,'3_보호자행동'!S$14&lt;=2),N('2_개행동'!S$30&gt;=1),0)</f>
        <v>0</v>
      </c>
      <c r="BX15" s="37">
        <f>COUNT('2_개행동'!S$5,'2_개행동'!S$6)+IF(AND(COUNT('2_개행동'!S$30)=1,COUNT('3_보호자행동'!S$14)=1,'3_보호자행동'!S$14&lt;=2),1,0)</f>
        <v>0</v>
      </c>
      <c r="BY15" s="37" t="str">
        <f t="shared" si="6"/>
        <v>자료 부족</v>
      </c>
      <c r="BZ15" s="37" t="str">
        <f>"문 "&amp;IF(COUNT('2_개행동'!S$5)=0,"미확인",SUBSTITUTE(TEXT('2_개행동'!S$5,"+0;-0;0"),"-","−"))&amp;" · 바닥 "&amp;IF(COUNT('2_개행동'!S$6)=0,"미확인",SUBSTITUTE(TEXT('2_개행동'!S$6,"+0;-0;0"),"-","−"))&amp;" · 물건 "&amp;IF(AND(COUNT('2_개행동'!S$30)=1,COUNT('3_보호자행동'!S$14)=1,'3_보호자행동'!S$14&lt;=2),IF(COUNT('2_개행동'!S$30)=0,"미확인",SUBSTITUTE(TEXT('2_개행동'!S$30,"+0;-0;0"),"-","−")),"보류")&amp;"  /  꼬리 기준대비 입장 "&amp;IF(COUNT($BL15)=0,"미확인",SUBSTITUTE(TEXT($BL15,"+0;-0;0"),"-","−"))&amp;" · 바닥 "&amp;IF(COUNT($AP15)=0,"미확인",SUBSTITUTE(TEXT($AP15,"+0;-0;0"),"-","−"))&amp;" · 물건 "&amp;IF(COUNT($BR15)=0,"미확인",SUBSTITUTE(TEXT($BR15,"+0;-0;0"),"-","−"))&amp;"  /  긴장 신호 "&amp;IF(COUNT('1_바디시그널'!S$14,'1_바디시그널'!S$15,'1_바디시그널'!S$16)=0,"미확인",TEXT(SUM('1_바디시그널'!S$14,'1_바디시그널'!S$15,'1_바디시그널'!S$16),"0")&amp;"회")&amp;"  /  냄새 "&amp;IF(COUNT('2_개행동'!S$7)=0,"미확인",IF('2_개행동'!S$7=0,"씀","안 씀"))</f>
        <v>문 미확인 · 바닥 미확인 · 물건 보류  /  꼬리 기준대비 입장 미확인 · 바닥 미확인 · 물건 미확인  /  긴장 신호 미확인  /  냄새 미확인</v>
      </c>
      <c r="CA15" s="37" t="str">
        <f>IF(AND('6_행사전문가의견'!E184="완료",OR('6_행사전문가의견'!B186="주저함 · 거리를 벌림",'6_행사전문가의견'!B186="뚜렷한 치우침 없음",'6_행사전문가의견'!B186="살피지 않고 들이닥침",'6_행사전문가의견'!B186="자극에 따라 다름",'6_행사전문가의견'!B186="판단보류"),LEN(TRIM('6_행사전문가의견'!B187&amp;""))&gt;0),'6_행사전문가의견'!B186,"")</f>
        <v/>
      </c>
      <c r="CB15" s="37" t="str">
        <f>IF(AND('6_행사전문가의견'!E184="완료",OR('6_행사전문가의견'!B186="주저함 · 거리를 벌림",'6_행사전문가의견'!B186="뚜렷한 치우침 없음",'6_행사전문가의견'!B186="살피지 않고 들이닥침",'6_행사전문가의견'!B186="자극에 따라 다름",'6_행사전문가의견'!B186="판단보류"),LEN(TRIM('6_행사전문가의견'!B187&amp;""))&gt;0),'6_행사전문가의견'!B187,"")</f>
        <v/>
      </c>
      <c r="CC15" s="37" t="str">
        <f t="shared" si="7"/>
        <v>자료 부족</v>
      </c>
      <c r="CD15" s="38" t="str">
        <f>IF('6_행사전문가의견'!E184&lt;&gt;"완료","",IF(LEN(TRIM('6_행사전문가의견'!D177&amp;""))=0,"",'6_행사전문가의견'!D177))</f>
        <v/>
      </c>
      <c r="CE15" s="38" t="str">
        <f>IF('6_행사전문가의견'!E184&lt;&gt;"완료","",IF(LEN(TRIM('6_행사전문가의견'!D178&amp;""))=0,"",'6_행사전문가의견'!D178))</f>
        <v/>
      </c>
      <c r="CF15" s="38" t="str">
        <f>IF('6_행사전문가의견'!E184&lt;&gt;"완료","",IF(LEN(TRIM('6_행사전문가의견'!D179&amp;""))=0,"",'6_행사전문가의견'!D179))</f>
        <v/>
      </c>
      <c r="CG15" s="38" t="str">
        <f>IF('6_행사전문가의견'!E184&lt;&gt;"완료","",IF(LEN(TRIM('6_행사전문가의견'!D181&amp;""))=0,"",'6_행사전문가의견'!D181))</f>
        <v/>
      </c>
      <c r="CH15" s="38" t="str">
        <f>IF('6_행사전문가의견'!E184&lt;&gt;"완료","",IF(LEN(TRIM('6_행사전문가의견'!D183&amp;""))=0,"",'6_행사전문가의견'!D183))</f>
        <v/>
      </c>
      <c r="CI15" s="38" t="str">
        <f>IF('6_행사전문가의견'!E184&lt;&gt;"완료","",IF(LEN(TRIM('6_행사전문가의견'!C175&amp;""))=0,"",'6_행사전문가의견'!C175))</f>
        <v/>
      </c>
      <c r="CJ15" s="38" t="str">
        <f>'6_행사전문가의견'!E184</f>
        <v>미작성</v>
      </c>
      <c r="CK15" s="37" t="str">
        <f>'2_개행동'!S60</f>
        <v>미채점</v>
      </c>
      <c r="CL15" s="40" t="str">
        <f>IF(LEN(TRIM(CD15&amp;""))&gt;0,CD15,"분리 초기: "&amp;IF(COUNT('2_개행동'!S$9)=0,"자료 부족",INDEX('2_개행동'!$C$9:$G$9,1,'2_개행동'!S$9+3))&amp;" / 분리 이후: "&amp;IF(COUNT('2_개행동'!S$10)=0,"자료 부족",INDEX('2_개행동'!$C$10:$G$10,1,'2_개행동'!S$10+3))&amp;" / 변화: "&amp;CK15&amp;" / 분리·재회·무시 보조: "&amp;BK15&amp;" / 재회·무시 패턴: "&amp;AU15&amp;IF(M15="미판정",""," / 기본 유형: "&amp;M15&amp;IF(LEN(TRIM(BG15&amp;""))&gt;0," / 근거: "&amp;BG15,"")))</f>
        <v>분리 초기: 자료 부족 / 분리 이후: 자료 부족 / 변화: 미채점 / 분리·재회·무시 보조: 조건 미확인 / 재회·무시 패턴: 조건 미확인</v>
      </c>
      <c r="CM15" s="40" t="str">
        <f>IF(LEN(TRIM(CE15&amp;""))&gt;0,CE15,IF(LEN(TRIM(AQ15&amp;""))=0,"",AQ15&amp;IF(LEN(TRIM(AR15&amp;""))&gt;0,". "&amp;AR15,IF(COUNT('3_보호자행동'!P60)=0," (자동 초안 · 근거 비율 미산출)"," (자동 초안 · 허용 "&amp;TEXT('3_보호자행동'!P60,"0.00")&amp;" / 조율 "&amp;TEXT('3_보호자행동'!Q60,"0.00")&amp;" / 통제 "&amp;TEXT('3_보호자행동'!R60,"0.00")&amp;")"))))</f>
        <v>판정보류 (자동 초안 · 근거 비율 미산출)</v>
      </c>
      <c r="CN15" s="40" t="str">
        <f t="shared" si="8"/>
        <v>자료 부족</v>
      </c>
      <c r="CO15" s="40" t="str">
        <f t="shared" si="9"/>
        <v>조건 미확인</v>
      </c>
      <c r="CP15" s="40" t="str">
        <f t="shared" si="10"/>
        <v/>
      </c>
      <c r="CQ15" s="40" t="str">
        <f>IF('6_행사전문가의견'!E184&lt;&gt;"완료","",IF(LEN(TRIM('6_행사전문가의견'!D180&amp;""))=0,"",'6_행사전문가의견'!D180))</f>
        <v/>
      </c>
      <c r="CR15" s="40" t="str">
        <f>IF('6_행사전문가의견'!E184&lt;&gt;"완료","",IF(LEN(TRIM('6_행사전문가의견'!D182&amp;""))=0,"",'6_행사전문가의견'!D182))</f>
        <v/>
      </c>
      <c r="CS15" s="40" t="str">
        <f t="shared" si="11"/>
        <v/>
      </c>
      <c r="CT15" s="40" t="str">
        <f t="shared" si="12"/>
        <v/>
      </c>
      <c r="CU15" s="37" t="str">
        <f>IF(LEN(TRIM('3_보호자행동'!U60&amp;""))=0,"",'3_보호자행동'!U60)</f>
        <v>자동 초안</v>
      </c>
    </row>
    <row r="16" spans="1:99" ht="81.95" customHeight="1" x14ac:dyDescent="0.3">
      <c r="A16" s="16">
        <v>11</v>
      </c>
      <c r="B16" s="16"/>
      <c r="C16" s="16"/>
      <c r="D16" s="50" t="str">
        <f>IF(COUNT('3_보호자행동'!T5)=0,"",'3_보호자행동'!T5)</f>
        <v/>
      </c>
      <c r="E16" s="16" t="str">
        <f>IF(COUNT('3_보호자행동'!T6)=0,"",'3_보호자행동'!T6)</f>
        <v/>
      </c>
      <c r="F16" s="16" t="str">
        <f>IF(COUNT('3_보호자행동'!T9)=0,"",'3_보호자행동'!T9)</f>
        <v/>
      </c>
      <c r="G16" s="50" t="str">
        <f>IF(AND(OR('3_보호자행동'!T14=1,'3_보호자행동'!T14=2),BC16&gt;=2),BA16/BC16,"")</f>
        <v/>
      </c>
      <c r="H16" s="16" t="str">
        <f>IF(AND(OR('3_보호자행동'!T14=1,'3_보호자행동'!T14=2),BC16&gt;=2),BB16/BC16,"")</f>
        <v/>
      </c>
      <c r="I16" s="17">
        <f t="shared" si="0"/>
        <v>0</v>
      </c>
      <c r="J16" s="16" t="str">
        <f t="shared" si="1"/>
        <v>자료 부족</v>
      </c>
      <c r="K16" s="16" t="str">
        <f t="shared" si="2"/>
        <v/>
      </c>
      <c r="L16" s="16" t="str">
        <f t="shared" si="3"/>
        <v/>
      </c>
      <c r="M16" s="16" t="str">
        <f>IF(LEN(TRIM('2_개행동'!B80&amp;""))=0,"미판정",IF(OR('2_개행동'!B80="곁에서 안심하는 사이",'2_개행동'!B80="가까이 있어도 안심이 어려운 사이",'2_개행동'!B80="거리를 두고 지내는 사이",'2_개행동'!B80="다가감과 물러섬이 함께 나오는 사이",'2_개행동'!B80="판정보류"),'2_개행동'!B80,"유형 입력 확인"))</f>
        <v>미판정</v>
      </c>
      <c r="N16" s="16" t="str">
        <f>IF(COUNT('2_개행동'!T18)=0,"",'2_개행동'!T18)</f>
        <v/>
      </c>
      <c r="O16" s="16" t="str">
        <f>IF(COUNT('2_개행동'!T47)=0,"",'2_개행동'!T47)</f>
        <v/>
      </c>
      <c r="P16" s="50" t="str">
        <f>IF(OR('3_보호자행동'!T13=1,'3_보호자행동'!T13=2),IF(COUNT('2_개행동'!T24)=0,"",'2_개행동'!T24),"")</f>
        <v/>
      </c>
      <c r="Q16" s="16" t="str">
        <f>IF(OR('3_보호자행동'!T13=1,'3_보호자행동'!T13=2),IF(COUNT('2_개행동'!T25)=0,"",'2_개행동'!T25),"")</f>
        <v/>
      </c>
      <c r="R16" s="51" t="str">
        <f t="shared" si="4"/>
        <v/>
      </c>
      <c r="S16" s="50" t="str">
        <f>IF(COUNT('2_개행동'!T28)=0,"",'2_개행동'!T28)</f>
        <v/>
      </c>
      <c r="T16" s="16" t="str">
        <f>IF(COUNT('2_개행동'!T34)=0,"",'2_개행동'!T34)</f>
        <v/>
      </c>
      <c r="U16" s="16" t="str">
        <f>IF(COUNT('2_개행동'!T50)=0,"",'2_개행동'!T50)</f>
        <v/>
      </c>
      <c r="V16" s="52" t="str">
        <f>IF(AND(COUNT('2_개행동'!T8,'2_개행동'!T23)=2,OR('3_보호자행동'!T12=1,'3_보호자행동'!T12=2)),ABS('2_개행동'!T8)-ABS('2_개행동'!T23),"")</f>
        <v/>
      </c>
      <c r="W16" s="52" t="str">
        <f>IF(COUNT('2_개행동'!T58,'2_개행동'!T18)&lt;2,"",ABS('2_개행동'!T58)-ABS('2_개행동'!T18))</f>
        <v/>
      </c>
      <c r="X16" s="52"/>
      <c r="Y16" s="16" t="str">
        <f>IF(COUNT('2_개행동'!T8)=0,"",'2_개행동'!T8)</f>
        <v/>
      </c>
      <c r="Z16" s="51" t="str">
        <f>IF(COUNT('2_개행동'!T27)=0,"",'2_개행동'!T27)</f>
        <v/>
      </c>
      <c r="AA16" s="18"/>
      <c r="AB16" s="16" t="str">
        <f>IF(COUNT('2_개행동'!T9)=0,"",'2_개행동'!T9)</f>
        <v/>
      </c>
      <c r="AC16" s="16" t="str">
        <f>IF(COUNT('2_개행동'!T10)=0,"",'2_개행동'!T10)</f>
        <v/>
      </c>
      <c r="AD16" s="16" t="str">
        <f>IF(COUNT('2_개행동'!T18)=0,"",'2_개행동'!T18)</f>
        <v/>
      </c>
      <c r="AE16" s="16" t="str">
        <f>IF(AND(COUNT('2_개행동'!T17,'2_개행동'!T19,'2_개행동'!T22)=3,OR('3_보호자행동'!T12=1,'3_보호자행동'!T12=2)),IF(COUNT('2_개행동'!T17)=0,0,MAX(0,-'2_개행동'!T17))+IF(COUNT('2_개행동'!T19)=0,0,MAX(0,-'2_개행동'!T19))+IF(COUNT('2_개행동'!T22)=0,0,MAX(0,-'2_개행동'!T22)),"")</f>
        <v/>
      </c>
      <c r="AF16" s="16" t="str">
        <f>IF(AND(COUNT('2_개행동'!T17,'2_개행동'!T19,'2_개행동'!T22)=3,OR('3_보호자행동'!T12=1,'3_보호자행동'!T12=2)),IF(COUNT('2_개행동'!T17)=0,0,MAX(0,'2_개행동'!T17))+IF(COUNT('2_개행동'!T19)=0,0,MAX(0,'2_개행동'!T19))+IF(COUNT('2_개행동'!T22)=0,0,MAX(0,'2_개행동'!T22)),"")</f>
        <v/>
      </c>
      <c r="AG16" s="40" t="str">
        <f>IF(COUNT('3_보호자행동'!T14)=0,"조건 미확인",IF('3_보호자행동'!T14=3,"조건 이탈",IF(BC16&lt;2,"자료 부족",IF(AND(BA16&gt;0,BB16&gt;0),"양방향 관찰",IF(BA16&gt;0,"−방향 관찰",IF(BB16&gt;0,"+방향 관찰","중앙범주만 관찰"))))))</f>
        <v>조건 미확인</v>
      </c>
      <c r="AH16" s="40" t="str">
        <f>IF(COUNT('3_보호자행동'!T13)=0,"조건 미확인",IF('3_보호자행동'!T13=3,"조건 이탈",IF(COUNT('2_개행동'!T24)=0,"자료 부족",CHOOSE('2_개행동'!T24+3,"−2","−1","0","+1","+2"))))</f>
        <v>조건 미확인</v>
      </c>
      <c r="AI16" s="40" t="str">
        <f>IF(COUNT('2_개행동'!T28)=0,"자료 부족",CHOOSE('2_개행동'!T28+3,"−2","−1","0","+1","+2"))</f>
        <v>자료 부족</v>
      </c>
      <c r="AJ16" s="40" t="str">
        <f>IF(COUNT('2_개행동'!T8,'2_개행동'!T14,'2_개행동'!T18,'2_개행동'!T23,'2_개행동'!T44,'2_개행동'!T52,'2_개행동'!T58)=0,"",IF(COUNT('2_개행동'!T8)=0,0,IF('2_개행동'!T8&lt;0,1,0))+IF(COUNT('2_개행동'!T14)=0,0,IF('2_개행동'!T14&lt;0,1,0))+IF(COUNT('2_개행동'!T18)=0,0,IF('2_개행동'!T18&lt;0,1,0))+IF(COUNT('2_개행동'!T23)=0,0,IF('2_개행동'!T23&lt;0,1,0))+IF(COUNT('2_개행동'!T44)=0,0,IF('2_개행동'!T44&lt;0,1,0))+IF(COUNT('2_개행동'!T52)=0,0,IF('2_개행동'!T52&lt;0,1,0))+IF(COUNT('2_개행동'!T58)=0,0,IF('2_개행동'!T58&lt;0,1,0)))</f>
        <v/>
      </c>
      <c r="AK16" s="40" t="str">
        <f>IF(COUNT('2_개행동'!T8,'2_개행동'!T14,'2_개행동'!T18,'2_개행동'!T23,'2_개행동'!T44,'2_개행동'!T52,'2_개행동'!T58)=0,"",IF(COUNT('2_개행동'!T8)=0,0,IF('2_개행동'!T8&gt;0,1,0))+IF(COUNT('2_개행동'!T14)=0,0,IF('2_개행동'!T14&gt;0,1,0))+IF(COUNT('2_개행동'!T18)=0,0,IF('2_개행동'!T18&gt;0,1,0))+IF(COUNT('2_개행동'!T23)=0,0,IF('2_개행동'!T23&gt;0,1,0))+IF(COUNT('2_개행동'!T44)=0,0,IF('2_개행동'!T44&gt;0,1,0))+IF(COUNT('2_개행동'!T52)=0,0,IF('2_개행동'!T52&gt;0,1,0))+IF(COUNT('2_개행동'!T58)=0,0,IF('2_개행동'!T58&gt;0,1,0)))</f>
        <v/>
      </c>
      <c r="AL16" s="40" t="str">
        <f>IF(COUNT('2_개행동'!T8,'2_개행동'!T14,'2_개행동'!T18,'2_개행동'!T23,'2_개행동'!T44,'2_개행동'!T52,'2_개행동'!T58)&lt;1,"자료 부족",IF(AND(AJ16&gt;0,AK16&gt;0),"양방향 관찰",IF(AJ16&gt;0,"−방향 관찰",IF(AK16&gt;0,"+방향 관찰","중앙범주만 관찰"))))</f>
        <v>자료 부족</v>
      </c>
      <c r="AM16" s="40" t="str">
        <f>IF(AND(COUNT('2_개행동'!T30,'2_개행동'!T34)=2,OR('3_보호자행동'!T14=1,'3_보호자행동'!T14=2)),IF('2_개행동'!T30='2_개행동'!T34,"같은 범주","범주 변화"),"비교 보류")</f>
        <v>비교 보류</v>
      </c>
      <c r="AN16" s="40" t="str">
        <f>IF(COUNT('2_개행동'!T5)=0,"자료 부족",CHOOSE('2_개행동'!T5+3,"−2","−1","0","+1","+2"))</f>
        <v>자료 부족</v>
      </c>
      <c r="AO16" s="40" t="str">
        <f>IF(COUNT('3_보호자행동'!T13)=0,"조건 미확인",IF('3_보호자행동'!T13=3,"조건 이탈",IF(COUNT('2_개행동'!T25)=0,"자료 부족",CHOOSE('2_개행동'!T25+3,"−2","−1","0","+1","+2"))))</f>
        <v>조건 미확인</v>
      </c>
      <c r="AP16" s="40" t="str">
        <f>IF(COUNT('1_바디시그널'!T7,'1_바디시그널'!T38)&lt;2,"",'1_바디시그널'!T7-'1_바디시그널'!T38)</f>
        <v/>
      </c>
      <c r="AQ16" s="38" t="str">
        <f>IF(LEN(TRIM('3_보호자행동'!T61&amp;""))=0,"",'3_보호자행동'!T61)</f>
        <v>판정보류</v>
      </c>
      <c r="AR16" s="38" t="str">
        <f>IF('3_보호자행동'!U61&lt;&gt;"채점자 선택","",IF(LEN(TRIM('3_보호자행동'!C61&amp;""))=0,"",'3_보호자행동'!C61))</f>
        <v/>
      </c>
      <c r="AS16" s="38" t="str">
        <f>'3_보호자행동'!I61</f>
        <v>자동 · 판정보류</v>
      </c>
      <c r="AT16" s="38" t="str">
        <f>IF('3_보호자행동'!U61="채점자 선택",'3_보호자행동'!G61,"")</f>
        <v/>
      </c>
      <c r="AU16" s="40" t="str">
        <f>IF(COUNT('3_보호자행동'!T12)=0,"조건 미확인",IF('3_보호자행동'!T12=3,"조건 이탈",IF(COUNT(AE16,AF16,'2_개행동'!T18)&lt;3,"자료 부족",IF(AND(AE16&gt;=2,AF16&gt;=2),"접촉·거리 반응 혼재",IF(ABS('2_개행동'!T18)=2,"재회 몸 상태 지속",IF(AF16&gt;=3,"거리 유지 관찰",IF(AE16&gt;=4,"접촉 유지 관찰","기준상 뚜렷한 치우침 없음")))))))</f>
        <v>조건 미확인</v>
      </c>
      <c r="AV16" s="40" t="str">
        <f>"발성량: 혼자 "&amp;IF(COUNT('2_개행동'!T11)=0,"미확인",TEXT('2_개행동'!T11,"0"))&amp;" / 재회 "&amp;IF(COUNT('2_개행동'!T47)=0,"미확인",TEXT('2_개행동'!T47,"0"))&amp;" / 무시 "&amp;IF(COUNT('2_개행동'!T48)=0,"미확인",TEXT('2_개행동'!T48,"0"))&amp;" · 접근 변화 사건 "&amp;IF(COUNT('2_개행동'!T21)=0,"미확인",TEXT('2_개행동'!T21,"0"))</f>
        <v>발성량: 혼자 미확인 / 재회 미확인 / 무시 미확인 · 접근 변화 사건 미확인</v>
      </c>
      <c r="AW16" s="40" t="str">
        <f>IF(AND(OR('3_보호자행동'!T14=1,'3_보호자행동'!T14=2),BC16&gt;=2),(IF(COUNT('2_개행동'!T5)=0,0,100-50*ABS('2_개행동'!T5))+IF(COUNT('2_개행동'!T6)=0,0,100-50*ABS('2_개행동'!T6))+IF(COUNT('2_개행동'!T30)=0,0,100-50*ABS('2_개행동'!T30)))/BC16,"")</f>
        <v/>
      </c>
      <c r="AX16" s="40" t="str">
        <f>IF(BF16&gt;=4,(IF(COUNT('2_개행동'!T13)=0,0,100-50*ABS('2_개행동'!T13))+IF(COUNT('2_개행동'!T14)=0,0,100-50*ABS('2_개행동'!T14))+IF(COUNT('2_개행동'!T15)=0,0,100-50*ABS('2_개행동'!T15))+IF(COUNT('2_개행동'!T51)=0,0,100-50*ABS('2_개행동'!T51))+IF(COUNT('2_개행동'!T52)=0,0,100-50*ABS('2_개행동'!T52))+IF(COUNT('2_개행동'!T54)=0,0,100-50*ABS('2_개행동'!T54))+IF(COUNT('2_개행동'!T55)=0,0,100-50*ABS('2_개행동'!T55)))/BF16,"")</f>
        <v/>
      </c>
      <c r="AY16" s="40" t="str">
        <f t="shared" si="5"/>
        <v/>
      </c>
      <c r="AZ16" s="40" t="str">
        <f>IF(COUNT('2_개행동'!T48)=0,"",'2_개행동'!T48)</f>
        <v/>
      </c>
      <c r="BA16" s="40" t="str">
        <f>IF(COUNT('2_개행동'!T5,'2_개행동'!T6,'2_개행동'!T30)=0,"",IF(COUNT('2_개행동'!T5)=0,0,MAX(0,-'2_개행동'!T5))+IF(COUNT('2_개행동'!T6)=0,0,MAX(0,-'2_개행동'!T6))+IF(COUNT('2_개행동'!T30)=0,0,MAX(0,-'2_개행동'!T30)))</f>
        <v/>
      </c>
      <c r="BB16" s="40" t="str">
        <f>IF(COUNT('2_개행동'!T5,'2_개행동'!T6,'2_개행동'!T30)=0,"",IF(COUNT('2_개행동'!T5)=0,0,MAX(0,'2_개행동'!T5))+IF(COUNT('2_개행동'!T6)=0,0,MAX(0,'2_개행동'!T6))+IF(COUNT('2_개행동'!T30)=0,0,MAX(0,'2_개행동'!T30)))</f>
        <v/>
      </c>
      <c r="BC16" s="40">
        <f>COUNT('2_개행동'!T5,'2_개행동'!T6,'2_개행동'!T30)</f>
        <v>0</v>
      </c>
      <c r="BD16" s="40" t="str">
        <f>IF(COUNT('2_개행동'!T13,'2_개행동'!T14,'2_개행동'!T15,'2_개행동'!T51,'2_개행동'!T52,'2_개행동'!T54,'2_개행동'!T55)=0,"",IF(COUNT('2_개행동'!T13)=0,0,MAX(0,-'2_개행동'!T13))+IF(COUNT('2_개행동'!T14)=0,0,MAX(0,-'2_개행동'!T14))+IF(COUNT('2_개행동'!T15)=0,0,MAX(0,-'2_개행동'!T15))+IF(COUNT('2_개행동'!T51)=0,0,MAX(0,-'2_개행동'!T51))+IF(COUNT('2_개행동'!T52)=0,0,MAX(0,-'2_개행동'!T52))+IF(COUNT('2_개행동'!T54)=0,0,MAX(0,-'2_개행동'!T54))+IF(COUNT('2_개행동'!T55)=0,0,MAX(0,-'2_개행동'!T55)))</f>
        <v/>
      </c>
      <c r="BE16" s="40" t="str">
        <f>IF(COUNT('2_개행동'!T13,'2_개행동'!T14,'2_개행동'!T15,'2_개행동'!T51,'2_개행동'!T52,'2_개행동'!T54,'2_개행동'!T55)=0,"",IF(COUNT('2_개행동'!T13)=0,0,MAX(0,'2_개행동'!T13))+IF(COUNT('2_개행동'!T14)=0,0,MAX(0,'2_개행동'!T14))+IF(COUNT('2_개행동'!T15)=0,0,MAX(0,'2_개행동'!T15))+IF(COUNT('2_개행동'!T51)=0,0,MAX(0,'2_개행동'!T51))+IF(COUNT('2_개행동'!T52)=0,0,MAX(0,'2_개행동'!T52))+IF(COUNT('2_개행동'!T54)=0,0,MAX(0,'2_개행동'!T54))+IF(COUNT('2_개행동'!T55)=0,0,MAX(0,'2_개행동'!T55)))</f>
        <v/>
      </c>
      <c r="BF16" s="40">
        <f>COUNT('2_개행동'!T13,'2_개행동'!T14,'2_개행동'!T15,'2_개행동'!T51,'2_개행동'!T52,'2_개행동'!T54,'2_개행동'!T55)</f>
        <v>0</v>
      </c>
      <c r="BG16" s="38" t="str">
        <f>IF(LEN(TRIM('2_개행동'!C80&amp;""))=0,"",'2_개행동'!C80)</f>
        <v/>
      </c>
      <c r="BH16" s="38" t="str">
        <f>IF(LEN(TRIM('2_개행동'!G80&amp;""))=0,"",'2_개행동'!G80)</f>
        <v/>
      </c>
      <c r="BI16" s="38" t="str">
        <f>'2_개행동'!I80</f>
        <v>미판정</v>
      </c>
      <c r="BJ16" s="38" t="str">
        <f>IF(M16="미판정","애착유형 미판정",IF(M16="유형 입력 확인","유형 입력을 확인해 주세요.",IF(LEN(TRIM(BG16&amp;""))=0,IF(M16="판정보류","판정보류 사유를 입력해 주세요.","관찰 근거 미기록: 유형 설명 보류"),IF(M16="곁에서 안심하는 사이",성향문장!C49,IF(M16="가까이 있어도 안심이 어려운 사이",성향문장!C50,IF(M16="거리를 두고 지내는 사이",성향문장!C51,IF(M16="다가감과 물러섬이 함께 나오는 사이",성향문장!C52,성향문장!C53)))))))</f>
        <v>애착유형 미판정</v>
      </c>
      <c r="BK16" s="37" t="str">
        <f>IF(COUNT('3_보호자행동'!T12)=0,"조건 미확인",IF('3_보호자행동'!T12=3,"조건 이탈",IF(COUNT('2_개행동'!T9,'2_개행동'!T17,'2_개행동'!T18,'2_개행동'!T19,'2_개행동'!T22)&lt;5,"자료 부족",IF(N('2_개행동'!T21)&gt;=2,"접근이 여러 번 바뀜 — 한 서술로 묶지 않음",IF(AND($AE16&gt;=2,$AF16&gt;=2),"섞여 있음",IF(-'2_개행동'!T9&gt;=1,IF(ABS('2_개행동'!T18)&lt;=1,IF($AF16&gt;=$AE16,"없을 때 흔들 → 있을 때 가라앉고 자기 일","없을 때 흔들 → 있을 때 가라앉고 곁에 붙음"),"없을 때 흔들 → 있을 때도 못 가라앉음"),IF($AE16&gt;=2,"없을 때 담담 → 있을 때 곁에 붙음","없을 때도 있을 때도 비슷")))))))</f>
        <v>조건 미확인</v>
      </c>
      <c r="BL16" s="37" t="str">
        <f>IF(OR(COUNT('1_바디시그널'!T$5)=0,COUNT('1_바디시그널'!T$38)=0),"",'1_바디시그널'!T$5-'1_바디시그널'!T$38)</f>
        <v/>
      </c>
      <c r="BM16" s="37" t="str">
        <f>IF(OR(COUNT('1_바디시그널'!T$9)=0,COUNT('1_바디시그널'!T$38)=0),"",'1_바디시그널'!T$9-'1_바디시그널'!T$38)</f>
        <v/>
      </c>
      <c r="BN16" s="37" t="str">
        <f>IF(OR(COUNT('1_바디시그널'!T$11)=0,COUNT('1_바디시그널'!T$38)=0),"",'1_바디시그널'!T$11-'1_바디시그널'!T$38)</f>
        <v/>
      </c>
      <c r="BO16" s="37" t="str">
        <f>IF(OR(COUNT('1_바디시그널'!T$13)=0,COUNT('1_바디시그널'!T$38)=0),"",'1_바디시그널'!T$13-'1_바디시그널'!T$38)</f>
        <v/>
      </c>
      <c r="BP16" s="37" t="str">
        <f>IF(OR(COUNT('1_바디시그널'!T$39)=0,COUNT('1_바디시그널'!T$38)=0),"",'1_바디시그널'!T$39-'1_바디시그널'!T$38)</f>
        <v/>
      </c>
      <c r="BQ16" s="37" t="str">
        <f>IF(OR(COUNT('1_바디시그널'!T$43)=0,COUNT('1_바디시그널'!T$38)=0),"",'1_바디시그널'!T$43-'1_바디시그널'!T$38)</f>
        <v/>
      </c>
      <c r="BR16" s="37" t="str">
        <f>IF(OR(COUNT('1_바디시그널'!T$44)=0,COUNT('1_바디시그널'!T$38)=0),"",'1_바디시그널'!T$44-'1_바디시그널'!T$38)</f>
        <v/>
      </c>
      <c r="BS16" s="37" t="str">
        <f>IF(OR(COUNT('1_바디시그널'!T$45)=0,COUNT('1_바디시그널'!T$38)=0),"",'1_바디시그널'!T$45-'1_바디시그널'!T$38)</f>
        <v/>
      </c>
      <c r="BT16" s="37" t="str">
        <f>IF(OR(COUNT('1_바디시그널'!T$41)=0,COUNT('1_바디시그널'!T$40)=0),"",'1_바디시그널'!T$41-'1_바디시그널'!T$40)</f>
        <v/>
      </c>
      <c r="BU16" s="37" t="str">
        <f>IF(OR(COUNT('1_바디시그널'!T$42)=0,COUNT('1_바디시그널'!T$40)=0),"",'1_바디시그널'!T$42-'1_바디시그널'!T$40)</f>
        <v/>
      </c>
      <c r="BV16" s="37">
        <f>N('2_개행동'!T$5&lt;=-1)+N('2_개행동'!T$6&lt;=-1)+IF(AND(COUNT('2_개행동'!T$30)=1,COUNT('3_보호자행동'!T$14)=1,'3_보호자행동'!T$14&lt;=2),N('2_개행동'!T$30&lt;=-1),0)</f>
        <v>0</v>
      </c>
      <c r="BW16" s="37">
        <f>N('2_개행동'!T$5&gt;=1)+N('2_개행동'!T$6&gt;=1)+IF(AND(COUNT('2_개행동'!T$30)=1,COUNT('3_보호자행동'!T$14)=1,'3_보호자행동'!T$14&lt;=2),N('2_개행동'!T$30&gt;=1),0)</f>
        <v>0</v>
      </c>
      <c r="BX16" s="37">
        <f>COUNT('2_개행동'!T$5,'2_개행동'!T$6)+IF(AND(COUNT('2_개행동'!T$30)=1,COUNT('3_보호자행동'!T$14)=1,'3_보호자행동'!T$14&lt;=2),1,0)</f>
        <v>0</v>
      </c>
      <c r="BY16" s="37" t="str">
        <f t="shared" si="6"/>
        <v>자료 부족</v>
      </c>
      <c r="BZ16" s="37" t="str">
        <f>"문 "&amp;IF(COUNT('2_개행동'!T$5)=0,"미확인",SUBSTITUTE(TEXT('2_개행동'!T$5,"+0;-0;0"),"-","−"))&amp;" · 바닥 "&amp;IF(COUNT('2_개행동'!T$6)=0,"미확인",SUBSTITUTE(TEXT('2_개행동'!T$6,"+0;-0;0"),"-","−"))&amp;" · 물건 "&amp;IF(AND(COUNT('2_개행동'!T$30)=1,COUNT('3_보호자행동'!T$14)=1,'3_보호자행동'!T$14&lt;=2),IF(COUNT('2_개행동'!T$30)=0,"미확인",SUBSTITUTE(TEXT('2_개행동'!T$30,"+0;-0;0"),"-","−")),"보류")&amp;"  /  꼬리 기준대비 입장 "&amp;IF(COUNT($BL16)=0,"미확인",SUBSTITUTE(TEXT($BL16,"+0;-0;0"),"-","−"))&amp;" · 바닥 "&amp;IF(COUNT($AP16)=0,"미확인",SUBSTITUTE(TEXT($AP16,"+0;-0;0"),"-","−"))&amp;" · 물건 "&amp;IF(COUNT($BR16)=0,"미확인",SUBSTITUTE(TEXT($BR16,"+0;-0;0"),"-","−"))&amp;"  /  긴장 신호 "&amp;IF(COUNT('1_바디시그널'!T$14,'1_바디시그널'!T$15,'1_바디시그널'!T$16)=0,"미확인",TEXT(SUM('1_바디시그널'!T$14,'1_바디시그널'!T$15,'1_바디시그널'!T$16),"0")&amp;"회")&amp;"  /  냄새 "&amp;IF(COUNT('2_개행동'!T$7)=0,"미확인",IF('2_개행동'!T$7=0,"씀","안 씀"))</f>
        <v>문 미확인 · 바닥 미확인 · 물건 보류  /  꼬리 기준대비 입장 미확인 · 바닥 미확인 · 물건 미확인  /  긴장 신호 미확인  /  냄새 미확인</v>
      </c>
      <c r="CA16" s="37" t="str">
        <f>IF(AND('6_행사전문가의견'!E200="완료",OR('6_행사전문가의견'!B202="주저함 · 거리를 벌림",'6_행사전문가의견'!B202="뚜렷한 치우침 없음",'6_행사전문가의견'!B202="살피지 않고 들이닥침",'6_행사전문가의견'!B202="자극에 따라 다름",'6_행사전문가의견'!B202="판단보류"),LEN(TRIM('6_행사전문가의견'!B203&amp;""))&gt;0),'6_행사전문가의견'!B202,"")</f>
        <v/>
      </c>
      <c r="CB16" s="37" t="str">
        <f>IF(AND('6_행사전문가의견'!E200="완료",OR('6_행사전문가의견'!B202="주저함 · 거리를 벌림",'6_행사전문가의견'!B202="뚜렷한 치우침 없음",'6_행사전문가의견'!B202="살피지 않고 들이닥침",'6_행사전문가의견'!B202="자극에 따라 다름",'6_행사전문가의견'!B202="판단보류"),LEN(TRIM('6_행사전문가의견'!B203&amp;""))&gt;0),'6_행사전문가의견'!B203,"")</f>
        <v/>
      </c>
      <c r="CC16" s="37" t="str">
        <f t="shared" si="7"/>
        <v>자료 부족</v>
      </c>
      <c r="CD16" s="38" t="str">
        <f>IF('6_행사전문가의견'!E200&lt;&gt;"완료","",IF(LEN(TRIM('6_행사전문가의견'!D193&amp;""))=0,"",'6_행사전문가의견'!D193))</f>
        <v/>
      </c>
      <c r="CE16" s="38" t="str">
        <f>IF('6_행사전문가의견'!E200&lt;&gt;"완료","",IF(LEN(TRIM('6_행사전문가의견'!D194&amp;""))=0,"",'6_행사전문가의견'!D194))</f>
        <v/>
      </c>
      <c r="CF16" s="38" t="str">
        <f>IF('6_행사전문가의견'!E200&lt;&gt;"완료","",IF(LEN(TRIM('6_행사전문가의견'!D195&amp;""))=0,"",'6_행사전문가의견'!D195))</f>
        <v/>
      </c>
      <c r="CG16" s="38" t="str">
        <f>IF('6_행사전문가의견'!E200&lt;&gt;"완료","",IF(LEN(TRIM('6_행사전문가의견'!D197&amp;""))=0,"",'6_행사전문가의견'!D197))</f>
        <v/>
      </c>
      <c r="CH16" s="38" t="str">
        <f>IF('6_행사전문가의견'!E200&lt;&gt;"완료","",IF(LEN(TRIM('6_행사전문가의견'!D199&amp;""))=0,"",'6_행사전문가의견'!D199))</f>
        <v/>
      </c>
      <c r="CI16" s="38" t="str">
        <f>IF('6_행사전문가의견'!E200&lt;&gt;"완료","",IF(LEN(TRIM('6_행사전문가의견'!C191&amp;""))=0,"",'6_행사전문가의견'!C191))</f>
        <v/>
      </c>
      <c r="CJ16" s="38" t="str">
        <f>'6_행사전문가의견'!E200</f>
        <v>미작성</v>
      </c>
      <c r="CK16" s="37" t="str">
        <f>'2_개행동'!T60</f>
        <v>미채점</v>
      </c>
      <c r="CL16" s="40" t="str">
        <f>IF(LEN(TRIM(CD16&amp;""))&gt;0,CD16,"분리 초기: "&amp;IF(COUNT('2_개행동'!T$9)=0,"자료 부족",INDEX('2_개행동'!$C$9:$G$9,1,'2_개행동'!T$9+3))&amp;" / 분리 이후: "&amp;IF(COUNT('2_개행동'!T$10)=0,"자료 부족",INDEX('2_개행동'!$C$10:$G$10,1,'2_개행동'!T$10+3))&amp;" / 변화: "&amp;CK16&amp;" / 분리·재회·무시 보조: "&amp;BK16&amp;" / 재회·무시 패턴: "&amp;AU16&amp;IF(M16="미판정",""," / 기본 유형: "&amp;M16&amp;IF(LEN(TRIM(BG16&amp;""))&gt;0," / 근거: "&amp;BG16,"")))</f>
        <v>분리 초기: 자료 부족 / 분리 이후: 자료 부족 / 변화: 미채점 / 분리·재회·무시 보조: 조건 미확인 / 재회·무시 패턴: 조건 미확인</v>
      </c>
      <c r="CM16" s="40" t="str">
        <f>IF(LEN(TRIM(CE16&amp;""))&gt;0,CE16,IF(LEN(TRIM(AQ16&amp;""))=0,"",AQ16&amp;IF(LEN(TRIM(AR16&amp;""))&gt;0,". "&amp;AR16,IF(COUNT('3_보호자행동'!P61)=0," (자동 초안 · 근거 비율 미산출)"," (자동 초안 · 허용 "&amp;TEXT('3_보호자행동'!P61,"0.00")&amp;" / 조율 "&amp;TEXT('3_보호자행동'!Q61,"0.00")&amp;" / 통제 "&amp;TEXT('3_보호자행동'!R61,"0.00")&amp;")"))))</f>
        <v>판정보류 (자동 초안 · 근거 비율 미산출)</v>
      </c>
      <c r="CN16" s="40" t="str">
        <f t="shared" si="8"/>
        <v>자료 부족</v>
      </c>
      <c r="CO16" s="40" t="str">
        <f t="shared" si="9"/>
        <v>조건 미확인</v>
      </c>
      <c r="CP16" s="40" t="str">
        <f t="shared" si="10"/>
        <v/>
      </c>
      <c r="CQ16" s="40" t="str">
        <f>IF('6_행사전문가의견'!E200&lt;&gt;"완료","",IF(LEN(TRIM('6_행사전문가의견'!D196&amp;""))=0,"",'6_행사전문가의견'!D196))</f>
        <v/>
      </c>
      <c r="CR16" s="40" t="str">
        <f>IF('6_행사전문가의견'!E200&lt;&gt;"완료","",IF(LEN(TRIM('6_행사전문가의견'!D198&amp;""))=0,"",'6_행사전문가의견'!D198))</f>
        <v/>
      </c>
      <c r="CS16" s="40" t="str">
        <f t="shared" si="11"/>
        <v/>
      </c>
      <c r="CT16" s="40" t="str">
        <f t="shared" si="12"/>
        <v/>
      </c>
      <c r="CU16" s="37" t="str">
        <f>IF(LEN(TRIM('3_보호자행동'!U61&amp;""))=0,"",'3_보호자행동'!U61)</f>
        <v>자동 초안</v>
      </c>
    </row>
    <row r="17" spans="1:99" ht="81.95" customHeight="1" x14ac:dyDescent="0.3">
      <c r="A17" s="16">
        <v>12</v>
      </c>
      <c r="B17" s="16"/>
      <c r="C17" s="16"/>
      <c r="D17" s="50" t="str">
        <f>IF(COUNT('3_보호자행동'!U5)=0,"",'3_보호자행동'!U5)</f>
        <v/>
      </c>
      <c r="E17" s="16" t="str">
        <f>IF(COUNT('3_보호자행동'!U6)=0,"",'3_보호자행동'!U6)</f>
        <v/>
      </c>
      <c r="F17" s="16" t="str">
        <f>IF(COUNT('3_보호자행동'!U9)=0,"",'3_보호자행동'!U9)</f>
        <v/>
      </c>
      <c r="G17" s="50" t="str">
        <f>IF(AND(OR('3_보호자행동'!U14=1,'3_보호자행동'!U14=2),BC17&gt;=2),BA17/BC17,"")</f>
        <v/>
      </c>
      <c r="H17" s="16" t="str">
        <f>IF(AND(OR('3_보호자행동'!U14=1,'3_보호자행동'!U14=2),BC17&gt;=2),BB17/BC17,"")</f>
        <v/>
      </c>
      <c r="I17" s="17">
        <f t="shared" si="0"/>
        <v>0</v>
      </c>
      <c r="J17" s="16" t="str">
        <f t="shared" si="1"/>
        <v>자료 부족</v>
      </c>
      <c r="K17" s="16" t="str">
        <f t="shared" si="2"/>
        <v/>
      </c>
      <c r="L17" s="16" t="str">
        <f t="shared" si="3"/>
        <v/>
      </c>
      <c r="M17" s="16" t="str">
        <f>IF(LEN(TRIM('2_개행동'!B81&amp;""))=0,"미판정",IF(OR('2_개행동'!B81="곁에서 안심하는 사이",'2_개행동'!B81="가까이 있어도 안심이 어려운 사이",'2_개행동'!B81="거리를 두고 지내는 사이",'2_개행동'!B81="다가감과 물러섬이 함께 나오는 사이",'2_개행동'!B81="판정보류"),'2_개행동'!B81,"유형 입력 확인"))</f>
        <v>미판정</v>
      </c>
      <c r="N17" s="16" t="str">
        <f>IF(COUNT('2_개행동'!U18)=0,"",'2_개행동'!U18)</f>
        <v/>
      </c>
      <c r="O17" s="16" t="str">
        <f>IF(COUNT('2_개행동'!U47)=0,"",'2_개행동'!U47)</f>
        <v/>
      </c>
      <c r="P17" s="50" t="str">
        <f>IF(OR('3_보호자행동'!U13=1,'3_보호자행동'!U13=2),IF(COUNT('2_개행동'!U24)=0,"",'2_개행동'!U24),"")</f>
        <v/>
      </c>
      <c r="Q17" s="16" t="str">
        <f>IF(OR('3_보호자행동'!U13=1,'3_보호자행동'!U13=2),IF(COUNT('2_개행동'!U25)=0,"",'2_개행동'!U25),"")</f>
        <v/>
      </c>
      <c r="R17" s="51" t="str">
        <f t="shared" si="4"/>
        <v/>
      </c>
      <c r="S17" s="50" t="str">
        <f>IF(COUNT('2_개행동'!U28)=0,"",'2_개행동'!U28)</f>
        <v/>
      </c>
      <c r="T17" s="16" t="str">
        <f>IF(COUNT('2_개행동'!U34)=0,"",'2_개행동'!U34)</f>
        <v/>
      </c>
      <c r="U17" s="16" t="str">
        <f>IF(COUNT('2_개행동'!U50)=0,"",'2_개행동'!U50)</f>
        <v/>
      </c>
      <c r="V17" s="52" t="str">
        <f>IF(AND(COUNT('2_개행동'!U8,'2_개행동'!U23)=2,OR('3_보호자행동'!U12=1,'3_보호자행동'!U12=2)),ABS('2_개행동'!U8)-ABS('2_개행동'!U23),"")</f>
        <v/>
      </c>
      <c r="W17" s="52" t="str">
        <f>IF(COUNT('2_개행동'!U58,'2_개행동'!U18)&lt;2,"",ABS('2_개행동'!U58)-ABS('2_개행동'!U18))</f>
        <v/>
      </c>
      <c r="X17" s="52"/>
      <c r="Y17" s="16" t="str">
        <f>IF(COUNT('2_개행동'!U8)=0,"",'2_개행동'!U8)</f>
        <v/>
      </c>
      <c r="Z17" s="51" t="str">
        <f>IF(COUNT('2_개행동'!U27)=0,"",'2_개행동'!U27)</f>
        <v/>
      </c>
      <c r="AA17" s="18"/>
      <c r="AB17" s="16" t="str">
        <f>IF(COUNT('2_개행동'!U9)=0,"",'2_개행동'!U9)</f>
        <v/>
      </c>
      <c r="AC17" s="16" t="str">
        <f>IF(COUNT('2_개행동'!U10)=0,"",'2_개행동'!U10)</f>
        <v/>
      </c>
      <c r="AD17" s="16" t="str">
        <f>IF(COUNT('2_개행동'!U18)=0,"",'2_개행동'!U18)</f>
        <v/>
      </c>
      <c r="AE17" s="16" t="str">
        <f>IF(AND(COUNT('2_개행동'!U17,'2_개행동'!U19,'2_개행동'!U22)=3,OR('3_보호자행동'!U12=1,'3_보호자행동'!U12=2)),IF(COUNT('2_개행동'!U17)=0,0,MAX(0,-'2_개행동'!U17))+IF(COUNT('2_개행동'!U19)=0,0,MAX(0,-'2_개행동'!U19))+IF(COUNT('2_개행동'!U22)=0,0,MAX(0,-'2_개행동'!U22)),"")</f>
        <v/>
      </c>
      <c r="AF17" s="16" t="str">
        <f>IF(AND(COUNT('2_개행동'!U17,'2_개행동'!U19,'2_개행동'!U22)=3,OR('3_보호자행동'!U12=1,'3_보호자행동'!U12=2)),IF(COUNT('2_개행동'!U17)=0,0,MAX(0,'2_개행동'!U17))+IF(COUNT('2_개행동'!U19)=0,0,MAX(0,'2_개행동'!U19))+IF(COUNT('2_개행동'!U22)=0,0,MAX(0,'2_개행동'!U22)),"")</f>
        <v/>
      </c>
      <c r="AG17" s="40" t="str">
        <f>IF(COUNT('3_보호자행동'!U14)=0,"조건 미확인",IF('3_보호자행동'!U14=3,"조건 이탈",IF(BC17&lt;2,"자료 부족",IF(AND(BA17&gt;0,BB17&gt;0),"양방향 관찰",IF(BA17&gt;0,"−방향 관찰",IF(BB17&gt;0,"+방향 관찰","중앙범주만 관찰"))))))</f>
        <v>조건 미확인</v>
      </c>
      <c r="AH17" s="40" t="str">
        <f>IF(COUNT('3_보호자행동'!U13)=0,"조건 미확인",IF('3_보호자행동'!U13=3,"조건 이탈",IF(COUNT('2_개행동'!U24)=0,"자료 부족",CHOOSE('2_개행동'!U24+3,"−2","−1","0","+1","+2"))))</f>
        <v>조건 미확인</v>
      </c>
      <c r="AI17" s="40" t="str">
        <f>IF(COUNT('2_개행동'!U28)=0,"자료 부족",CHOOSE('2_개행동'!U28+3,"−2","−1","0","+1","+2"))</f>
        <v>자료 부족</v>
      </c>
      <c r="AJ17" s="40" t="str">
        <f>IF(COUNT('2_개행동'!U8,'2_개행동'!U14,'2_개행동'!U18,'2_개행동'!U23,'2_개행동'!U44,'2_개행동'!U52,'2_개행동'!U58)=0,"",IF(COUNT('2_개행동'!U8)=0,0,IF('2_개행동'!U8&lt;0,1,0))+IF(COUNT('2_개행동'!U14)=0,0,IF('2_개행동'!U14&lt;0,1,0))+IF(COUNT('2_개행동'!U18)=0,0,IF('2_개행동'!U18&lt;0,1,0))+IF(COUNT('2_개행동'!U23)=0,0,IF('2_개행동'!U23&lt;0,1,0))+IF(COUNT('2_개행동'!U44)=0,0,IF('2_개행동'!U44&lt;0,1,0))+IF(COUNT('2_개행동'!U52)=0,0,IF('2_개행동'!U52&lt;0,1,0))+IF(COUNT('2_개행동'!U58)=0,0,IF('2_개행동'!U58&lt;0,1,0)))</f>
        <v/>
      </c>
      <c r="AK17" s="40" t="str">
        <f>IF(COUNT('2_개행동'!U8,'2_개행동'!U14,'2_개행동'!U18,'2_개행동'!U23,'2_개행동'!U44,'2_개행동'!U52,'2_개행동'!U58)=0,"",IF(COUNT('2_개행동'!U8)=0,0,IF('2_개행동'!U8&gt;0,1,0))+IF(COUNT('2_개행동'!U14)=0,0,IF('2_개행동'!U14&gt;0,1,0))+IF(COUNT('2_개행동'!U18)=0,0,IF('2_개행동'!U18&gt;0,1,0))+IF(COUNT('2_개행동'!U23)=0,0,IF('2_개행동'!U23&gt;0,1,0))+IF(COUNT('2_개행동'!U44)=0,0,IF('2_개행동'!U44&gt;0,1,0))+IF(COUNT('2_개행동'!U52)=0,0,IF('2_개행동'!U52&gt;0,1,0))+IF(COUNT('2_개행동'!U58)=0,0,IF('2_개행동'!U58&gt;0,1,0)))</f>
        <v/>
      </c>
      <c r="AL17" s="40" t="str">
        <f>IF(COUNT('2_개행동'!U8,'2_개행동'!U14,'2_개행동'!U18,'2_개행동'!U23,'2_개행동'!U44,'2_개행동'!U52,'2_개행동'!U58)&lt;1,"자료 부족",IF(AND(AJ17&gt;0,AK17&gt;0),"양방향 관찰",IF(AJ17&gt;0,"−방향 관찰",IF(AK17&gt;0,"+방향 관찰","중앙범주만 관찰"))))</f>
        <v>자료 부족</v>
      </c>
      <c r="AM17" s="40" t="str">
        <f>IF(AND(COUNT('2_개행동'!U30,'2_개행동'!U34)=2,OR('3_보호자행동'!U14=1,'3_보호자행동'!U14=2)),IF('2_개행동'!U30='2_개행동'!U34,"같은 범주","범주 변화"),"비교 보류")</f>
        <v>비교 보류</v>
      </c>
      <c r="AN17" s="40" t="str">
        <f>IF(COUNT('2_개행동'!U5)=0,"자료 부족",CHOOSE('2_개행동'!U5+3,"−2","−1","0","+1","+2"))</f>
        <v>자료 부족</v>
      </c>
      <c r="AO17" s="40" t="str">
        <f>IF(COUNT('3_보호자행동'!U13)=0,"조건 미확인",IF('3_보호자행동'!U13=3,"조건 이탈",IF(COUNT('2_개행동'!U25)=0,"자료 부족",CHOOSE('2_개행동'!U25+3,"−2","−1","0","+1","+2"))))</f>
        <v>조건 미확인</v>
      </c>
      <c r="AP17" s="40" t="str">
        <f>IF(COUNT('1_바디시그널'!U7,'1_바디시그널'!U38)&lt;2,"",'1_바디시그널'!U7-'1_바디시그널'!U38)</f>
        <v/>
      </c>
      <c r="AQ17" s="38" t="str">
        <f>IF(LEN(TRIM('3_보호자행동'!T62&amp;""))=0,"",'3_보호자행동'!T62)</f>
        <v>판정보류</v>
      </c>
      <c r="AR17" s="38" t="str">
        <f>IF('3_보호자행동'!U62&lt;&gt;"채점자 선택","",IF(LEN(TRIM('3_보호자행동'!C62&amp;""))=0,"",'3_보호자행동'!C62))</f>
        <v/>
      </c>
      <c r="AS17" s="38" t="str">
        <f>'3_보호자행동'!I62</f>
        <v>자동 · 판정보류</v>
      </c>
      <c r="AT17" s="38" t="str">
        <f>IF('3_보호자행동'!U62="채점자 선택",'3_보호자행동'!G62,"")</f>
        <v/>
      </c>
      <c r="AU17" s="40" t="str">
        <f>IF(COUNT('3_보호자행동'!U12)=0,"조건 미확인",IF('3_보호자행동'!U12=3,"조건 이탈",IF(COUNT(AE17,AF17,'2_개행동'!U18)&lt;3,"자료 부족",IF(AND(AE17&gt;=2,AF17&gt;=2),"접촉·거리 반응 혼재",IF(ABS('2_개행동'!U18)=2,"재회 몸 상태 지속",IF(AF17&gt;=3,"거리 유지 관찰",IF(AE17&gt;=4,"접촉 유지 관찰","기준상 뚜렷한 치우침 없음")))))))</f>
        <v>조건 미확인</v>
      </c>
      <c r="AV17" s="40" t="str">
        <f>"발성량: 혼자 "&amp;IF(COUNT('2_개행동'!U11)=0,"미확인",TEXT('2_개행동'!U11,"0"))&amp;" / 재회 "&amp;IF(COUNT('2_개행동'!U47)=0,"미확인",TEXT('2_개행동'!U47,"0"))&amp;" / 무시 "&amp;IF(COUNT('2_개행동'!U48)=0,"미확인",TEXT('2_개행동'!U48,"0"))&amp;" · 접근 변화 사건 "&amp;IF(COUNT('2_개행동'!U21)=0,"미확인",TEXT('2_개행동'!U21,"0"))</f>
        <v>발성량: 혼자 미확인 / 재회 미확인 / 무시 미확인 · 접근 변화 사건 미확인</v>
      </c>
      <c r="AW17" s="40" t="str">
        <f>IF(AND(OR('3_보호자행동'!U14=1,'3_보호자행동'!U14=2),BC17&gt;=2),(IF(COUNT('2_개행동'!U5)=0,0,100-50*ABS('2_개행동'!U5))+IF(COUNT('2_개행동'!U6)=0,0,100-50*ABS('2_개행동'!U6))+IF(COUNT('2_개행동'!U30)=0,0,100-50*ABS('2_개행동'!U30)))/BC17,"")</f>
        <v/>
      </c>
      <c r="AX17" s="40" t="str">
        <f>IF(BF17&gt;=4,(IF(COUNT('2_개행동'!U13)=0,0,100-50*ABS('2_개행동'!U13))+IF(COUNT('2_개행동'!U14)=0,0,100-50*ABS('2_개행동'!U14))+IF(COUNT('2_개행동'!U15)=0,0,100-50*ABS('2_개행동'!U15))+IF(COUNT('2_개행동'!U51)=0,0,100-50*ABS('2_개행동'!U51))+IF(COUNT('2_개행동'!U52)=0,0,100-50*ABS('2_개행동'!U52))+IF(COUNT('2_개행동'!U54)=0,0,100-50*ABS('2_개행동'!U54))+IF(COUNT('2_개행동'!U55)=0,0,100-50*ABS('2_개행동'!U55)))/BF17,"")</f>
        <v/>
      </c>
      <c r="AY17" s="40" t="str">
        <f t="shared" si="5"/>
        <v/>
      </c>
      <c r="AZ17" s="40" t="str">
        <f>IF(COUNT('2_개행동'!U48)=0,"",'2_개행동'!U48)</f>
        <v/>
      </c>
      <c r="BA17" s="40" t="str">
        <f>IF(COUNT('2_개행동'!U5,'2_개행동'!U6,'2_개행동'!U30)=0,"",IF(COUNT('2_개행동'!U5)=0,0,MAX(0,-'2_개행동'!U5))+IF(COUNT('2_개행동'!U6)=0,0,MAX(0,-'2_개행동'!U6))+IF(COUNT('2_개행동'!U30)=0,0,MAX(0,-'2_개행동'!U30)))</f>
        <v/>
      </c>
      <c r="BB17" s="40" t="str">
        <f>IF(COUNT('2_개행동'!U5,'2_개행동'!U6,'2_개행동'!U30)=0,"",IF(COUNT('2_개행동'!U5)=0,0,MAX(0,'2_개행동'!U5))+IF(COUNT('2_개행동'!U6)=0,0,MAX(0,'2_개행동'!U6))+IF(COUNT('2_개행동'!U30)=0,0,MAX(0,'2_개행동'!U30)))</f>
        <v/>
      </c>
      <c r="BC17" s="40">
        <f>COUNT('2_개행동'!U5,'2_개행동'!U6,'2_개행동'!U30)</f>
        <v>0</v>
      </c>
      <c r="BD17" s="40" t="str">
        <f>IF(COUNT('2_개행동'!U13,'2_개행동'!U14,'2_개행동'!U15,'2_개행동'!U51,'2_개행동'!U52,'2_개행동'!U54,'2_개행동'!U55)=0,"",IF(COUNT('2_개행동'!U13)=0,0,MAX(0,-'2_개행동'!U13))+IF(COUNT('2_개행동'!U14)=0,0,MAX(0,-'2_개행동'!U14))+IF(COUNT('2_개행동'!U15)=0,0,MAX(0,-'2_개행동'!U15))+IF(COUNT('2_개행동'!U51)=0,0,MAX(0,-'2_개행동'!U51))+IF(COUNT('2_개행동'!U52)=0,0,MAX(0,-'2_개행동'!U52))+IF(COUNT('2_개행동'!U54)=0,0,MAX(0,-'2_개행동'!U54))+IF(COUNT('2_개행동'!U55)=0,0,MAX(0,-'2_개행동'!U55)))</f>
        <v/>
      </c>
      <c r="BE17" s="40" t="str">
        <f>IF(COUNT('2_개행동'!U13,'2_개행동'!U14,'2_개행동'!U15,'2_개행동'!U51,'2_개행동'!U52,'2_개행동'!U54,'2_개행동'!U55)=0,"",IF(COUNT('2_개행동'!U13)=0,0,MAX(0,'2_개행동'!U13))+IF(COUNT('2_개행동'!U14)=0,0,MAX(0,'2_개행동'!U14))+IF(COUNT('2_개행동'!U15)=0,0,MAX(0,'2_개행동'!U15))+IF(COUNT('2_개행동'!U51)=0,0,MAX(0,'2_개행동'!U51))+IF(COUNT('2_개행동'!U52)=0,0,MAX(0,'2_개행동'!U52))+IF(COUNT('2_개행동'!U54)=0,0,MAX(0,'2_개행동'!U54))+IF(COUNT('2_개행동'!U55)=0,0,MAX(0,'2_개행동'!U55)))</f>
        <v/>
      </c>
      <c r="BF17" s="40">
        <f>COUNT('2_개행동'!U13,'2_개행동'!U14,'2_개행동'!U15,'2_개행동'!U51,'2_개행동'!U52,'2_개행동'!U54,'2_개행동'!U55)</f>
        <v>0</v>
      </c>
      <c r="BG17" s="38" t="str">
        <f>IF(LEN(TRIM('2_개행동'!C81&amp;""))=0,"",'2_개행동'!C81)</f>
        <v/>
      </c>
      <c r="BH17" s="38" t="str">
        <f>IF(LEN(TRIM('2_개행동'!G81&amp;""))=0,"",'2_개행동'!G81)</f>
        <v/>
      </c>
      <c r="BI17" s="38" t="str">
        <f>'2_개행동'!I81</f>
        <v>미판정</v>
      </c>
      <c r="BJ17" s="38" t="str">
        <f>IF(M17="미판정","애착유형 미판정",IF(M17="유형 입력 확인","유형 입력을 확인해 주세요.",IF(LEN(TRIM(BG17&amp;""))=0,IF(M17="판정보류","판정보류 사유를 입력해 주세요.","관찰 근거 미기록: 유형 설명 보류"),IF(M17="곁에서 안심하는 사이",성향문장!C49,IF(M17="가까이 있어도 안심이 어려운 사이",성향문장!C50,IF(M17="거리를 두고 지내는 사이",성향문장!C51,IF(M17="다가감과 물러섬이 함께 나오는 사이",성향문장!C52,성향문장!C53)))))))</f>
        <v>애착유형 미판정</v>
      </c>
      <c r="BK17" s="37" t="str">
        <f>IF(COUNT('3_보호자행동'!U12)=0,"조건 미확인",IF('3_보호자행동'!U12=3,"조건 이탈",IF(COUNT('2_개행동'!U9,'2_개행동'!U17,'2_개행동'!U18,'2_개행동'!U19,'2_개행동'!U22)&lt;5,"자료 부족",IF(N('2_개행동'!U21)&gt;=2,"접근이 여러 번 바뀜 — 한 서술로 묶지 않음",IF(AND($AE17&gt;=2,$AF17&gt;=2),"섞여 있음",IF(-'2_개행동'!U9&gt;=1,IF(ABS('2_개행동'!U18)&lt;=1,IF($AF17&gt;=$AE17,"없을 때 흔들 → 있을 때 가라앉고 자기 일","없을 때 흔들 → 있을 때 가라앉고 곁에 붙음"),"없을 때 흔들 → 있을 때도 못 가라앉음"),IF($AE17&gt;=2,"없을 때 담담 → 있을 때 곁에 붙음","없을 때도 있을 때도 비슷")))))))</f>
        <v>조건 미확인</v>
      </c>
      <c r="BL17" s="37" t="str">
        <f>IF(OR(COUNT('1_바디시그널'!U$5)=0,COUNT('1_바디시그널'!U$38)=0),"",'1_바디시그널'!U$5-'1_바디시그널'!U$38)</f>
        <v/>
      </c>
      <c r="BM17" s="37" t="str">
        <f>IF(OR(COUNT('1_바디시그널'!U$9)=0,COUNT('1_바디시그널'!U$38)=0),"",'1_바디시그널'!U$9-'1_바디시그널'!U$38)</f>
        <v/>
      </c>
      <c r="BN17" s="37" t="str">
        <f>IF(OR(COUNT('1_바디시그널'!U$11)=0,COUNT('1_바디시그널'!U$38)=0),"",'1_바디시그널'!U$11-'1_바디시그널'!U$38)</f>
        <v/>
      </c>
      <c r="BO17" s="37" t="str">
        <f>IF(OR(COUNT('1_바디시그널'!U$13)=0,COUNT('1_바디시그널'!U$38)=0),"",'1_바디시그널'!U$13-'1_바디시그널'!U$38)</f>
        <v/>
      </c>
      <c r="BP17" s="37" t="str">
        <f>IF(OR(COUNT('1_바디시그널'!U$39)=0,COUNT('1_바디시그널'!U$38)=0),"",'1_바디시그널'!U$39-'1_바디시그널'!U$38)</f>
        <v/>
      </c>
      <c r="BQ17" s="37" t="str">
        <f>IF(OR(COUNT('1_바디시그널'!U$43)=0,COUNT('1_바디시그널'!U$38)=0),"",'1_바디시그널'!U$43-'1_바디시그널'!U$38)</f>
        <v/>
      </c>
      <c r="BR17" s="37" t="str">
        <f>IF(OR(COUNT('1_바디시그널'!U$44)=0,COUNT('1_바디시그널'!U$38)=0),"",'1_바디시그널'!U$44-'1_바디시그널'!U$38)</f>
        <v/>
      </c>
      <c r="BS17" s="37" t="str">
        <f>IF(OR(COUNT('1_바디시그널'!U$45)=0,COUNT('1_바디시그널'!U$38)=0),"",'1_바디시그널'!U$45-'1_바디시그널'!U$38)</f>
        <v/>
      </c>
      <c r="BT17" s="37" t="str">
        <f>IF(OR(COUNT('1_바디시그널'!U$41)=0,COUNT('1_바디시그널'!U$40)=0),"",'1_바디시그널'!U$41-'1_바디시그널'!U$40)</f>
        <v/>
      </c>
      <c r="BU17" s="37" t="str">
        <f>IF(OR(COUNT('1_바디시그널'!U$42)=0,COUNT('1_바디시그널'!U$40)=0),"",'1_바디시그널'!U$42-'1_바디시그널'!U$40)</f>
        <v/>
      </c>
      <c r="BV17" s="37">
        <f>N('2_개행동'!U$5&lt;=-1)+N('2_개행동'!U$6&lt;=-1)+IF(AND(COUNT('2_개행동'!U$30)=1,COUNT('3_보호자행동'!U$14)=1,'3_보호자행동'!U$14&lt;=2),N('2_개행동'!U$30&lt;=-1),0)</f>
        <v>0</v>
      </c>
      <c r="BW17" s="37">
        <f>N('2_개행동'!U$5&gt;=1)+N('2_개행동'!U$6&gt;=1)+IF(AND(COUNT('2_개행동'!U$30)=1,COUNT('3_보호자행동'!U$14)=1,'3_보호자행동'!U$14&lt;=2),N('2_개행동'!U$30&gt;=1),0)</f>
        <v>0</v>
      </c>
      <c r="BX17" s="37">
        <f>COUNT('2_개행동'!U$5,'2_개행동'!U$6)+IF(AND(COUNT('2_개행동'!U$30)=1,COUNT('3_보호자행동'!U$14)=1,'3_보호자행동'!U$14&lt;=2),1,0)</f>
        <v>0</v>
      </c>
      <c r="BY17" s="37" t="str">
        <f t="shared" si="6"/>
        <v>자료 부족</v>
      </c>
      <c r="BZ17" s="37" t="str">
        <f>"문 "&amp;IF(COUNT('2_개행동'!U$5)=0,"미확인",SUBSTITUTE(TEXT('2_개행동'!U$5,"+0;-0;0"),"-","−"))&amp;" · 바닥 "&amp;IF(COUNT('2_개행동'!U$6)=0,"미확인",SUBSTITUTE(TEXT('2_개행동'!U$6,"+0;-0;0"),"-","−"))&amp;" · 물건 "&amp;IF(AND(COUNT('2_개행동'!U$30)=1,COUNT('3_보호자행동'!U$14)=1,'3_보호자행동'!U$14&lt;=2),IF(COUNT('2_개행동'!U$30)=0,"미확인",SUBSTITUTE(TEXT('2_개행동'!U$30,"+0;-0;0"),"-","−")),"보류")&amp;"  /  꼬리 기준대비 입장 "&amp;IF(COUNT($BL17)=0,"미확인",SUBSTITUTE(TEXT($BL17,"+0;-0;0"),"-","−"))&amp;" · 바닥 "&amp;IF(COUNT($AP17)=0,"미확인",SUBSTITUTE(TEXT($AP17,"+0;-0;0"),"-","−"))&amp;" · 물건 "&amp;IF(COUNT($BR17)=0,"미확인",SUBSTITUTE(TEXT($BR17,"+0;-0;0"),"-","−"))&amp;"  /  긴장 신호 "&amp;IF(COUNT('1_바디시그널'!U$14,'1_바디시그널'!U$15,'1_바디시그널'!U$16)=0,"미확인",TEXT(SUM('1_바디시그널'!U$14,'1_바디시그널'!U$15,'1_바디시그널'!U$16),"0")&amp;"회")&amp;"  /  냄새 "&amp;IF(COUNT('2_개행동'!U$7)=0,"미확인",IF('2_개행동'!U$7=0,"씀","안 씀"))</f>
        <v>문 미확인 · 바닥 미확인 · 물건 보류  /  꼬리 기준대비 입장 미확인 · 바닥 미확인 · 물건 미확인  /  긴장 신호 미확인  /  냄새 미확인</v>
      </c>
      <c r="CA17" s="37" t="str">
        <f>IF(AND('6_행사전문가의견'!E216="완료",OR('6_행사전문가의견'!B218="주저함 · 거리를 벌림",'6_행사전문가의견'!B218="뚜렷한 치우침 없음",'6_행사전문가의견'!B218="살피지 않고 들이닥침",'6_행사전문가의견'!B218="자극에 따라 다름",'6_행사전문가의견'!B218="판단보류"),LEN(TRIM('6_행사전문가의견'!B219&amp;""))&gt;0),'6_행사전문가의견'!B218,"")</f>
        <v/>
      </c>
      <c r="CB17" s="37" t="str">
        <f>IF(AND('6_행사전문가의견'!E216="완료",OR('6_행사전문가의견'!B218="주저함 · 거리를 벌림",'6_행사전문가의견'!B218="뚜렷한 치우침 없음",'6_행사전문가의견'!B218="살피지 않고 들이닥침",'6_행사전문가의견'!B218="자극에 따라 다름",'6_행사전문가의견'!B218="판단보류"),LEN(TRIM('6_행사전문가의견'!B219&amp;""))&gt;0),'6_행사전문가의견'!B219,"")</f>
        <v/>
      </c>
      <c r="CC17" s="37" t="str">
        <f t="shared" si="7"/>
        <v>자료 부족</v>
      </c>
      <c r="CD17" s="38" t="str">
        <f>IF('6_행사전문가의견'!E216&lt;&gt;"완료","",IF(LEN(TRIM('6_행사전문가의견'!D209&amp;""))=0,"",'6_행사전문가의견'!D209))</f>
        <v/>
      </c>
      <c r="CE17" s="38" t="str">
        <f>IF('6_행사전문가의견'!E216&lt;&gt;"완료","",IF(LEN(TRIM('6_행사전문가의견'!D210&amp;""))=0,"",'6_행사전문가의견'!D210))</f>
        <v/>
      </c>
      <c r="CF17" s="38" t="str">
        <f>IF('6_행사전문가의견'!E216&lt;&gt;"완료","",IF(LEN(TRIM('6_행사전문가의견'!D211&amp;""))=0,"",'6_행사전문가의견'!D211))</f>
        <v/>
      </c>
      <c r="CG17" s="38" t="str">
        <f>IF('6_행사전문가의견'!E216&lt;&gt;"완료","",IF(LEN(TRIM('6_행사전문가의견'!D213&amp;""))=0,"",'6_행사전문가의견'!D213))</f>
        <v/>
      </c>
      <c r="CH17" s="38" t="str">
        <f>IF('6_행사전문가의견'!E216&lt;&gt;"완료","",IF(LEN(TRIM('6_행사전문가의견'!D215&amp;""))=0,"",'6_행사전문가의견'!D215))</f>
        <v/>
      </c>
      <c r="CI17" s="38" t="str">
        <f>IF('6_행사전문가의견'!E216&lt;&gt;"완료","",IF(LEN(TRIM('6_행사전문가의견'!C207&amp;""))=0,"",'6_행사전문가의견'!C207))</f>
        <v/>
      </c>
      <c r="CJ17" s="38" t="str">
        <f>'6_행사전문가의견'!E216</f>
        <v>미작성</v>
      </c>
      <c r="CK17" s="37" t="str">
        <f>'2_개행동'!U60</f>
        <v>미채점</v>
      </c>
      <c r="CL17" s="40" t="str">
        <f>IF(LEN(TRIM(CD17&amp;""))&gt;0,CD17,"분리 초기: "&amp;IF(COUNT('2_개행동'!U$9)=0,"자료 부족",INDEX('2_개행동'!$C$9:$G$9,1,'2_개행동'!U$9+3))&amp;" / 분리 이후: "&amp;IF(COUNT('2_개행동'!U$10)=0,"자료 부족",INDEX('2_개행동'!$C$10:$G$10,1,'2_개행동'!U$10+3))&amp;" / 변화: "&amp;CK17&amp;" / 분리·재회·무시 보조: "&amp;BK17&amp;" / 재회·무시 패턴: "&amp;AU17&amp;IF(M17="미판정",""," / 기본 유형: "&amp;M17&amp;IF(LEN(TRIM(BG17&amp;""))&gt;0," / 근거: "&amp;BG17,"")))</f>
        <v>분리 초기: 자료 부족 / 분리 이후: 자료 부족 / 변화: 미채점 / 분리·재회·무시 보조: 조건 미확인 / 재회·무시 패턴: 조건 미확인</v>
      </c>
      <c r="CM17" s="40" t="str">
        <f>IF(LEN(TRIM(CE17&amp;""))&gt;0,CE17,IF(LEN(TRIM(AQ17&amp;""))=0,"",AQ17&amp;IF(LEN(TRIM(AR17&amp;""))&gt;0,". "&amp;AR17,IF(COUNT('3_보호자행동'!P62)=0," (자동 초안 · 근거 비율 미산출)"," (자동 초안 · 허용 "&amp;TEXT('3_보호자행동'!P62,"0.00")&amp;" / 조율 "&amp;TEXT('3_보호자행동'!Q62,"0.00")&amp;" / 통제 "&amp;TEXT('3_보호자행동'!R62,"0.00")&amp;")"))))</f>
        <v>판정보류 (자동 초안 · 근거 비율 미산출)</v>
      </c>
      <c r="CN17" s="40" t="str">
        <f t="shared" si="8"/>
        <v>자료 부족</v>
      </c>
      <c r="CO17" s="40" t="str">
        <f t="shared" si="9"/>
        <v>조건 미확인</v>
      </c>
      <c r="CP17" s="40" t="str">
        <f t="shared" si="10"/>
        <v/>
      </c>
      <c r="CQ17" s="40" t="str">
        <f>IF('6_행사전문가의견'!E216&lt;&gt;"완료","",IF(LEN(TRIM('6_행사전문가의견'!D212&amp;""))=0,"",'6_행사전문가의견'!D212))</f>
        <v/>
      </c>
      <c r="CR17" s="40" t="str">
        <f>IF('6_행사전문가의견'!E216&lt;&gt;"완료","",IF(LEN(TRIM('6_행사전문가의견'!D214&amp;""))=0,"",'6_행사전문가의견'!D214))</f>
        <v/>
      </c>
      <c r="CS17" s="40" t="str">
        <f t="shared" si="11"/>
        <v/>
      </c>
      <c r="CT17" s="40" t="str">
        <f t="shared" si="12"/>
        <v/>
      </c>
      <c r="CU17" s="37" t="str">
        <f>IF(LEN(TRIM('3_보호자행동'!U62&amp;""))=0,"",'3_보호자행동'!U62)</f>
        <v>자동 초안</v>
      </c>
    </row>
    <row r="18" spans="1:99" ht="81.95" customHeight="1" x14ac:dyDescent="0.3">
      <c r="A18" s="16">
        <v>13</v>
      </c>
      <c r="B18" s="16"/>
      <c r="C18" s="16"/>
      <c r="D18" s="50" t="str">
        <f>IF(COUNT('3_보호자행동'!V5)=0,"",'3_보호자행동'!V5)</f>
        <v/>
      </c>
      <c r="E18" s="16" t="str">
        <f>IF(COUNT('3_보호자행동'!V6)=0,"",'3_보호자행동'!V6)</f>
        <v/>
      </c>
      <c r="F18" s="16" t="str">
        <f>IF(COUNT('3_보호자행동'!V9)=0,"",'3_보호자행동'!V9)</f>
        <v/>
      </c>
      <c r="G18" s="50" t="str">
        <f>IF(AND(OR('3_보호자행동'!V14=1,'3_보호자행동'!V14=2),BC18&gt;=2),BA18/BC18,"")</f>
        <v/>
      </c>
      <c r="H18" s="16" t="str">
        <f>IF(AND(OR('3_보호자행동'!V14=1,'3_보호자행동'!V14=2),BC18&gt;=2),BB18/BC18,"")</f>
        <v/>
      </c>
      <c r="I18" s="17">
        <f t="shared" si="0"/>
        <v>0</v>
      </c>
      <c r="J18" s="16" t="str">
        <f t="shared" si="1"/>
        <v>자료 부족</v>
      </c>
      <c r="K18" s="16" t="str">
        <f t="shared" si="2"/>
        <v/>
      </c>
      <c r="L18" s="16" t="str">
        <f t="shared" si="3"/>
        <v/>
      </c>
      <c r="M18" s="16" t="str">
        <f>IF(LEN(TRIM('2_개행동'!B82&amp;""))=0,"미판정",IF(OR('2_개행동'!B82="곁에서 안심하는 사이",'2_개행동'!B82="가까이 있어도 안심이 어려운 사이",'2_개행동'!B82="거리를 두고 지내는 사이",'2_개행동'!B82="다가감과 물러섬이 함께 나오는 사이",'2_개행동'!B82="판정보류"),'2_개행동'!B82,"유형 입력 확인"))</f>
        <v>미판정</v>
      </c>
      <c r="N18" s="16" t="str">
        <f>IF(COUNT('2_개행동'!V18)=0,"",'2_개행동'!V18)</f>
        <v/>
      </c>
      <c r="O18" s="16" t="str">
        <f>IF(COUNT('2_개행동'!V47)=0,"",'2_개행동'!V47)</f>
        <v/>
      </c>
      <c r="P18" s="50" t="str">
        <f>IF(OR('3_보호자행동'!V13=1,'3_보호자행동'!V13=2),IF(COUNT('2_개행동'!V24)=0,"",'2_개행동'!V24),"")</f>
        <v/>
      </c>
      <c r="Q18" s="16" t="str">
        <f>IF(OR('3_보호자행동'!V13=1,'3_보호자행동'!V13=2),IF(COUNT('2_개행동'!V25)=0,"",'2_개행동'!V25),"")</f>
        <v/>
      </c>
      <c r="R18" s="51" t="str">
        <f t="shared" si="4"/>
        <v/>
      </c>
      <c r="S18" s="50" t="str">
        <f>IF(COUNT('2_개행동'!V28)=0,"",'2_개행동'!V28)</f>
        <v/>
      </c>
      <c r="T18" s="16" t="str">
        <f>IF(COUNT('2_개행동'!V34)=0,"",'2_개행동'!V34)</f>
        <v/>
      </c>
      <c r="U18" s="16" t="str">
        <f>IF(COUNT('2_개행동'!V50)=0,"",'2_개행동'!V50)</f>
        <v/>
      </c>
      <c r="V18" s="52" t="str">
        <f>IF(AND(COUNT('2_개행동'!V8,'2_개행동'!V23)=2,OR('3_보호자행동'!V12=1,'3_보호자행동'!V12=2)),ABS('2_개행동'!V8)-ABS('2_개행동'!V23),"")</f>
        <v/>
      </c>
      <c r="W18" s="52" t="str">
        <f>IF(COUNT('2_개행동'!V58,'2_개행동'!V18)&lt;2,"",ABS('2_개행동'!V58)-ABS('2_개행동'!V18))</f>
        <v/>
      </c>
      <c r="X18" s="52"/>
      <c r="Y18" s="16" t="str">
        <f>IF(COUNT('2_개행동'!V8)=0,"",'2_개행동'!V8)</f>
        <v/>
      </c>
      <c r="Z18" s="51" t="str">
        <f>IF(COUNT('2_개행동'!V27)=0,"",'2_개행동'!V27)</f>
        <v/>
      </c>
      <c r="AA18" s="18"/>
      <c r="AB18" s="16" t="str">
        <f>IF(COUNT('2_개행동'!V9)=0,"",'2_개행동'!V9)</f>
        <v/>
      </c>
      <c r="AC18" s="16" t="str">
        <f>IF(COUNT('2_개행동'!V10)=0,"",'2_개행동'!V10)</f>
        <v/>
      </c>
      <c r="AD18" s="16" t="str">
        <f>IF(COUNT('2_개행동'!V18)=0,"",'2_개행동'!V18)</f>
        <v/>
      </c>
      <c r="AE18" s="16" t="str">
        <f>IF(AND(COUNT('2_개행동'!V17,'2_개행동'!V19,'2_개행동'!V22)=3,OR('3_보호자행동'!V12=1,'3_보호자행동'!V12=2)),IF(COUNT('2_개행동'!V17)=0,0,MAX(0,-'2_개행동'!V17))+IF(COUNT('2_개행동'!V19)=0,0,MAX(0,-'2_개행동'!V19))+IF(COUNT('2_개행동'!V22)=0,0,MAX(0,-'2_개행동'!V22)),"")</f>
        <v/>
      </c>
      <c r="AF18" s="16" t="str">
        <f>IF(AND(COUNT('2_개행동'!V17,'2_개행동'!V19,'2_개행동'!V22)=3,OR('3_보호자행동'!V12=1,'3_보호자행동'!V12=2)),IF(COUNT('2_개행동'!V17)=0,0,MAX(0,'2_개행동'!V17))+IF(COUNT('2_개행동'!V19)=0,0,MAX(0,'2_개행동'!V19))+IF(COUNT('2_개행동'!V22)=0,0,MAX(0,'2_개행동'!V22)),"")</f>
        <v/>
      </c>
      <c r="AG18" s="40" t="str">
        <f>IF(COUNT('3_보호자행동'!V14)=0,"조건 미확인",IF('3_보호자행동'!V14=3,"조건 이탈",IF(BC18&lt;2,"자료 부족",IF(AND(BA18&gt;0,BB18&gt;0),"양방향 관찰",IF(BA18&gt;0,"−방향 관찰",IF(BB18&gt;0,"+방향 관찰","중앙범주만 관찰"))))))</f>
        <v>조건 미확인</v>
      </c>
      <c r="AH18" s="40" t="str">
        <f>IF(COUNT('3_보호자행동'!V13)=0,"조건 미확인",IF('3_보호자행동'!V13=3,"조건 이탈",IF(COUNT('2_개행동'!V24)=0,"자료 부족",CHOOSE('2_개행동'!V24+3,"−2","−1","0","+1","+2"))))</f>
        <v>조건 미확인</v>
      </c>
      <c r="AI18" s="40" t="str">
        <f>IF(COUNT('2_개행동'!V28)=0,"자료 부족",CHOOSE('2_개행동'!V28+3,"−2","−1","0","+1","+2"))</f>
        <v>자료 부족</v>
      </c>
      <c r="AJ18" s="40" t="str">
        <f>IF(COUNT('2_개행동'!V8,'2_개행동'!V14,'2_개행동'!V18,'2_개행동'!V23,'2_개행동'!V44,'2_개행동'!V52,'2_개행동'!V58)=0,"",IF(COUNT('2_개행동'!V8)=0,0,IF('2_개행동'!V8&lt;0,1,0))+IF(COUNT('2_개행동'!V14)=0,0,IF('2_개행동'!V14&lt;0,1,0))+IF(COUNT('2_개행동'!V18)=0,0,IF('2_개행동'!V18&lt;0,1,0))+IF(COUNT('2_개행동'!V23)=0,0,IF('2_개행동'!V23&lt;0,1,0))+IF(COUNT('2_개행동'!V44)=0,0,IF('2_개행동'!V44&lt;0,1,0))+IF(COUNT('2_개행동'!V52)=0,0,IF('2_개행동'!V52&lt;0,1,0))+IF(COUNT('2_개행동'!V58)=0,0,IF('2_개행동'!V58&lt;0,1,0)))</f>
        <v/>
      </c>
      <c r="AK18" s="40" t="str">
        <f>IF(COUNT('2_개행동'!V8,'2_개행동'!V14,'2_개행동'!V18,'2_개행동'!V23,'2_개행동'!V44,'2_개행동'!V52,'2_개행동'!V58)=0,"",IF(COUNT('2_개행동'!V8)=0,0,IF('2_개행동'!V8&gt;0,1,0))+IF(COUNT('2_개행동'!V14)=0,0,IF('2_개행동'!V14&gt;0,1,0))+IF(COUNT('2_개행동'!V18)=0,0,IF('2_개행동'!V18&gt;0,1,0))+IF(COUNT('2_개행동'!V23)=0,0,IF('2_개행동'!V23&gt;0,1,0))+IF(COUNT('2_개행동'!V44)=0,0,IF('2_개행동'!V44&gt;0,1,0))+IF(COUNT('2_개행동'!V52)=0,0,IF('2_개행동'!V52&gt;0,1,0))+IF(COUNT('2_개행동'!V58)=0,0,IF('2_개행동'!V58&gt;0,1,0)))</f>
        <v/>
      </c>
      <c r="AL18" s="40" t="str">
        <f>IF(COUNT('2_개행동'!V8,'2_개행동'!V14,'2_개행동'!V18,'2_개행동'!V23,'2_개행동'!V44,'2_개행동'!V52,'2_개행동'!V58)&lt;1,"자료 부족",IF(AND(AJ18&gt;0,AK18&gt;0),"양방향 관찰",IF(AJ18&gt;0,"−방향 관찰",IF(AK18&gt;0,"+방향 관찰","중앙범주만 관찰"))))</f>
        <v>자료 부족</v>
      </c>
      <c r="AM18" s="40" t="str">
        <f>IF(AND(COUNT('2_개행동'!V30,'2_개행동'!V34)=2,OR('3_보호자행동'!V14=1,'3_보호자행동'!V14=2)),IF('2_개행동'!V30='2_개행동'!V34,"같은 범주","범주 변화"),"비교 보류")</f>
        <v>비교 보류</v>
      </c>
      <c r="AN18" s="40" t="str">
        <f>IF(COUNT('2_개행동'!V5)=0,"자료 부족",CHOOSE('2_개행동'!V5+3,"−2","−1","0","+1","+2"))</f>
        <v>자료 부족</v>
      </c>
      <c r="AO18" s="40" t="str">
        <f>IF(COUNT('3_보호자행동'!V13)=0,"조건 미확인",IF('3_보호자행동'!V13=3,"조건 이탈",IF(COUNT('2_개행동'!V25)=0,"자료 부족",CHOOSE('2_개행동'!V25+3,"−2","−1","0","+1","+2"))))</f>
        <v>조건 미확인</v>
      </c>
      <c r="AP18" s="40" t="str">
        <f>IF(COUNT('1_바디시그널'!V7,'1_바디시그널'!V38)&lt;2,"",'1_바디시그널'!V7-'1_바디시그널'!V38)</f>
        <v/>
      </c>
      <c r="AQ18" s="38" t="str">
        <f>IF(LEN(TRIM('3_보호자행동'!T63&amp;""))=0,"",'3_보호자행동'!T63)</f>
        <v>판정보류</v>
      </c>
      <c r="AR18" s="38" t="str">
        <f>IF('3_보호자행동'!U63&lt;&gt;"채점자 선택","",IF(LEN(TRIM('3_보호자행동'!C63&amp;""))=0,"",'3_보호자행동'!C63))</f>
        <v/>
      </c>
      <c r="AS18" s="38" t="str">
        <f>'3_보호자행동'!I63</f>
        <v>자동 · 판정보류</v>
      </c>
      <c r="AT18" s="38" t="str">
        <f>IF('3_보호자행동'!U63="채점자 선택",'3_보호자행동'!G63,"")</f>
        <v/>
      </c>
      <c r="AU18" s="40" t="str">
        <f>IF(COUNT('3_보호자행동'!V12)=0,"조건 미확인",IF('3_보호자행동'!V12=3,"조건 이탈",IF(COUNT(AE18,AF18,'2_개행동'!V18)&lt;3,"자료 부족",IF(AND(AE18&gt;=2,AF18&gt;=2),"접촉·거리 반응 혼재",IF(ABS('2_개행동'!V18)=2,"재회 몸 상태 지속",IF(AF18&gt;=3,"거리 유지 관찰",IF(AE18&gt;=4,"접촉 유지 관찰","기준상 뚜렷한 치우침 없음")))))))</f>
        <v>조건 미확인</v>
      </c>
      <c r="AV18" s="40" t="str">
        <f>"발성량: 혼자 "&amp;IF(COUNT('2_개행동'!V11)=0,"미확인",TEXT('2_개행동'!V11,"0"))&amp;" / 재회 "&amp;IF(COUNT('2_개행동'!V47)=0,"미확인",TEXT('2_개행동'!V47,"0"))&amp;" / 무시 "&amp;IF(COUNT('2_개행동'!V48)=0,"미확인",TEXT('2_개행동'!V48,"0"))&amp;" · 접근 변화 사건 "&amp;IF(COUNT('2_개행동'!V21)=0,"미확인",TEXT('2_개행동'!V21,"0"))</f>
        <v>발성량: 혼자 미확인 / 재회 미확인 / 무시 미확인 · 접근 변화 사건 미확인</v>
      </c>
      <c r="AW18" s="40" t="str">
        <f>IF(AND(OR('3_보호자행동'!V14=1,'3_보호자행동'!V14=2),BC18&gt;=2),(IF(COUNT('2_개행동'!V5)=0,0,100-50*ABS('2_개행동'!V5))+IF(COUNT('2_개행동'!V6)=0,0,100-50*ABS('2_개행동'!V6))+IF(COUNT('2_개행동'!V30)=0,0,100-50*ABS('2_개행동'!V30)))/BC18,"")</f>
        <v/>
      </c>
      <c r="AX18" s="40" t="str">
        <f>IF(BF18&gt;=4,(IF(COUNT('2_개행동'!V13)=0,0,100-50*ABS('2_개행동'!V13))+IF(COUNT('2_개행동'!V14)=0,0,100-50*ABS('2_개행동'!V14))+IF(COUNT('2_개행동'!V15)=0,0,100-50*ABS('2_개행동'!V15))+IF(COUNT('2_개행동'!V51)=0,0,100-50*ABS('2_개행동'!V51))+IF(COUNT('2_개행동'!V52)=0,0,100-50*ABS('2_개행동'!V52))+IF(COUNT('2_개행동'!V54)=0,0,100-50*ABS('2_개행동'!V54))+IF(COUNT('2_개행동'!V55)=0,0,100-50*ABS('2_개행동'!V55)))/BF18,"")</f>
        <v/>
      </c>
      <c r="AY18" s="40" t="str">
        <f t="shared" si="5"/>
        <v/>
      </c>
      <c r="AZ18" s="40" t="str">
        <f>IF(COUNT('2_개행동'!V48)=0,"",'2_개행동'!V48)</f>
        <v/>
      </c>
      <c r="BA18" s="40" t="str">
        <f>IF(COUNT('2_개행동'!V5,'2_개행동'!V6,'2_개행동'!V30)=0,"",IF(COUNT('2_개행동'!V5)=0,0,MAX(0,-'2_개행동'!V5))+IF(COUNT('2_개행동'!V6)=0,0,MAX(0,-'2_개행동'!V6))+IF(COUNT('2_개행동'!V30)=0,0,MAX(0,-'2_개행동'!V30)))</f>
        <v/>
      </c>
      <c r="BB18" s="40" t="str">
        <f>IF(COUNT('2_개행동'!V5,'2_개행동'!V6,'2_개행동'!V30)=0,"",IF(COUNT('2_개행동'!V5)=0,0,MAX(0,'2_개행동'!V5))+IF(COUNT('2_개행동'!V6)=0,0,MAX(0,'2_개행동'!V6))+IF(COUNT('2_개행동'!V30)=0,0,MAX(0,'2_개행동'!V30)))</f>
        <v/>
      </c>
      <c r="BC18" s="40">
        <f>COUNT('2_개행동'!V5,'2_개행동'!V6,'2_개행동'!V30)</f>
        <v>0</v>
      </c>
      <c r="BD18" s="40" t="str">
        <f>IF(COUNT('2_개행동'!V13,'2_개행동'!V14,'2_개행동'!V15,'2_개행동'!V51,'2_개행동'!V52,'2_개행동'!V54,'2_개행동'!V55)=0,"",IF(COUNT('2_개행동'!V13)=0,0,MAX(0,-'2_개행동'!V13))+IF(COUNT('2_개행동'!V14)=0,0,MAX(0,-'2_개행동'!V14))+IF(COUNT('2_개행동'!V15)=0,0,MAX(0,-'2_개행동'!V15))+IF(COUNT('2_개행동'!V51)=0,0,MAX(0,-'2_개행동'!V51))+IF(COUNT('2_개행동'!V52)=0,0,MAX(0,-'2_개행동'!V52))+IF(COUNT('2_개행동'!V54)=0,0,MAX(0,-'2_개행동'!V54))+IF(COUNT('2_개행동'!V55)=0,0,MAX(0,-'2_개행동'!V55)))</f>
        <v/>
      </c>
      <c r="BE18" s="40" t="str">
        <f>IF(COUNT('2_개행동'!V13,'2_개행동'!V14,'2_개행동'!V15,'2_개행동'!V51,'2_개행동'!V52,'2_개행동'!V54,'2_개행동'!V55)=0,"",IF(COUNT('2_개행동'!V13)=0,0,MAX(0,'2_개행동'!V13))+IF(COUNT('2_개행동'!V14)=0,0,MAX(0,'2_개행동'!V14))+IF(COUNT('2_개행동'!V15)=0,0,MAX(0,'2_개행동'!V15))+IF(COUNT('2_개행동'!V51)=0,0,MAX(0,'2_개행동'!V51))+IF(COUNT('2_개행동'!V52)=0,0,MAX(0,'2_개행동'!V52))+IF(COUNT('2_개행동'!V54)=0,0,MAX(0,'2_개행동'!V54))+IF(COUNT('2_개행동'!V55)=0,0,MAX(0,'2_개행동'!V55)))</f>
        <v/>
      </c>
      <c r="BF18" s="40">
        <f>COUNT('2_개행동'!V13,'2_개행동'!V14,'2_개행동'!V15,'2_개행동'!V51,'2_개행동'!V52,'2_개행동'!V54,'2_개행동'!V55)</f>
        <v>0</v>
      </c>
      <c r="BG18" s="38" t="str">
        <f>IF(LEN(TRIM('2_개행동'!C82&amp;""))=0,"",'2_개행동'!C82)</f>
        <v/>
      </c>
      <c r="BH18" s="38" t="str">
        <f>IF(LEN(TRIM('2_개행동'!G82&amp;""))=0,"",'2_개행동'!G82)</f>
        <v/>
      </c>
      <c r="BI18" s="38" t="str">
        <f>'2_개행동'!I82</f>
        <v>미판정</v>
      </c>
      <c r="BJ18" s="38" t="str">
        <f>IF(M18="미판정","애착유형 미판정",IF(M18="유형 입력 확인","유형 입력을 확인해 주세요.",IF(LEN(TRIM(BG18&amp;""))=0,IF(M18="판정보류","판정보류 사유를 입력해 주세요.","관찰 근거 미기록: 유형 설명 보류"),IF(M18="곁에서 안심하는 사이",성향문장!C49,IF(M18="가까이 있어도 안심이 어려운 사이",성향문장!C50,IF(M18="거리를 두고 지내는 사이",성향문장!C51,IF(M18="다가감과 물러섬이 함께 나오는 사이",성향문장!C52,성향문장!C53)))))))</f>
        <v>애착유형 미판정</v>
      </c>
      <c r="BK18" s="37" t="str">
        <f>IF(COUNT('3_보호자행동'!V12)=0,"조건 미확인",IF('3_보호자행동'!V12=3,"조건 이탈",IF(COUNT('2_개행동'!V9,'2_개행동'!V17,'2_개행동'!V18,'2_개행동'!V19,'2_개행동'!V22)&lt;5,"자료 부족",IF(N('2_개행동'!V21)&gt;=2,"접근이 여러 번 바뀜 — 한 서술로 묶지 않음",IF(AND($AE18&gt;=2,$AF18&gt;=2),"섞여 있음",IF(-'2_개행동'!V9&gt;=1,IF(ABS('2_개행동'!V18)&lt;=1,IF($AF18&gt;=$AE18,"없을 때 흔들 → 있을 때 가라앉고 자기 일","없을 때 흔들 → 있을 때 가라앉고 곁에 붙음"),"없을 때 흔들 → 있을 때도 못 가라앉음"),IF($AE18&gt;=2,"없을 때 담담 → 있을 때 곁에 붙음","없을 때도 있을 때도 비슷")))))))</f>
        <v>조건 미확인</v>
      </c>
      <c r="BL18" s="37" t="str">
        <f>IF(OR(COUNT('1_바디시그널'!V$5)=0,COUNT('1_바디시그널'!V$38)=0),"",'1_바디시그널'!V$5-'1_바디시그널'!V$38)</f>
        <v/>
      </c>
      <c r="BM18" s="37" t="str">
        <f>IF(OR(COUNT('1_바디시그널'!V$9)=0,COUNT('1_바디시그널'!V$38)=0),"",'1_바디시그널'!V$9-'1_바디시그널'!V$38)</f>
        <v/>
      </c>
      <c r="BN18" s="37" t="str">
        <f>IF(OR(COUNT('1_바디시그널'!V$11)=0,COUNT('1_바디시그널'!V$38)=0),"",'1_바디시그널'!V$11-'1_바디시그널'!V$38)</f>
        <v/>
      </c>
      <c r="BO18" s="37" t="str">
        <f>IF(OR(COUNT('1_바디시그널'!V$13)=0,COUNT('1_바디시그널'!V$38)=0),"",'1_바디시그널'!V$13-'1_바디시그널'!V$38)</f>
        <v/>
      </c>
      <c r="BP18" s="37" t="str">
        <f>IF(OR(COUNT('1_바디시그널'!V$39)=0,COUNT('1_바디시그널'!V$38)=0),"",'1_바디시그널'!V$39-'1_바디시그널'!V$38)</f>
        <v/>
      </c>
      <c r="BQ18" s="37" t="str">
        <f>IF(OR(COUNT('1_바디시그널'!V$43)=0,COUNT('1_바디시그널'!V$38)=0),"",'1_바디시그널'!V$43-'1_바디시그널'!V$38)</f>
        <v/>
      </c>
      <c r="BR18" s="37" t="str">
        <f>IF(OR(COUNT('1_바디시그널'!V$44)=0,COUNT('1_바디시그널'!V$38)=0),"",'1_바디시그널'!V$44-'1_바디시그널'!V$38)</f>
        <v/>
      </c>
      <c r="BS18" s="37" t="str">
        <f>IF(OR(COUNT('1_바디시그널'!V$45)=0,COUNT('1_바디시그널'!V$38)=0),"",'1_바디시그널'!V$45-'1_바디시그널'!V$38)</f>
        <v/>
      </c>
      <c r="BT18" s="37" t="str">
        <f>IF(OR(COUNT('1_바디시그널'!V$41)=0,COUNT('1_바디시그널'!V$40)=0),"",'1_바디시그널'!V$41-'1_바디시그널'!V$40)</f>
        <v/>
      </c>
      <c r="BU18" s="37" t="str">
        <f>IF(OR(COUNT('1_바디시그널'!V$42)=0,COUNT('1_바디시그널'!V$40)=0),"",'1_바디시그널'!V$42-'1_바디시그널'!V$40)</f>
        <v/>
      </c>
      <c r="BV18" s="37">
        <f>N('2_개행동'!V$5&lt;=-1)+N('2_개행동'!V$6&lt;=-1)+IF(AND(COUNT('2_개행동'!V$30)=1,COUNT('3_보호자행동'!V$14)=1,'3_보호자행동'!V$14&lt;=2),N('2_개행동'!V$30&lt;=-1),0)</f>
        <v>0</v>
      </c>
      <c r="BW18" s="37">
        <f>N('2_개행동'!V$5&gt;=1)+N('2_개행동'!V$6&gt;=1)+IF(AND(COUNT('2_개행동'!V$30)=1,COUNT('3_보호자행동'!V$14)=1,'3_보호자행동'!V$14&lt;=2),N('2_개행동'!V$30&gt;=1),0)</f>
        <v>0</v>
      </c>
      <c r="BX18" s="37">
        <f>COUNT('2_개행동'!V$5,'2_개행동'!V$6)+IF(AND(COUNT('2_개행동'!V$30)=1,COUNT('3_보호자행동'!V$14)=1,'3_보호자행동'!V$14&lt;=2),1,0)</f>
        <v>0</v>
      </c>
      <c r="BY18" s="37" t="str">
        <f t="shared" si="6"/>
        <v>자료 부족</v>
      </c>
      <c r="BZ18" s="37" t="str">
        <f>"문 "&amp;IF(COUNT('2_개행동'!V$5)=0,"미확인",SUBSTITUTE(TEXT('2_개행동'!V$5,"+0;-0;0"),"-","−"))&amp;" · 바닥 "&amp;IF(COUNT('2_개행동'!V$6)=0,"미확인",SUBSTITUTE(TEXT('2_개행동'!V$6,"+0;-0;0"),"-","−"))&amp;" · 물건 "&amp;IF(AND(COUNT('2_개행동'!V$30)=1,COUNT('3_보호자행동'!V$14)=1,'3_보호자행동'!V$14&lt;=2),IF(COUNT('2_개행동'!V$30)=0,"미확인",SUBSTITUTE(TEXT('2_개행동'!V$30,"+0;-0;0"),"-","−")),"보류")&amp;"  /  꼬리 기준대비 입장 "&amp;IF(COUNT($BL18)=0,"미확인",SUBSTITUTE(TEXT($BL18,"+0;-0;0"),"-","−"))&amp;" · 바닥 "&amp;IF(COUNT($AP18)=0,"미확인",SUBSTITUTE(TEXT($AP18,"+0;-0;0"),"-","−"))&amp;" · 물건 "&amp;IF(COUNT($BR18)=0,"미확인",SUBSTITUTE(TEXT($BR18,"+0;-0;0"),"-","−"))&amp;"  /  긴장 신호 "&amp;IF(COUNT('1_바디시그널'!V$14,'1_바디시그널'!V$15,'1_바디시그널'!V$16)=0,"미확인",TEXT(SUM('1_바디시그널'!V$14,'1_바디시그널'!V$15,'1_바디시그널'!V$16),"0")&amp;"회")&amp;"  /  냄새 "&amp;IF(COUNT('2_개행동'!V$7)=0,"미확인",IF('2_개행동'!V$7=0,"씀","안 씀"))</f>
        <v>문 미확인 · 바닥 미확인 · 물건 보류  /  꼬리 기준대비 입장 미확인 · 바닥 미확인 · 물건 미확인  /  긴장 신호 미확인  /  냄새 미확인</v>
      </c>
      <c r="CA18" s="37" t="str">
        <f>IF(AND('6_행사전문가의견'!E232="완료",OR('6_행사전문가의견'!B234="주저함 · 거리를 벌림",'6_행사전문가의견'!B234="뚜렷한 치우침 없음",'6_행사전문가의견'!B234="살피지 않고 들이닥침",'6_행사전문가의견'!B234="자극에 따라 다름",'6_행사전문가의견'!B234="판단보류"),LEN(TRIM('6_행사전문가의견'!B235&amp;""))&gt;0),'6_행사전문가의견'!B234,"")</f>
        <v/>
      </c>
      <c r="CB18" s="37" t="str">
        <f>IF(AND('6_행사전문가의견'!E232="완료",OR('6_행사전문가의견'!B234="주저함 · 거리를 벌림",'6_행사전문가의견'!B234="뚜렷한 치우침 없음",'6_행사전문가의견'!B234="살피지 않고 들이닥침",'6_행사전문가의견'!B234="자극에 따라 다름",'6_행사전문가의견'!B234="판단보류"),LEN(TRIM('6_행사전문가의견'!B235&amp;""))&gt;0),'6_행사전문가의견'!B235,"")</f>
        <v/>
      </c>
      <c r="CC18" s="37" t="str">
        <f t="shared" si="7"/>
        <v>자료 부족</v>
      </c>
      <c r="CD18" s="38" t="str">
        <f>IF('6_행사전문가의견'!E232&lt;&gt;"완료","",IF(LEN(TRIM('6_행사전문가의견'!D225&amp;""))=0,"",'6_행사전문가의견'!D225))</f>
        <v/>
      </c>
      <c r="CE18" s="38" t="str">
        <f>IF('6_행사전문가의견'!E232&lt;&gt;"완료","",IF(LEN(TRIM('6_행사전문가의견'!D226&amp;""))=0,"",'6_행사전문가의견'!D226))</f>
        <v/>
      </c>
      <c r="CF18" s="38" t="str">
        <f>IF('6_행사전문가의견'!E232&lt;&gt;"완료","",IF(LEN(TRIM('6_행사전문가의견'!D227&amp;""))=0,"",'6_행사전문가의견'!D227))</f>
        <v/>
      </c>
      <c r="CG18" s="38" t="str">
        <f>IF('6_행사전문가의견'!E232&lt;&gt;"완료","",IF(LEN(TRIM('6_행사전문가의견'!D229&amp;""))=0,"",'6_행사전문가의견'!D229))</f>
        <v/>
      </c>
      <c r="CH18" s="38" t="str">
        <f>IF('6_행사전문가의견'!E232&lt;&gt;"완료","",IF(LEN(TRIM('6_행사전문가의견'!D231&amp;""))=0,"",'6_행사전문가의견'!D231))</f>
        <v/>
      </c>
      <c r="CI18" s="38" t="str">
        <f>IF('6_행사전문가의견'!E232&lt;&gt;"완료","",IF(LEN(TRIM('6_행사전문가의견'!C223&amp;""))=0,"",'6_행사전문가의견'!C223))</f>
        <v/>
      </c>
      <c r="CJ18" s="38" t="str">
        <f>'6_행사전문가의견'!E232</f>
        <v>미작성</v>
      </c>
      <c r="CK18" s="37" t="str">
        <f>'2_개행동'!V60</f>
        <v>미채점</v>
      </c>
      <c r="CL18" s="40" t="str">
        <f>IF(LEN(TRIM(CD18&amp;""))&gt;0,CD18,"분리 초기: "&amp;IF(COUNT('2_개행동'!V$9)=0,"자료 부족",INDEX('2_개행동'!$C$9:$G$9,1,'2_개행동'!V$9+3))&amp;" / 분리 이후: "&amp;IF(COUNT('2_개행동'!V$10)=0,"자료 부족",INDEX('2_개행동'!$C$10:$G$10,1,'2_개행동'!V$10+3))&amp;" / 변화: "&amp;CK18&amp;" / 분리·재회·무시 보조: "&amp;BK18&amp;" / 재회·무시 패턴: "&amp;AU18&amp;IF(M18="미판정",""," / 기본 유형: "&amp;M18&amp;IF(LEN(TRIM(BG18&amp;""))&gt;0," / 근거: "&amp;BG18,"")))</f>
        <v>분리 초기: 자료 부족 / 분리 이후: 자료 부족 / 변화: 미채점 / 분리·재회·무시 보조: 조건 미확인 / 재회·무시 패턴: 조건 미확인</v>
      </c>
      <c r="CM18" s="40" t="str">
        <f>IF(LEN(TRIM(CE18&amp;""))&gt;0,CE18,IF(LEN(TRIM(AQ18&amp;""))=0,"",AQ18&amp;IF(LEN(TRIM(AR18&amp;""))&gt;0,". "&amp;AR18,IF(COUNT('3_보호자행동'!P63)=0," (자동 초안 · 근거 비율 미산출)"," (자동 초안 · 허용 "&amp;TEXT('3_보호자행동'!P63,"0.00")&amp;" / 조율 "&amp;TEXT('3_보호자행동'!Q63,"0.00")&amp;" / 통제 "&amp;TEXT('3_보호자행동'!R63,"0.00")&amp;")"))))</f>
        <v>판정보류 (자동 초안 · 근거 비율 미산출)</v>
      </c>
      <c r="CN18" s="40" t="str">
        <f t="shared" si="8"/>
        <v>자료 부족</v>
      </c>
      <c r="CO18" s="40" t="str">
        <f t="shared" si="9"/>
        <v>조건 미확인</v>
      </c>
      <c r="CP18" s="40" t="str">
        <f t="shared" si="10"/>
        <v/>
      </c>
      <c r="CQ18" s="40" t="str">
        <f>IF('6_행사전문가의견'!E232&lt;&gt;"완료","",IF(LEN(TRIM('6_행사전문가의견'!D228&amp;""))=0,"",'6_행사전문가의견'!D228))</f>
        <v/>
      </c>
      <c r="CR18" s="40" t="str">
        <f>IF('6_행사전문가의견'!E232&lt;&gt;"완료","",IF(LEN(TRIM('6_행사전문가의견'!D230&amp;""))=0,"",'6_행사전문가의견'!D230))</f>
        <v/>
      </c>
      <c r="CS18" s="40" t="str">
        <f t="shared" si="11"/>
        <v/>
      </c>
      <c r="CT18" s="40" t="str">
        <f t="shared" si="12"/>
        <v/>
      </c>
      <c r="CU18" s="37" t="str">
        <f>IF(LEN(TRIM('3_보호자행동'!U63&amp;""))=0,"",'3_보호자행동'!U63)</f>
        <v>자동 초안</v>
      </c>
    </row>
    <row r="19" spans="1:99" ht="81.95" customHeight="1" x14ac:dyDescent="0.3">
      <c r="A19" s="16">
        <v>14</v>
      </c>
      <c r="B19" s="16"/>
      <c r="C19" s="16"/>
      <c r="D19" s="50" t="str">
        <f>IF(COUNT('3_보호자행동'!W5)=0,"",'3_보호자행동'!W5)</f>
        <v/>
      </c>
      <c r="E19" s="16" t="str">
        <f>IF(COUNT('3_보호자행동'!W6)=0,"",'3_보호자행동'!W6)</f>
        <v/>
      </c>
      <c r="F19" s="16" t="str">
        <f>IF(COUNT('3_보호자행동'!W9)=0,"",'3_보호자행동'!W9)</f>
        <v/>
      </c>
      <c r="G19" s="50" t="str">
        <f>IF(AND(OR('3_보호자행동'!W14=1,'3_보호자행동'!W14=2),BC19&gt;=2),BA19/BC19,"")</f>
        <v/>
      </c>
      <c r="H19" s="16" t="str">
        <f>IF(AND(OR('3_보호자행동'!W14=1,'3_보호자행동'!W14=2),BC19&gt;=2),BB19/BC19,"")</f>
        <v/>
      </c>
      <c r="I19" s="17">
        <f t="shared" si="0"/>
        <v>0</v>
      </c>
      <c r="J19" s="16" t="str">
        <f t="shared" si="1"/>
        <v>자료 부족</v>
      </c>
      <c r="K19" s="16" t="str">
        <f t="shared" si="2"/>
        <v/>
      </c>
      <c r="L19" s="16" t="str">
        <f t="shared" si="3"/>
        <v/>
      </c>
      <c r="M19" s="16" t="str">
        <f>IF(LEN(TRIM('2_개행동'!B83&amp;""))=0,"미판정",IF(OR('2_개행동'!B83="곁에서 안심하는 사이",'2_개행동'!B83="가까이 있어도 안심이 어려운 사이",'2_개행동'!B83="거리를 두고 지내는 사이",'2_개행동'!B83="다가감과 물러섬이 함께 나오는 사이",'2_개행동'!B83="판정보류"),'2_개행동'!B83,"유형 입력 확인"))</f>
        <v>미판정</v>
      </c>
      <c r="N19" s="16" t="str">
        <f>IF(COUNT('2_개행동'!W18)=0,"",'2_개행동'!W18)</f>
        <v/>
      </c>
      <c r="O19" s="16" t="str">
        <f>IF(COUNT('2_개행동'!W47)=0,"",'2_개행동'!W47)</f>
        <v/>
      </c>
      <c r="P19" s="50" t="str">
        <f>IF(OR('3_보호자행동'!W13=1,'3_보호자행동'!W13=2),IF(COUNT('2_개행동'!W24)=0,"",'2_개행동'!W24),"")</f>
        <v/>
      </c>
      <c r="Q19" s="16" t="str">
        <f>IF(OR('3_보호자행동'!W13=1,'3_보호자행동'!W13=2),IF(COUNT('2_개행동'!W25)=0,"",'2_개행동'!W25),"")</f>
        <v/>
      </c>
      <c r="R19" s="51" t="str">
        <f t="shared" si="4"/>
        <v/>
      </c>
      <c r="S19" s="50" t="str">
        <f>IF(COUNT('2_개행동'!W28)=0,"",'2_개행동'!W28)</f>
        <v/>
      </c>
      <c r="T19" s="16" t="str">
        <f>IF(COUNT('2_개행동'!W34)=0,"",'2_개행동'!W34)</f>
        <v/>
      </c>
      <c r="U19" s="16" t="str">
        <f>IF(COUNT('2_개행동'!W50)=0,"",'2_개행동'!W50)</f>
        <v/>
      </c>
      <c r="V19" s="52" t="str">
        <f>IF(AND(COUNT('2_개행동'!W8,'2_개행동'!W23)=2,OR('3_보호자행동'!W12=1,'3_보호자행동'!W12=2)),ABS('2_개행동'!W8)-ABS('2_개행동'!W23),"")</f>
        <v/>
      </c>
      <c r="W19" s="52" t="str">
        <f>IF(COUNT('2_개행동'!W58,'2_개행동'!W18)&lt;2,"",ABS('2_개행동'!W58)-ABS('2_개행동'!W18))</f>
        <v/>
      </c>
      <c r="X19" s="52"/>
      <c r="Y19" s="16" t="str">
        <f>IF(COUNT('2_개행동'!W8)=0,"",'2_개행동'!W8)</f>
        <v/>
      </c>
      <c r="Z19" s="51" t="str">
        <f>IF(COUNT('2_개행동'!W27)=0,"",'2_개행동'!W27)</f>
        <v/>
      </c>
      <c r="AA19" s="18"/>
      <c r="AB19" s="16" t="str">
        <f>IF(COUNT('2_개행동'!W9)=0,"",'2_개행동'!W9)</f>
        <v/>
      </c>
      <c r="AC19" s="16" t="str">
        <f>IF(COUNT('2_개행동'!W10)=0,"",'2_개행동'!W10)</f>
        <v/>
      </c>
      <c r="AD19" s="16" t="str">
        <f>IF(COUNT('2_개행동'!W18)=0,"",'2_개행동'!W18)</f>
        <v/>
      </c>
      <c r="AE19" s="16" t="str">
        <f>IF(AND(COUNT('2_개행동'!W17,'2_개행동'!W19,'2_개행동'!W22)=3,OR('3_보호자행동'!W12=1,'3_보호자행동'!W12=2)),IF(COUNT('2_개행동'!W17)=0,0,MAX(0,-'2_개행동'!W17))+IF(COUNT('2_개행동'!W19)=0,0,MAX(0,-'2_개행동'!W19))+IF(COUNT('2_개행동'!W22)=0,0,MAX(0,-'2_개행동'!W22)),"")</f>
        <v/>
      </c>
      <c r="AF19" s="16" t="str">
        <f>IF(AND(COUNT('2_개행동'!W17,'2_개행동'!W19,'2_개행동'!W22)=3,OR('3_보호자행동'!W12=1,'3_보호자행동'!W12=2)),IF(COUNT('2_개행동'!W17)=0,0,MAX(0,'2_개행동'!W17))+IF(COUNT('2_개행동'!W19)=0,0,MAX(0,'2_개행동'!W19))+IF(COUNT('2_개행동'!W22)=0,0,MAX(0,'2_개행동'!W22)),"")</f>
        <v/>
      </c>
      <c r="AG19" s="40" t="str">
        <f>IF(COUNT('3_보호자행동'!W14)=0,"조건 미확인",IF('3_보호자행동'!W14=3,"조건 이탈",IF(BC19&lt;2,"자료 부족",IF(AND(BA19&gt;0,BB19&gt;0),"양방향 관찰",IF(BA19&gt;0,"−방향 관찰",IF(BB19&gt;0,"+방향 관찰","중앙범주만 관찰"))))))</f>
        <v>조건 미확인</v>
      </c>
      <c r="AH19" s="40" t="str">
        <f>IF(COUNT('3_보호자행동'!W13)=0,"조건 미확인",IF('3_보호자행동'!W13=3,"조건 이탈",IF(COUNT('2_개행동'!W24)=0,"자료 부족",CHOOSE('2_개행동'!W24+3,"−2","−1","0","+1","+2"))))</f>
        <v>조건 미확인</v>
      </c>
      <c r="AI19" s="40" t="str">
        <f>IF(COUNT('2_개행동'!W28)=0,"자료 부족",CHOOSE('2_개행동'!W28+3,"−2","−1","0","+1","+2"))</f>
        <v>자료 부족</v>
      </c>
      <c r="AJ19" s="40" t="str">
        <f>IF(COUNT('2_개행동'!W8,'2_개행동'!W14,'2_개행동'!W18,'2_개행동'!W23,'2_개행동'!W44,'2_개행동'!W52,'2_개행동'!W58)=0,"",IF(COUNT('2_개행동'!W8)=0,0,IF('2_개행동'!W8&lt;0,1,0))+IF(COUNT('2_개행동'!W14)=0,0,IF('2_개행동'!W14&lt;0,1,0))+IF(COUNT('2_개행동'!W18)=0,0,IF('2_개행동'!W18&lt;0,1,0))+IF(COUNT('2_개행동'!W23)=0,0,IF('2_개행동'!W23&lt;0,1,0))+IF(COUNT('2_개행동'!W44)=0,0,IF('2_개행동'!W44&lt;0,1,0))+IF(COUNT('2_개행동'!W52)=0,0,IF('2_개행동'!W52&lt;0,1,0))+IF(COUNT('2_개행동'!W58)=0,0,IF('2_개행동'!W58&lt;0,1,0)))</f>
        <v/>
      </c>
      <c r="AK19" s="40" t="str">
        <f>IF(COUNT('2_개행동'!W8,'2_개행동'!W14,'2_개행동'!W18,'2_개행동'!W23,'2_개행동'!W44,'2_개행동'!W52,'2_개행동'!W58)=0,"",IF(COUNT('2_개행동'!W8)=0,0,IF('2_개행동'!W8&gt;0,1,0))+IF(COUNT('2_개행동'!W14)=0,0,IF('2_개행동'!W14&gt;0,1,0))+IF(COUNT('2_개행동'!W18)=0,0,IF('2_개행동'!W18&gt;0,1,0))+IF(COUNT('2_개행동'!W23)=0,0,IF('2_개행동'!W23&gt;0,1,0))+IF(COUNT('2_개행동'!W44)=0,0,IF('2_개행동'!W44&gt;0,1,0))+IF(COUNT('2_개행동'!W52)=0,0,IF('2_개행동'!W52&gt;0,1,0))+IF(COUNT('2_개행동'!W58)=0,0,IF('2_개행동'!W58&gt;0,1,0)))</f>
        <v/>
      </c>
      <c r="AL19" s="40" t="str">
        <f>IF(COUNT('2_개행동'!W8,'2_개행동'!W14,'2_개행동'!W18,'2_개행동'!W23,'2_개행동'!W44,'2_개행동'!W52,'2_개행동'!W58)&lt;1,"자료 부족",IF(AND(AJ19&gt;0,AK19&gt;0),"양방향 관찰",IF(AJ19&gt;0,"−방향 관찰",IF(AK19&gt;0,"+방향 관찰","중앙범주만 관찰"))))</f>
        <v>자료 부족</v>
      </c>
      <c r="AM19" s="40" t="str">
        <f>IF(AND(COUNT('2_개행동'!W30,'2_개행동'!W34)=2,OR('3_보호자행동'!W14=1,'3_보호자행동'!W14=2)),IF('2_개행동'!W30='2_개행동'!W34,"같은 범주","범주 변화"),"비교 보류")</f>
        <v>비교 보류</v>
      </c>
      <c r="AN19" s="40" t="str">
        <f>IF(COUNT('2_개행동'!W5)=0,"자료 부족",CHOOSE('2_개행동'!W5+3,"−2","−1","0","+1","+2"))</f>
        <v>자료 부족</v>
      </c>
      <c r="AO19" s="40" t="str">
        <f>IF(COUNT('3_보호자행동'!W13)=0,"조건 미확인",IF('3_보호자행동'!W13=3,"조건 이탈",IF(COUNT('2_개행동'!W25)=0,"자료 부족",CHOOSE('2_개행동'!W25+3,"−2","−1","0","+1","+2"))))</f>
        <v>조건 미확인</v>
      </c>
      <c r="AP19" s="40" t="str">
        <f>IF(COUNT('1_바디시그널'!W7,'1_바디시그널'!W38)&lt;2,"",'1_바디시그널'!W7-'1_바디시그널'!W38)</f>
        <v/>
      </c>
      <c r="AQ19" s="38" t="str">
        <f>IF(LEN(TRIM('3_보호자행동'!T64&amp;""))=0,"",'3_보호자행동'!T64)</f>
        <v>판정보류</v>
      </c>
      <c r="AR19" s="38" t="str">
        <f>IF('3_보호자행동'!U64&lt;&gt;"채점자 선택","",IF(LEN(TRIM('3_보호자행동'!C64&amp;""))=0,"",'3_보호자행동'!C64))</f>
        <v/>
      </c>
      <c r="AS19" s="38" t="str">
        <f>'3_보호자행동'!I64</f>
        <v>자동 · 판정보류</v>
      </c>
      <c r="AT19" s="38" t="str">
        <f>IF('3_보호자행동'!U64="채점자 선택",'3_보호자행동'!G64,"")</f>
        <v/>
      </c>
      <c r="AU19" s="40" t="str">
        <f>IF(COUNT('3_보호자행동'!W12)=0,"조건 미확인",IF('3_보호자행동'!W12=3,"조건 이탈",IF(COUNT(AE19,AF19,'2_개행동'!W18)&lt;3,"자료 부족",IF(AND(AE19&gt;=2,AF19&gt;=2),"접촉·거리 반응 혼재",IF(ABS('2_개행동'!W18)=2,"재회 몸 상태 지속",IF(AF19&gt;=3,"거리 유지 관찰",IF(AE19&gt;=4,"접촉 유지 관찰","기준상 뚜렷한 치우침 없음")))))))</f>
        <v>조건 미확인</v>
      </c>
      <c r="AV19" s="40" t="str">
        <f>"발성량: 혼자 "&amp;IF(COUNT('2_개행동'!W11)=0,"미확인",TEXT('2_개행동'!W11,"0"))&amp;" / 재회 "&amp;IF(COUNT('2_개행동'!W47)=0,"미확인",TEXT('2_개행동'!W47,"0"))&amp;" / 무시 "&amp;IF(COUNT('2_개행동'!W48)=0,"미확인",TEXT('2_개행동'!W48,"0"))&amp;" · 접근 변화 사건 "&amp;IF(COUNT('2_개행동'!W21)=0,"미확인",TEXT('2_개행동'!W21,"0"))</f>
        <v>발성량: 혼자 미확인 / 재회 미확인 / 무시 미확인 · 접근 변화 사건 미확인</v>
      </c>
      <c r="AW19" s="40" t="str">
        <f>IF(AND(OR('3_보호자행동'!W14=1,'3_보호자행동'!W14=2),BC19&gt;=2),(IF(COUNT('2_개행동'!W5)=0,0,100-50*ABS('2_개행동'!W5))+IF(COUNT('2_개행동'!W6)=0,0,100-50*ABS('2_개행동'!W6))+IF(COUNT('2_개행동'!W30)=0,0,100-50*ABS('2_개행동'!W30)))/BC19,"")</f>
        <v/>
      </c>
      <c r="AX19" s="40" t="str">
        <f>IF(BF19&gt;=4,(IF(COUNT('2_개행동'!W13)=0,0,100-50*ABS('2_개행동'!W13))+IF(COUNT('2_개행동'!W14)=0,0,100-50*ABS('2_개행동'!W14))+IF(COUNT('2_개행동'!W15)=0,0,100-50*ABS('2_개행동'!W15))+IF(COUNT('2_개행동'!W51)=0,0,100-50*ABS('2_개행동'!W51))+IF(COUNT('2_개행동'!W52)=0,0,100-50*ABS('2_개행동'!W52))+IF(COUNT('2_개행동'!W54)=0,0,100-50*ABS('2_개행동'!W54))+IF(COUNT('2_개행동'!W55)=0,0,100-50*ABS('2_개행동'!W55)))/BF19,"")</f>
        <v/>
      </c>
      <c r="AY19" s="40" t="str">
        <f t="shared" si="5"/>
        <v/>
      </c>
      <c r="AZ19" s="40" t="str">
        <f>IF(COUNT('2_개행동'!W48)=0,"",'2_개행동'!W48)</f>
        <v/>
      </c>
      <c r="BA19" s="40" t="str">
        <f>IF(COUNT('2_개행동'!W5,'2_개행동'!W6,'2_개행동'!W30)=0,"",IF(COUNT('2_개행동'!W5)=0,0,MAX(0,-'2_개행동'!W5))+IF(COUNT('2_개행동'!W6)=0,0,MAX(0,-'2_개행동'!W6))+IF(COUNT('2_개행동'!W30)=0,0,MAX(0,-'2_개행동'!W30)))</f>
        <v/>
      </c>
      <c r="BB19" s="40" t="str">
        <f>IF(COUNT('2_개행동'!W5,'2_개행동'!W6,'2_개행동'!W30)=0,"",IF(COUNT('2_개행동'!W5)=0,0,MAX(0,'2_개행동'!W5))+IF(COUNT('2_개행동'!W6)=0,0,MAX(0,'2_개행동'!W6))+IF(COUNT('2_개행동'!W30)=0,0,MAX(0,'2_개행동'!W30)))</f>
        <v/>
      </c>
      <c r="BC19" s="40">
        <f>COUNT('2_개행동'!W5,'2_개행동'!W6,'2_개행동'!W30)</f>
        <v>0</v>
      </c>
      <c r="BD19" s="40" t="str">
        <f>IF(COUNT('2_개행동'!W13,'2_개행동'!W14,'2_개행동'!W15,'2_개행동'!W51,'2_개행동'!W52,'2_개행동'!W54,'2_개행동'!W55)=0,"",IF(COUNT('2_개행동'!W13)=0,0,MAX(0,-'2_개행동'!W13))+IF(COUNT('2_개행동'!W14)=0,0,MAX(0,-'2_개행동'!W14))+IF(COUNT('2_개행동'!W15)=0,0,MAX(0,-'2_개행동'!W15))+IF(COUNT('2_개행동'!W51)=0,0,MAX(0,-'2_개행동'!W51))+IF(COUNT('2_개행동'!W52)=0,0,MAX(0,-'2_개행동'!W52))+IF(COUNT('2_개행동'!W54)=0,0,MAX(0,-'2_개행동'!W54))+IF(COUNT('2_개행동'!W55)=0,0,MAX(0,-'2_개행동'!W55)))</f>
        <v/>
      </c>
      <c r="BE19" s="40" t="str">
        <f>IF(COUNT('2_개행동'!W13,'2_개행동'!W14,'2_개행동'!W15,'2_개행동'!W51,'2_개행동'!W52,'2_개행동'!W54,'2_개행동'!W55)=0,"",IF(COUNT('2_개행동'!W13)=0,0,MAX(0,'2_개행동'!W13))+IF(COUNT('2_개행동'!W14)=0,0,MAX(0,'2_개행동'!W14))+IF(COUNT('2_개행동'!W15)=0,0,MAX(0,'2_개행동'!W15))+IF(COUNT('2_개행동'!W51)=0,0,MAX(0,'2_개행동'!W51))+IF(COUNT('2_개행동'!W52)=0,0,MAX(0,'2_개행동'!W52))+IF(COUNT('2_개행동'!W54)=0,0,MAX(0,'2_개행동'!W54))+IF(COUNT('2_개행동'!W55)=0,0,MAX(0,'2_개행동'!W55)))</f>
        <v/>
      </c>
      <c r="BF19" s="40">
        <f>COUNT('2_개행동'!W13,'2_개행동'!W14,'2_개행동'!W15,'2_개행동'!W51,'2_개행동'!W52,'2_개행동'!W54,'2_개행동'!W55)</f>
        <v>0</v>
      </c>
      <c r="BG19" s="38" t="str">
        <f>IF(LEN(TRIM('2_개행동'!C83&amp;""))=0,"",'2_개행동'!C83)</f>
        <v/>
      </c>
      <c r="BH19" s="38" t="str">
        <f>IF(LEN(TRIM('2_개행동'!G83&amp;""))=0,"",'2_개행동'!G83)</f>
        <v/>
      </c>
      <c r="BI19" s="38" t="str">
        <f>'2_개행동'!I83</f>
        <v>미판정</v>
      </c>
      <c r="BJ19" s="38" t="str">
        <f>IF(M19="미판정","애착유형 미판정",IF(M19="유형 입력 확인","유형 입력을 확인해 주세요.",IF(LEN(TRIM(BG19&amp;""))=0,IF(M19="판정보류","판정보류 사유를 입력해 주세요.","관찰 근거 미기록: 유형 설명 보류"),IF(M19="곁에서 안심하는 사이",성향문장!C49,IF(M19="가까이 있어도 안심이 어려운 사이",성향문장!C50,IF(M19="거리를 두고 지내는 사이",성향문장!C51,IF(M19="다가감과 물러섬이 함께 나오는 사이",성향문장!C52,성향문장!C53)))))))</f>
        <v>애착유형 미판정</v>
      </c>
      <c r="BK19" s="37" t="str">
        <f>IF(COUNT('3_보호자행동'!W12)=0,"조건 미확인",IF('3_보호자행동'!W12=3,"조건 이탈",IF(COUNT('2_개행동'!W9,'2_개행동'!W17,'2_개행동'!W18,'2_개행동'!W19,'2_개행동'!W22)&lt;5,"자료 부족",IF(N('2_개행동'!W21)&gt;=2,"접근이 여러 번 바뀜 — 한 서술로 묶지 않음",IF(AND($AE19&gt;=2,$AF19&gt;=2),"섞여 있음",IF(-'2_개행동'!W9&gt;=1,IF(ABS('2_개행동'!W18)&lt;=1,IF($AF19&gt;=$AE19,"없을 때 흔들 → 있을 때 가라앉고 자기 일","없을 때 흔들 → 있을 때 가라앉고 곁에 붙음"),"없을 때 흔들 → 있을 때도 못 가라앉음"),IF($AE19&gt;=2,"없을 때 담담 → 있을 때 곁에 붙음","없을 때도 있을 때도 비슷")))))))</f>
        <v>조건 미확인</v>
      </c>
      <c r="BL19" s="37" t="str">
        <f>IF(OR(COUNT('1_바디시그널'!W$5)=0,COUNT('1_바디시그널'!W$38)=0),"",'1_바디시그널'!W$5-'1_바디시그널'!W$38)</f>
        <v/>
      </c>
      <c r="BM19" s="37" t="str">
        <f>IF(OR(COUNT('1_바디시그널'!W$9)=0,COUNT('1_바디시그널'!W$38)=0),"",'1_바디시그널'!W$9-'1_바디시그널'!W$38)</f>
        <v/>
      </c>
      <c r="BN19" s="37" t="str">
        <f>IF(OR(COUNT('1_바디시그널'!W$11)=0,COUNT('1_바디시그널'!W$38)=0),"",'1_바디시그널'!W$11-'1_바디시그널'!W$38)</f>
        <v/>
      </c>
      <c r="BO19" s="37" t="str">
        <f>IF(OR(COUNT('1_바디시그널'!W$13)=0,COUNT('1_바디시그널'!W$38)=0),"",'1_바디시그널'!W$13-'1_바디시그널'!W$38)</f>
        <v/>
      </c>
      <c r="BP19" s="37" t="str">
        <f>IF(OR(COUNT('1_바디시그널'!W$39)=0,COUNT('1_바디시그널'!W$38)=0),"",'1_바디시그널'!W$39-'1_바디시그널'!W$38)</f>
        <v/>
      </c>
      <c r="BQ19" s="37" t="str">
        <f>IF(OR(COUNT('1_바디시그널'!W$43)=0,COUNT('1_바디시그널'!W$38)=0),"",'1_바디시그널'!W$43-'1_바디시그널'!W$38)</f>
        <v/>
      </c>
      <c r="BR19" s="37" t="str">
        <f>IF(OR(COUNT('1_바디시그널'!W$44)=0,COUNT('1_바디시그널'!W$38)=0),"",'1_바디시그널'!W$44-'1_바디시그널'!W$38)</f>
        <v/>
      </c>
      <c r="BS19" s="37" t="str">
        <f>IF(OR(COUNT('1_바디시그널'!W$45)=0,COUNT('1_바디시그널'!W$38)=0),"",'1_바디시그널'!W$45-'1_바디시그널'!W$38)</f>
        <v/>
      </c>
      <c r="BT19" s="37" t="str">
        <f>IF(OR(COUNT('1_바디시그널'!W$41)=0,COUNT('1_바디시그널'!W$40)=0),"",'1_바디시그널'!W$41-'1_바디시그널'!W$40)</f>
        <v/>
      </c>
      <c r="BU19" s="37" t="str">
        <f>IF(OR(COUNT('1_바디시그널'!W$42)=0,COUNT('1_바디시그널'!W$40)=0),"",'1_바디시그널'!W$42-'1_바디시그널'!W$40)</f>
        <v/>
      </c>
      <c r="BV19" s="37">
        <f>N('2_개행동'!W$5&lt;=-1)+N('2_개행동'!W$6&lt;=-1)+IF(AND(COUNT('2_개행동'!W$30)=1,COUNT('3_보호자행동'!W$14)=1,'3_보호자행동'!W$14&lt;=2),N('2_개행동'!W$30&lt;=-1),0)</f>
        <v>0</v>
      </c>
      <c r="BW19" s="37">
        <f>N('2_개행동'!W$5&gt;=1)+N('2_개행동'!W$6&gt;=1)+IF(AND(COUNT('2_개행동'!W$30)=1,COUNT('3_보호자행동'!W$14)=1,'3_보호자행동'!W$14&lt;=2),N('2_개행동'!W$30&gt;=1),0)</f>
        <v>0</v>
      </c>
      <c r="BX19" s="37">
        <f>COUNT('2_개행동'!W$5,'2_개행동'!W$6)+IF(AND(COUNT('2_개행동'!W$30)=1,COUNT('3_보호자행동'!W$14)=1,'3_보호자행동'!W$14&lt;=2),1,0)</f>
        <v>0</v>
      </c>
      <c r="BY19" s="37" t="str">
        <f t="shared" si="6"/>
        <v>자료 부족</v>
      </c>
      <c r="BZ19" s="37" t="str">
        <f>"문 "&amp;IF(COUNT('2_개행동'!W$5)=0,"미확인",SUBSTITUTE(TEXT('2_개행동'!W$5,"+0;-0;0"),"-","−"))&amp;" · 바닥 "&amp;IF(COUNT('2_개행동'!W$6)=0,"미확인",SUBSTITUTE(TEXT('2_개행동'!W$6,"+0;-0;0"),"-","−"))&amp;" · 물건 "&amp;IF(AND(COUNT('2_개행동'!W$30)=1,COUNT('3_보호자행동'!W$14)=1,'3_보호자행동'!W$14&lt;=2),IF(COUNT('2_개행동'!W$30)=0,"미확인",SUBSTITUTE(TEXT('2_개행동'!W$30,"+0;-0;0"),"-","−")),"보류")&amp;"  /  꼬리 기준대비 입장 "&amp;IF(COUNT($BL19)=0,"미확인",SUBSTITUTE(TEXT($BL19,"+0;-0;0"),"-","−"))&amp;" · 바닥 "&amp;IF(COUNT($AP19)=0,"미확인",SUBSTITUTE(TEXT($AP19,"+0;-0;0"),"-","−"))&amp;" · 물건 "&amp;IF(COUNT($BR19)=0,"미확인",SUBSTITUTE(TEXT($BR19,"+0;-0;0"),"-","−"))&amp;"  /  긴장 신호 "&amp;IF(COUNT('1_바디시그널'!W$14,'1_바디시그널'!W$15,'1_바디시그널'!W$16)=0,"미확인",TEXT(SUM('1_바디시그널'!W$14,'1_바디시그널'!W$15,'1_바디시그널'!W$16),"0")&amp;"회")&amp;"  /  냄새 "&amp;IF(COUNT('2_개행동'!W$7)=0,"미확인",IF('2_개행동'!W$7=0,"씀","안 씀"))</f>
        <v>문 미확인 · 바닥 미확인 · 물건 보류  /  꼬리 기준대비 입장 미확인 · 바닥 미확인 · 물건 미확인  /  긴장 신호 미확인  /  냄새 미확인</v>
      </c>
      <c r="CA19" s="37" t="str">
        <f>IF(AND('6_행사전문가의견'!E248="완료",OR('6_행사전문가의견'!B250="주저함 · 거리를 벌림",'6_행사전문가의견'!B250="뚜렷한 치우침 없음",'6_행사전문가의견'!B250="살피지 않고 들이닥침",'6_행사전문가의견'!B250="자극에 따라 다름",'6_행사전문가의견'!B250="판단보류"),LEN(TRIM('6_행사전문가의견'!B251&amp;""))&gt;0),'6_행사전문가의견'!B250,"")</f>
        <v/>
      </c>
      <c r="CB19" s="37" t="str">
        <f>IF(AND('6_행사전문가의견'!E248="완료",OR('6_행사전문가의견'!B250="주저함 · 거리를 벌림",'6_행사전문가의견'!B250="뚜렷한 치우침 없음",'6_행사전문가의견'!B250="살피지 않고 들이닥침",'6_행사전문가의견'!B250="자극에 따라 다름",'6_행사전문가의견'!B250="판단보류"),LEN(TRIM('6_행사전문가의견'!B251&amp;""))&gt;0),'6_행사전문가의견'!B251,"")</f>
        <v/>
      </c>
      <c r="CC19" s="37" t="str">
        <f t="shared" si="7"/>
        <v>자료 부족</v>
      </c>
      <c r="CD19" s="38" t="str">
        <f>IF('6_행사전문가의견'!E248&lt;&gt;"완료","",IF(LEN(TRIM('6_행사전문가의견'!D241&amp;""))=0,"",'6_행사전문가의견'!D241))</f>
        <v/>
      </c>
      <c r="CE19" s="38" t="str">
        <f>IF('6_행사전문가의견'!E248&lt;&gt;"완료","",IF(LEN(TRIM('6_행사전문가의견'!D242&amp;""))=0,"",'6_행사전문가의견'!D242))</f>
        <v/>
      </c>
      <c r="CF19" s="38" t="str">
        <f>IF('6_행사전문가의견'!E248&lt;&gt;"완료","",IF(LEN(TRIM('6_행사전문가의견'!D243&amp;""))=0,"",'6_행사전문가의견'!D243))</f>
        <v/>
      </c>
      <c r="CG19" s="38" t="str">
        <f>IF('6_행사전문가의견'!E248&lt;&gt;"완료","",IF(LEN(TRIM('6_행사전문가의견'!D245&amp;""))=0,"",'6_행사전문가의견'!D245))</f>
        <v/>
      </c>
      <c r="CH19" s="38" t="str">
        <f>IF('6_행사전문가의견'!E248&lt;&gt;"완료","",IF(LEN(TRIM('6_행사전문가의견'!D247&amp;""))=0,"",'6_행사전문가의견'!D247))</f>
        <v/>
      </c>
      <c r="CI19" s="38" t="str">
        <f>IF('6_행사전문가의견'!E248&lt;&gt;"완료","",IF(LEN(TRIM('6_행사전문가의견'!C239&amp;""))=0,"",'6_행사전문가의견'!C239))</f>
        <v/>
      </c>
      <c r="CJ19" s="38" t="str">
        <f>'6_행사전문가의견'!E248</f>
        <v>미작성</v>
      </c>
      <c r="CK19" s="37" t="str">
        <f>'2_개행동'!W60</f>
        <v>미채점</v>
      </c>
      <c r="CL19" s="40" t="str">
        <f>IF(LEN(TRIM(CD19&amp;""))&gt;0,CD19,"분리 초기: "&amp;IF(COUNT('2_개행동'!W$9)=0,"자료 부족",INDEX('2_개행동'!$C$9:$G$9,1,'2_개행동'!W$9+3))&amp;" / 분리 이후: "&amp;IF(COUNT('2_개행동'!W$10)=0,"자료 부족",INDEX('2_개행동'!$C$10:$G$10,1,'2_개행동'!W$10+3))&amp;" / 변화: "&amp;CK19&amp;" / 분리·재회·무시 보조: "&amp;BK19&amp;" / 재회·무시 패턴: "&amp;AU19&amp;IF(M19="미판정",""," / 기본 유형: "&amp;M19&amp;IF(LEN(TRIM(BG19&amp;""))&gt;0," / 근거: "&amp;BG19,"")))</f>
        <v>분리 초기: 자료 부족 / 분리 이후: 자료 부족 / 변화: 미채점 / 분리·재회·무시 보조: 조건 미확인 / 재회·무시 패턴: 조건 미확인</v>
      </c>
      <c r="CM19" s="40" t="str">
        <f>IF(LEN(TRIM(CE19&amp;""))&gt;0,CE19,IF(LEN(TRIM(AQ19&amp;""))=0,"",AQ19&amp;IF(LEN(TRIM(AR19&amp;""))&gt;0,". "&amp;AR19,IF(COUNT('3_보호자행동'!P64)=0," (자동 초안 · 근거 비율 미산출)"," (자동 초안 · 허용 "&amp;TEXT('3_보호자행동'!P64,"0.00")&amp;" / 조율 "&amp;TEXT('3_보호자행동'!Q64,"0.00")&amp;" / 통제 "&amp;TEXT('3_보호자행동'!R64,"0.00")&amp;")"))))</f>
        <v>판정보류 (자동 초안 · 근거 비율 미산출)</v>
      </c>
      <c r="CN19" s="40" t="str">
        <f t="shared" si="8"/>
        <v>자료 부족</v>
      </c>
      <c r="CO19" s="40" t="str">
        <f t="shared" si="9"/>
        <v>조건 미확인</v>
      </c>
      <c r="CP19" s="40" t="str">
        <f t="shared" si="10"/>
        <v/>
      </c>
      <c r="CQ19" s="40" t="str">
        <f>IF('6_행사전문가의견'!E248&lt;&gt;"완료","",IF(LEN(TRIM('6_행사전문가의견'!D244&amp;""))=0,"",'6_행사전문가의견'!D244))</f>
        <v/>
      </c>
      <c r="CR19" s="40" t="str">
        <f>IF('6_행사전문가의견'!E248&lt;&gt;"완료","",IF(LEN(TRIM('6_행사전문가의견'!D246&amp;""))=0,"",'6_행사전문가의견'!D246))</f>
        <v/>
      </c>
      <c r="CS19" s="40" t="str">
        <f t="shared" si="11"/>
        <v/>
      </c>
      <c r="CT19" s="40" t="str">
        <f t="shared" si="12"/>
        <v/>
      </c>
      <c r="CU19" s="37" t="str">
        <f>IF(LEN(TRIM('3_보호자행동'!U64&amp;""))=0,"",'3_보호자행동'!U64)</f>
        <v>자동 초안</v>
      </c>
    </row>
    <row r="20" spans="1:99" ht="81.95" customHeight="1" x14ac:dyDescent="0.3">
      <c r="A20" s="16">
        <v>15</v>
      </c>
      <c r="B20" s="16"/>
      <c r="C20" s="16"/>
      <c r="D20" s="50" t="str">
        <f>IF(COUNT('3_보호자행동'!X5)=0,"",'3_보호자행동'!X5)</f>
        <v/>
      </c>
      <c r="E20" s="16" t="str">
        <f>IF(COUNT('3_보호자행동'!X6)=0,"",'3_보호자행동'!X6)</f>
        <v/>
      </c>
      <c r="F20" s="16" t="str">
        <f>IF(COUNT('3_보호자행동'!X9)=0,"",'3_보호자행동'!X9)</f>
        <v/>
      </c>
      <c r="G20" s="50" t="str">
        <f>IF(AND(OR('3_보호자행동'!X14=1,'3_보호자행동'!X14=2),BC20&gt;=2),BA20/BC20,"")</f>
        <v/>
      </c>
      <c r="H20" s="16" t="str">
        <f>IF(AND(OR('3_보호자행동'!X14=1,'3_보호자행동'!X14=2),BC20&gt;=2),BB20/BC20,"")</f>
        <v/>
      </c>
      <c r="I20" s="17">
        <f t="shared" si="0"/>
        <v>0</v>
      </c>
      <c r="J20" s="16" t="str">
        <f t="shared" si="1"/>
        <v>자료 부족</v>
      </c>
      <c r="K20" s="16" t="str">
        <f t="shared" si="2"/>
        <v/>
      </c>
      <c r="L20" s="16" t="str">
        <f t="shared" si="3"/>
        <v/>
      </c>
      <c r="M20" s="16" t="str">
        <f>IF(LEN(TRIM('2_개행동'!B84&amp;""))=0,"미판정",IF(OR('2_개행동'!B84="곁에서 안심하는 사이",'2_개행동'!B84="가까이 있어도 안심이 어려운 사이",'2_개행동'!B84="거리를 두고 지내는 사이",'2_개행동'!B84="다가감과 물러섬이 함께 나오는 사이",'2_개행동'!B84="판정보류"),'2_개행동'!B84,"유형 입력 확인"))</f>
        <v>미판정</v>
      </c>
      <c r="N20" s="16" t="str">
        <f>IF(COUNT('2_개행동'!X18)=0,"",'2_개행동'!X18)</f>
        <v/>
      </c>
      <c r="O20" s="16" t="str">
        <f>IF(COUNT('2_개행동'!X47)=0,"",'2_개행동'!X47)</f>
        <v/>
      </c>
      <c r="P20" s="50" t="str">
        <f>IF(OR('3_보호자행동'!X13=1,'3_보호자행동'!X13=2),IF(COUNT('2_개행동'!X24)=0,"",'2_개행동'!X24),"")</f>
        <v/>
      </c>
      <c r="Q20" s="16" t="str">
        <f>IF(OR('3_보호자행동'!X13=1,'3_보호자행동'!X13=2),IF(COUNT('2_개행동'!X25)=0,"",'2_개행동'!X25),"")</f>
        <v/>
      </c>
      <c r="R20" s="51" t="str">
        <f t="shared" si="4"/>
        <v/>
      </c>
      <c r="S20" s="50" t="str">
        <f>IF(COUNT('2_개행동'!X28)=0,"",'2_개행동'!X28)</f>
        <v/>
      </c>
      <c r="T20" s="16" t="str">
        <f>IF(COUNT('2_개행동'!X34)=0,"",'2_개행동'!X34)</f>
        <v/>
      </c>
      <c r="U20" s="16" t="str">
        <f>IF(COUNT('2_개행동'!X50)=0,"",'2_개행동'!X50)</f>
        <v/>
      </c>
      <c r="V20" s="52" t="str">
        <f>IF(AND(COUNT('2_개행동'!X8,'2_개행동'!X23)=2,OR('3_보호자행동'!X12=1,'3_보호자행동'!X12=2)),ABS('2_개행동'!X8)-ABS('2_개행동'!X23),"")</f>
        <v/>
      </c>
      <c r="W20" s="52" t="str">
        <f>IF(COUNT('2_개행동'!X58,'2_개행동'!X18)&lt;2,"",ABS('2_개행동'!X58)-ABS('2_개행동'!X18))</f>
        <v/>
      </c>
      <c r="X20" s="52"/>
      <c r="Y20" s="16" t="str">
        <f>IF(COUNT('2_개행동'!X8)=0,"",'2_개행동'!X8)</f>
        <v/>
      </c>
      <c r="Z20" s="51" t="str">
        <f>IF(COUNT('2_개행동'!X27)=0,"",'2_개행동'!X27)</f>
        <v/>
      </c>
      <c r="AA20" s="18"/>
      <c r="AB20" s="16" t="str">
        <f>IF(COUNT('2_개행동'!X9)=0,"",'2_개행동'!X9)</f>
        <v/>
      </c>
      <c r="AC20" s="16" t="str">
        <f>IF(COUNT('2_개행동'!X10)=0,"",'2_개행동'!X10)</f>
        <v/>
      </c>
      <c r="AD20" s="16" t="str">
        <f>IF(COUNT('2_개행동'!X18)=0,"",'2_개행동'!X18)</f>
        <v/>
      </c>
      <c r="AE20" s="16" t="str">
        <f>IF(AND(COUNT('2_개행동'!X17,'2_개행동'!X19,'2_개행동'!X22)=3,OR('3_보호자행동'!X12=1,'3_보호자행동'!X12=2)),IF(COUNT('2_개행동'!X17)=0,0,MAX(0,-'2_개행동'!X17))+IF(COUNT('2_개행동'!X19)=0,0,MAX(0,-'2_개행동'!X19))+IF(COUNT('2_개행동'!X22)=0,0,MAX(0,-'2_개행동'!X22)),"")</f>
        <v/>
      </c>
      <c r="AF20" s="16" t="str">
        <f>IF(AND(COUNT('2_개행동'!X17,'2_개행동'!X19,'2_개행동'!X22)=3,OR('3_보호자행동'!X12=1,'3_보호자행동'!X12=2)),IF(COUNT('2_개행동'!X17)=0,0,MAX(0,'2_개행동'!X17))+IF(COUNT('2_개행동'!X19)=0,0,MAX(0,'2_개행동'!X19))+IF(COUNT('2_개행동'!X22)=0,0,MAX(0,'2_개행동'!X22)),"")</f>
        <v/>
      </c>
      <c r="AG20" s="40" t="str">
        <f>IF(COUNT('3_보호자행동'!X14)=0,"조건 미확인",IF('3_보호자행동'!X14=3,"조건 이탈",IF(BC20&lt;2,"자료 부족",IF(AND(BA20&gt;0,BB20&gt;0),"양방향 관찰",IF(BA20&gt;0,"−방향 관찰",IF(BB20&gt;0,"+방향 관찰","중앙범주만 관찰"))))))</f>
        <v>조건 미확인</v>
      </c>
      <c r="AH20" s="40" t="str">
        <f>IF(COUNT('3_보호자행동'!X13)=0,"조건 미확인",IF('3_보호자행동'!X13=3,"조건 이탈",IF(COUNT('2_개행동'!X24)=0,"자료 부족",CHOOSE('2_개행동'!X24+3,"−2","−1","0","+1","+2"))))</f>
        <v>조건 미확인</v>
      </c>
      <c r="AI20" s="40" t="str">
        <f>IF(COUNT('2_개행동'!X28)=0,"자료 부족",CHOOSE('2_개행동'!X28+3,"−2","−1","0","+1","+2"))</f>
        <v>자료 부족</v>
      </c>
      <c r="AJ20" s="40" t="str">
        <f>IF(COUNT('2_개행동'!X8,'2_개행동'!X14,'2_개행동'!X18,'2_개행동'!X23,'2_개행동'!X44,'2_개행동'!X52,'2_개행동'!X58)=0,"",IF(COUNT('2_개행동'!X8)=0,0,IF('2_개행동'!X8&lt;0,1,0))+IF(COUNT('2_개행동'!X14)=0,0,IF('2_개행동'!X14&lt;0,1,0))+IF(COUNT('2_개행동'!X18)=0,0,IF('2_개행동'!X18&lt;0,1,0))+IF(COUNT('2_개행동'!X23)=0,0,IF('2_개행동'!X23&lt;0,1,0))+IF(COUNT('2_개행동'!X44)=0,0,IF('2_개행동'!X44&lt;0,1,0))+IF(COUNT('2_개행동'!X52)=0,0,IF('2_개행동'!X52&lt;0,1,0))+IF(COUNT('2_개행동'!X58)=0,0,IF('2_개행동'!X58&lt;0,1,0)))</f>
        <v/>
      </c>
      <c r="AK20" s="40" t="str">
        <f>IF(COUNT('2_개행동'!X8,'2_개행동'!X14,'2_개행동'!X18,'2_개행동'!X23,'2_개행동'!X44,'2_개행동'!X52,'2_개행동'!X58)=0,"",IF(COUNT('2_개행동'!X8)=0,0,IF('2_개행동'!X8&gt;0,1,0))+IF(COUNT('2_개행동'!X14)=0,0,IF('2_개행동'!X14&gt;0,1,0))+IF(COUNT('2_개행동'!X18)=0,0,IF('2_개행동'!X18&gt;0,1,0))+IF(COUNT('2_개행동'!X23)=0,0,IF('2_개행동'!X23&gt;0,1,0))+IF(COUNT('2_개행동'!X44)=0,0,IF('2_개행동'!X44&gt;0,1,0))+IF(COUNT('2_개행동'!X52)=0,0,IF('2_개행동'!X52&gt;0,1,0))+IF(COUNT('2_개행동'!X58)=0,0,IF('2_개행동'!X58&gt;0,1,0)))</f>
        <v/>
      </c>
      <c r="AL20" s="40" t="str">
        <f>IF(COUNT('2_개행동'!X8,'2_개행동'!X14,'2_개행동'!X18,'2_개행동'!X23,'2_개행동'!X44,'2_개행동'!X52,'2_개행동'!X58)&lt;1,"자료 부족",IF(AND(AJ20&gt;0,AK20&gt;0),"양방향 관찰",IF(AJ20&gt;0,"−방향 관찰",IF(AK20&gt;0,"+방향 관찰","중앙범주만 관찰"))))</f>
        <v>자료 부족</v>
      </c>
      <c r="AM20" s="40" t="str">
        <f>IF(AND(COUNT('2_개행동'!X30,'2_개행동'!X34)=2,OR('3_보호자행동'!X14=1,'3_보호자행동'!X14=2)),IF('2_개행동'!X30='2_개행동'!X34,"같은 범주","범주 변화"),"비교 보류")</f>
        <v>비교 보류</v>
      </c>
      <c r="AN20" s="40" t="str">
        <f>IF(COUNT('2_개행동'!X5)=0,"자료 부족",CHOOSE('2_개행동'!X5+3,"−2","−1","0","+1","+2"))</f>
        <v>자료 부족</v>
      </c>
      <c r="AO20" s="40" t="str">
        <f>IF(COUNT('3_보호자행동'!X13)=0,"조건 미확인",IF('3_보호자행동'!X13=3,"조건 이탈",IF(COUNT('2_개행동'!X25)=0,"자료 부족",CHOOSE('2_개행동'!X25+3,"−2","−1","0","+1","+2"))))</f>
        <v>조건 미확인</v>
      </c>
      <c r="AP20" s="40" t="str">
        <f>IF(COUNT('1_바디시그널'!X7,'1_바디시그널'!X38)&lt;2,"",'1_바디시그널'!X7-'1_바디시그널'!X38)</f>
        <v/>
      </c>
      <c r="AQ20" s="38" t="str">
        <f>IF(LEN(TRIM('3_보호자행동'!T65&amp;""))=0,"",'3_보호자행동'!T65)</f>
        <v>판정보류</v>
      </c>
      <c r="AR20" s="38" t="str">
        <f>IF('3_보호자행동'!U65&lt;&gt;"채점자 선택","",IF(LEN(TRIM('3_보호자행동'!C65&amp;""))=0,"",'3_보호자행동'!C65))</f>
        <v/>
      </c>
      <c r="AS20" s="38" t="str">
        <f>'3_보호자행동'!I65</f>
        <v>자동 · 판정보류</v>
      </c>
      <c r="AT20" s="38" t="str">
        <f>IF('3_보호자행동'!U65="채점자 선택",'3_보호자행동'!G65,"")</f>
        <v/>
      </c>
      <c r="AU20" s="40" t="str">
        <f>IF(COUNT('3_보호자행동'!X12)=0,"조건 미확인",IF('3_보호자행동'!X12=3,"조건 이탈",IF(COUNT(AE20,AF20,'2_개행동'!X18)&lt;3,"자료 부족",IF(AND(AE20&gt;=2,AF20&gt;=2),"접촉·거리 반응 혼재",IF(ABS('2_개행동'!X18)=2,"재회 몸 상태 지속",IF(AF20&gt;=3,"거리 유지 관찰",IF(AE20&gt;=4,"접촉 유지 관찰","기준상 뚜렷한 치우침 없음")))))))</f>
        <v>조건 미확인</v>
      </c>
      <c r="AV20" s="40" t="str">
        <f>"발성량: 혼자 "&amp;IF(COUNT('2_개행동'!X11)=0,"미확인",TEXT('2_개행동'!X11,"0"))&amp;" / 재회 "&amp;IF(COUNT('2_개행동'!X47)=0,"미확인",TEXT('2_개행동'!X47,"0"))&amp;" / 무시 "&amp;IF(COUNT('2_개행동'!X48)=0,"미확인",TEXT('2_개행동'!X48,"0"))&amp;" · 접근 변화 사건 "&amp;IF(COUNT('2_개행동'!X21)=0,"미확인",TEXT('2_개행동'!X21,"0"))</f>
        <v>발성량: 혼자 미확인 / 재회 미확인 / 무시 미확인 · 접근 변화 사건 미확인</v>
      </c>
      <c r="AW20" s="40" t="str">
        <f>IF(AND(OR('3_보호자행동'!X14=1,'3_보호자행동'!X14=2),BC20&gt;=2),(IF(COUNT('2_개행동'!X5)=0,0,100-50*ABS('2_개행동'!X5))+IF(COUNT('2_개행동'!X6)=0,0,100-50*ABS('2_개행동'!X6))+IF(COUNT('2_개행동'!X30)=0,0,100-50*ABS('2_개행동'!X30)))/BC20,"")</f>
        <v/>
      </c>
      <c r="AX20" s="40" t="str">
        <f>IF(BF20&gt;=4,(IF(COUNT('2_개행동'!X13)=0,0,100-50*ABS('2_개행동'!X13))+IF(COUNT('2_개행동'!X14)=0,0,100-50*ABS('2_개행동'!X14))+IF(COUNT('2_개행동'!X15)=0,0,100-50*ABS('2_개행동'!X15))+IF(COUNT('2_개행동'!X51)=0,0,100-50*ABS('2_개행동'!X51))+IF(COUNT('2_개행동'!X52)=0,0,100-50*ABS('2_개행동'!X52))+IF(COUNT('2_개행동'!X54)=0,0,100-50*ABS('2_개행동'!X54))+IF(COUNT('2_개행동'!X55)=0,0,100-50*ABS('2_개행동'!X55)))/BF20,"")</f>
        <v/>
      </c>
      <c r="AY20" s="40" t="str">
        <f t="shared" si="5"/>
        <v/>
      </c>
      <c r="AZ20" s="40" t="str">
        <f>IF(COUNT('2_개행동'!X48)=0,"",'2_개행동'!X48)</f>
        <v/>
      </c>
      <c r="BA20" s="40" t="str">
        <f>IF(COUNT('2_개행동'!X5,'2_개행동'!X6,'2_개행동'!X30)=0,"",IF(COUNT('2_개행동'!X5)=0,0,MAX(0,-'2_개행동'!X5))+IF(COUNT('2_개행동'!X6)=0,0,MAX(0,-'2_개행동'!X6))+IF(COUNT('2_개행동'!X30)=0,0,MAX(0,-'2_개행동'!X30)))</f>
        <v/>
      </c>
      <c r="BB20" s="40" t="str">
        <f>IF(COUNT('2_개행동'!X5,'2_개행동'!X6,'2_개행동'!X30)=0,"",IF(COUNT('2_개행동'!X5)=0,0,MAX(0,'2_개행동'!X5))+IF(COUNT('2_개행동'!X6)=0,0,MAX(0,'2_개행동'!X6))+IF(COUNT('2_개행동'!X30)=0,0,MAX(0,'2_개행동'!X30)))</f>
        <v/>
      </c>
      <c r="BC20" s="40">
        <f>COUNT('2_개행동'!X5,'2_개행동'!X6,'2_개행동'!X30)</f>
        <v>0</v>
      </c>
      <c r="BD20" s="40" t="str">
        <f>IF(COUNT('2_개행동'!X13,'2_개행동'!X14,'2_개행동'!X15,'2_개행동'!X51,'2_개행동'!X52,'2_개행동'!X54,'2_개행동'!X55)=0,"",IF(COUNT('2_개행동'!X13)=0,0,MAX(0,-'2_개행동'!X13))+IF(COUNT('2_개행동'!X14)=0,0,MAX(0,-'2_개행동'!X14))+IF(COUNT('2_개행동'!X15)=0,0,MAX(0,-'2_개행동'!X15))+IF(COUNT('2_개행동'!X51)=0,0,MAX(0,-'2_개행동'!X51))+IF(COUNT('2_개행동'!X52)=0,0,MAX(0,-'2_개행동'!X52))+IF(COUNT('2_개행동'!X54)=0,0,MAX(0,-'2_개행동'!X54))+IF(COUNT('2_개행동'!X55)=0,0,MAX(0,-'2_개행동'!X55)))</f>
        <v/>
      </c>
      <c r="BE20" s="40" t="str">
        <f>IF(COUNT('2_개행동'!X13,'2_개행동'!X14,'2_개행동'!X15,'2_개행동'!X51,'2_개행동'!X52,'2_개행동'!X54,'2_개행동'!X55)=0,"",IF(COUNT('2_개행동'!X13)=0,0,MAX(0,'2_개행동'!X13))+IF(COUNT('2_개행동'!X14)=0,0,MAX(0,'2_개행동'!X14))+IF(COUNT('2_개행동'!X15)=0,0,MAX(0,'2_개행동'!X15))+IF(COUNT('2_개행동'!X51)=0,0,MAX(0,'2_개행동'!X51))+IF(COUNT('2_개행동'!X52)=0,0,MAX(0,'2_개행동'!X52))+IF(COUNT('2_개행동'!X54)=0,0,MAX(0,'2_개행동'!X54))+IF(COUNT('2_개행동'!X55)=0,0,MAX(0,'2_개행동'!X55)))</f>
        <v/>
      </c>
      <c r="BF20" s="40">
        <f>COUNT('2_개행동'!X13,'2_개행동'!X14,'2_개행동'!X15,'2_개행동'!X51,'2_개행동'!X52,'2_개행동'!X54,'2_개행동'!X55)</f>
        <v>0</v>
      </c>
      <c r="BG20" s="38" t="str">
        <f>IF(LEN(TRIM('2_개행동'!C84&amp;""))=0,"",'2_개행동'!C84)</f>
        <v/>
      </c>
      <c r="BH20" s="38" t="str">
        <f>IF(LEN(TRIM('2_개행동'!G84&amp;""))=0,"",'2_개행동'!G84)</f>
        <v/>
      </c>
      <c r="BI20" s="38" t="str">
        <f>'2_개행동'!I84</f>
        <v>미판정</v>
      </c>
      <c r="BJ20" s="38" t="str">
        <f>IF(M20="미판정","애착유형 미판정",IF(M20="유형 입력 확인","유형 입력을 확인해 주세요.",IF(LEN(TRIM(BG20&amp;""))=0,IF(M20="판정보류","판정보류 사유를 입력해 주세요.","관찰 근거 미기록: 유형 설명 보류"),IF(M20="곁에서 안심하는 사이",성향문장!C49,IF(M20="가까이 있어도 안심이 어려운 사이",성향문장!C50,IF(M20="거리를 두고 지내는 사이",성향문장!C51,IF(M20="다가감과 물러섬이 함께 나오는 사이",성향문장!C52,성향문장!C53)))))))</f>
        <v>애착유형 미판정</v>
      </c>
      <c r="BK20" s="37" t="str">
        <f>IF(COUNT('3_보호자행동'!X12)=0,"조건 미확인",IF('3_보호자행동'!X12=3,"조건 이탈",IF(COUNT('2_개행동'!X9,'2_개행동'!X17,'2_개행동'!X18,'2_개행동'!X19,'2_개행동'!X22)&lt;5,"자료 부족",IF(N('2_개행동'!X21)&gt;=2,"접근이 여러 번 바뀜 — 한 서술로 묶지 않음",IF(AND($AE20&gt;=2,$AF20&gt;=2),"섞여 있음",IF(-'2_개행동'!X9&gt;=1,IF(ABS('2_개행동'!X18)&lt;=1,IF($AF20&gt;=$AE20,"없을 때 흔들 → 있을 때 가라앉고 자기 일","없을 때 흔들 → 있을 때 가라앉고 곁에 붙음"),"없을 때 흔들 → 있을 때도 못 가라앉음"),IF($AE20&gt;=2,"없을 때 담담 → 있을 때 곁에 붙음","없을 때도 있을 때도 비슷")))))))</f>
        <v>조건 미확인</v>
      </c>
      <c r="BL20" s="37" t="str">
        <f>IF(OR(COUNT('1_바디시그널'!X$5)=0,COUNT('1_바디시그널'!X$38)=0),"",'1_바디시그널'!X$5-'1_바디시그널'!X$38)</f>
        <v/>
      </c>
      <c r="BM20" s="37" t="str">
        <f>IF(OR(COUNT('1_바디시그널'!X$9)=0,COUNT('1_바디시그널'!X$38)=0),"",'1_바디시그널'!X$9-'1_바디시그널'!X$38)</f>
        <v/>
      </c>
      <c r="BN20" s="37" t="str">
        <f>IF(OR(COUNT('1_바디시그널'!X$11)=0,COUNT('1_바디시그널'!X$38)=0),"",'1_바디시그널'!X$11-'1_바디시그널'!X$38)</f>
        <v/>
      </c>
      <c r="BO20" s="37" t="str">
        <f>IF(OR(COUNT('1_바디시그널'!X$13)=0,COUNT('1_바디시그널'!X$38)=0),"",'1_바디시그널'!X$13-'1_바디시그널'!X$38)</f>
        <v/>
      </c>
      <c r="BP20" s="37" t="str">
        <f>IF(OR(COUNT('1_바디시그널'!X$39)=0,COUNT('1_바디시그널'!X$38)=0),"",'1_바디시그널'!X$39-'1_바디시그널'!X$38)</f>
        <v/>
      </c>
      <c r="BQ20" s="37" t="str">
        <f>IF(OR(COUNT('1_바디시그널'!X$43)=0,COUNT('1_바디시그널'!X$38)=0),"",'1_바디시그널'!X$43-'1_바디시그널'!X$38)</f>
        <v/>
      </c>
      <c r="BR20" s="37" t="str">
        <f>IF(OR(COUNT('1_바디시그널'!X$44)=0,COUNT('1_바디시그널'!X$38)=0),"",'1_바디시그널'!X$44-'1_바디시그널'!X$38)</f>
        <v/>
      </c>
      <c r="BS20" s="37" t="str">
        <f>IF(OR(COUNT('1_바디시그널'!X$45)=0,COUNT('1_바디시그널'!X$38)=0),"",'1_바디시그널'!X$45-'1_바디시그널'!X$38)</f>
        <v/>
      </c>
      <c r="BT20" s="37" t="str">
        <f>IF(OR(COUNT('1_바디시그널'!X$41)=0,COUNT('1_바디시그널'!X$40)=0),"",'1_바디시그널'!X$41-'1_바디시그널'!X$40)</f>
        <v/>
      </c>
      <c r="BU20" s="37" t="str">
        <f>IF(OR(COUNT('1_바디시그널'!X$42)=0,COUNT('1_바디시그널'!X$40)=0),"",'1_바디시그널'!X$42-'1_바디시그널'!X$40)</f>
        <v/>
      </c>
      <c r="BV20" s="37">
        <f>N('2_개행동'!X$5&lt;=-1)+N('2_개행동'!X$6&lt;=-1)+IF(AND(COUNT('2_개행동'!X$30)=1,COUNT('3_보호자행동'!X$14)=1,'3_보호자행동'!X$14&lt;=2),N('2_개행동'!X$30&lt;=-1),0)</f>
        <v>0</v>
      </c>
      <c r="BW20" s="37">
        <f>N('2_개행동'!X$5&gt;=1)+N('2_개행동'!X$6&gt;=1)+IF(AND(COUNT('2_개행동'!X$30)=1,COUNT('3_보호자행동'!X$14)=1,'3_보호자행동'!X$14&lt;=2),N('2_개행동'!X$30&gt;=1),0)</f>
        <v>0</v>
      </c>
      <c r="BX20" s="37">
        <f>COUNT('2_개행동'!X$5,'2_개행동'!X$6)+IF(AND(COUNT('2_개행동'!X$30)=1,COUNT('3_보호자행동'!X$14)=1,'3_보호자행동'!X$14&lt;=2),1,0)</f>
        <v>0</v>
      </c>
      <c r="BY20" s="37" t="str">
        <f t="shared" si="6"/>
        <v>자료 부족</v>
      </c>
      <c r="BZ20" s="37" t="str">
        <f>"문 "&amp;IF(COUNT('2_개행동'!X$5)=0,"미확인",SUBSTITUTE(TEXT('2_개행동'!X$5,"+0;-0;0"),"-","−"))&amp;" · 바닥 "&amp;IF(COUNT('2_개행동'!X$6)=0,"미확인",SUBSTITUTE(TEXT('2_개행동'!X$6,"+0;-0;0"),"-","−"))&amp;" · 물건 "&amp;IF(AND(COUNT('2_개행동'!X$30)=1,COUNT('3_보호자행동'!X$14)=1,'3_보호자행동'!X$14&lt;=2),IF(COUNT('2_개행동'!X$30)=0,"미확인",SUBSTITUTE(TEXT('2_개행동'!X$30,"+0;-0;0"),"-","−")),"보류")&amp;"  /  꼬리 기준대비 입장 "&amp;IF(COUNT($BL20)=0,"미확인",SUBSTITUTE(TEXT($BL20,"+0;-0;0"),"-","−"))&amp;" · 바닥 "&amp;IF(COUNT($AP20)=0,"미확인",SUBSTITUTE(TEXT($AP20,"+0;-0;0"),"-","−"))&amp;" · 물건 "&amp;IF(COUNT($BR20)=0,"미확인",SUBSTITUTE(TEXT($BR20,"+0;-0;0"),"-","−"))&amp;"  /  긴장 신호 "&amp;IF(COUNT('1_바디시그널'!X$14,'1_바디시그널'!X$15,'1_바디시그널'!X$16)=0,"미확인",TEXT(SUM('1_바디시그널'!X$14,'1_바디시그널'!X$15,'1_바디시그널'!X$16),"0")&amp;"회")&amp;"  /  냄새 "&amp;IF(COUNT('2_개행동'!X$7)=0,"미확인",IF('2_개행동'!X$7=0,"씀","안 씀"))</f>
        <v>문 미확인 · 바닥 미확인 · 물건 보류  /  꼬리 기준대비 입장 미확인 · 바닥 미확인 · 물건 미확인  /  긴장 신호 미확인  /  냄새 미확인</v>
      </c>
      <c r="CA20" s="37" t="str">
        <f>IF(AND('6_행사전문가의견'!E264="완료",OR('6_행사전문가의견'!B266="주저함 · 거리를 벌림",'6_행사전문가의견'!B266="뚜렷한 치우침 없음",'6_행사전문가의견'!B266="살피지 않고 들이닥침",'6_행사전문가의견'!B266="자극에 따라 다름",'6_행사전문가의견'!B266="판단보류"),LEN(TRIM('6_행사전문가의견'!B267&amp;""))&gt;0),'6_행사전문가의견'!B266,"")</f>
        <v/>
      </c>
      <c r="CB20" s="37" t="str">
        <f>IF(AND('6_행사전문가의견'!E264="완료",OR('6_행사전문가의견'!B266="주저함 · 거리를 벌림",'6_행사전문가의견'!B266="뚜렷한 치우침 없음",'6_행사전문가의견'!B266="살피지 않고 들이닥침",'6_행사전문가의견'!B266="자극에 따라 다름",'6_행사전문가의견'!B266="판단보류"),LEN(TRIM('6_행사전문가의견'!B267&amp;""))&gt;0),'6_행사전문가의견'!B267,"")</f>
        <v/>
      </c>
      <c r="CC20" s="37" t="str">
        <f t="shared" si="7"/>
        <v>자료 부족</v>
      </c>
      <c r="CD20" s="38" t="str">
        <f>IF('6_행사전문가의견'!E264&lt;&gt;"완료","",IF(LEN(TRIM('6_행사전문가의견'!D257&amp;""))=0,"",'6_행사전문가의견'!D257))</f>
        <v/>
      </c>
      <c r="CE20" s="38" t="str">
        <f>IF('6_행사전문가의견'!E264&lt;&gt;"완료","",IF(LEN(TRIM('6_행사전문가의견'!D258&amp;""))=0,"",'6_행사전문가의견'!D258))</f>
        <v/>
      </c>
      <c r="CF20" s="38" t="str">
        <f>IF('6_행사전문가의견'!E264&lt;&gt;"완료","",IF(LEN(TRIM('6_행사전문가의견'!D259&amp;""))=0,"",'6_행사전문가의견'!D259))</f>
        <v/>
      </c>
      <c r="CG20" s="38" t="str">
        <f>IF('6_행사전문가의견'!E264&lt;&gt;"완료","",IF(LEN(TRIM('6_행사전문가의견'!D261&amp;""))=0,"",'6_행사전문가의견'!D261))</f>
        <v/>
      </c>
      <c r="CH20" s="38" t="str">
        <f>IF('6_행사전문가의견'!E264&lt;&gt;"완료","",IF(LEN(TRIM('6_행사전문가의견'!D263&amp;""))=0,"",'6_행사전문가의견'!D263))</f>
        <v/>
      </c>
      <c r="CI20" s="38" t="str">
        <f>IF('6_행사전문가의견'!E264&lt;&gt;"완료","",IF(LEN(TRIM('6_행사전문가의견'!C255&amp;""))=0,"",'6_행사전문가의견'!C255))</f>
        <v/>
      </c>
      <c r="CJ20" s="38" t="str">
        <f>'6_행사전문가의견'!E264</f>
        <v>미작성</v>
      </c>
      <c r="CK20" s="37" t="str">
        <f>'2_개행동'!X60</f>
        <v>미채점</v>
      </c>
      <c r="CL20" s="40" t="str">
        <f>IF(LEN(TRIM(CD20&amp;""))&gt;0,CD20,"분리 초기: "&amp;IF(COUNT('2_개행동'!X$9)=0,"자료 부족",INDEX('2_개행동'!$C$9:$G$9,1,'2_개행동'!X$9+3))&amp;" / 분리 이후: "&amp;IF(COUNT('2_개행동'!X$10)=0,"자료 부족",INDEX('2_개행동'!$C$10:$G$10,1,'2_개행동'!X$10+3))&amp;" / 변화: "&amp;CK20&amp;" / 분리·재회·무시 보조: "&amp;BK20&amp;" / 재회·무시 패턴: "&amp;AU20&amp;IF(M20="미판정",""," / 기본 유형: "&amp;M20&amp;IF(LEN(TRIM(BG20&amp;""))&gt;0," / 근거: "&amp;BG20,"")))</f>
        <v>분리 초기: 자료 부족 / 분리 이후: 자료 부족 / 변화: 미채점 / 분리·재회·무시 보조: 조건 미확인 / 재회·무시 패턴: 조건 미확인</v>
      </c>
      <c r="CM20" s="40" t="str">
        <f>IF(LEN(TRIM(CE20&amp;""))&gt;0,CE20,IF(LEN(TRIM(AQ20&amp;""))=0,"",AQ20&amp;IF(LEN(TRIM(AR20&amp;""))&gt;0,". "&amp;AR20,IF(COUNT('3_보호자행동'!P65)=0," (자동 초안 · 근거 비율 미산출)"," (자동 초안 · 허용 "&amp;TEXT('3_보호자행동'!P65,"0.00")&amp;" / 조율 "&amp;TEXT('3_보호자행동'!Q65,"0.00")&amp;" / 통제 "&amp;TEXT('3_보호자행동'!R65,"0.00")&amp;")"))))</f>
        <v>판정보류 (자동 초안 · 근거 비율 미산출)</v>
      </c>
      <c r="CN20" s="40" t="str">
        <f t="shared" si="8"/>
        <v>자료 부족</v>
      </c>
      <c r="CO20" s="40" t="str">
        <f t="shared" si="9"/>
        <v>조건 미확인</v>
      </c>
      <c r="CP20" s="40" t="str">
        <f t="shared" si="10"/>
        <v/>
      </c>
      <c r="CQ20" s="40" t="str">
        <f>IF('6_행사전문가의견'!E264&lt;&gt;"완료","",IF(LEN(TRIM('6_행사전문가의견'!D260&amp;""))=0,"",'6_행사전문가의견'!D260))</f>
        <v/>
      </c>
      <c r="CR20" s="40" t="str">
        <f>IF('6_행사전문가의견'!E264&lt;&gt;"완료","",IF(LEN(TRIM('6_행사전문가의견'!D262&amp;""))=0,"",'6_행사전문가의견'!D262))</f>
        <v/>
      </c>
      <c r="CS20" s="40" t="str">
        <f t="shared" si="11"/>
        <v/>
      </c>
      <c r="CT20" s="40" t="str">
        <f t="shared" si="12"/>
        <v/>
      </c>
      <c r="CU20" s="37" t="str">
        <f>IF(LEN(TRIM('3_보호자행동'!U65&amp;""))=0,"",'3_보호자행동'!U65)</f>
        <v>자동 초안</v>
      </c>
    </row>
    <row r="21" spans="1:99" ht="81.95" customHeight="1" x14ac:dyDescent="0.3">
      <c r="A21" s="16">
        <v>16</v>
      </c>
      <c r="B21" s="16"/>
      <c r="C21" s="16"/>
      <c r="D21" s="50" t="str">
        <f>IF(COUNT('3_보호자행동'!Y5)=0,"",'3_보호자행동'!Y5)</f>
        <v/>
      </c>
      <c r="E21" s="16" t="str">
        <f>IF(COUNT('3_보호자행동'!Y6)=0,"",'3_보호자행동'!Y6)</f>
        <v/>
      </c>
      <c r="F21" s="16" t="str">
        <f>IF(COUNT('3_보호자행동'!Y9)=0,"",'3_보호자행동'!Y9)</f>
        <v/>
      </c>
      <c r="G21" s="50" t="str">
        <f>IF(AND(OR('3_보호자행동'!Y14=1,'3_보호자행동'!Y14=2),BC21&gt;=2),BA21/BC21,"")</f>
        <v/>
      </c>
      <c r="H21" s="16" t="str">
        <f>IF(AND(OR('3_보호자행동'!Y14=1,'3_보호자행동'!Y14=2),BC21&gt;=2),BB21/BC21,"")</f>
        <v/>
      </c>
      <c r="I21" s="17">
        <f t="shared" si="0"/>
        <v>0</v>
      </c>
      <c r="J21" s="16" t="str">
        <f t="shared" si="1"/>
        <v>자료 부족</v>
      </c>
      <c r="K21" s="16" t="str">
        <f t="shared" si="2"/>
        <v/>
      </c>
      <c r="L21" s="16" t="str">
        <f t="shared" si="3"/>
        <v/>
      </c>
      <c r="M21" s="16" t="str">
        <f>IF(LEN(TRIM('2_개행동'!B85&amp;""))=0,"미판정",IF(OR('2_개행동'!B85="곁에서 안심하는 사이",'2_개행동'!B85="가까이 있어도 안심이 어려운 사이",'2_개행동'!B85="거리를 두고 지내는 사이",'2_개행동'!B85="다가감과 물러섬이 함께 나오는 사이",'2_개행동'!B85="판정보류"),'2_개행동'!B85,"유형 입력 확인"))</f>
        <v>미판정</v>
      </c>
      <c r="N21" s="16" t="str">
        <f>IF(COUNT('2_개행동'!Y18)=0,"",'2_개행동'!Y18)</f>
        <v/>
      </c>
      <c r="O21" s="16" t="str">
        <f>IF(COUNT('2_개행동'!Y47)=0,"",'2_개행동'!Y47)</f>
        <v/>
      </c>
      <c r="P21" s="50" t="str">
        <f>IF(OR('3_보호자행동'!Y13=1,'3_보호자행동'!Y13=2),IF(COUNT('2_개행동'!Y24)=0,"",'2_개행동'!Y24),"")</f>
        <v/>
      </c>
      <c r="Q21" s="16" t="str">
        <f>IF(OR('3_보호자행동'!Y13=1,'3_보호자행동'!Y13=2),IF(COUNT('2_개행동'!Y25)=0,"",'2_개행동'!Y25),"")</f>
        <v/>
      </c>
      <c r="R21" s="51" t="str">
        <f t="shared" si="4"/>
        <v/>
      </c>
      <c r="S21" s="50" t="str">
        <f>IF(COUNT('2_개행동'!Y28)=0,"",'2_개행동'!Y28)</f>
        <v/>
      </c>
      <c r="T21" s="16" t="str">
        <f>IF(COUNT('2_개행동'!Y34)=0,"",'2_개행동'!Y34)</f>
        <v/>
      </c>
      <c r="U21" s="16" t="str">
        <f>IF(COUNT('2_개행동'!Y50)=0,"",'2_개행동'!Y50)</f>
        <v/>
      </c>
      <c r="V21" s="52" t="str">
        <f>IF(AND(COUNT('2_개행동'!Y8,'2_개행동'!Y23)=2,OR('3_보호자행동'!Y12=1,'3_보호자행동'!Y12=2)),ABS('2_개행동'!Y8)-ABS('2_개행동'!Y23),"")</f>
        <v/>
      </c>
      <c r="W21" s="52" t="str">
        <f>IF(COUNT('2_개행동'!Y58,'2_개행동'!Y18)&lt;2,"",ABS('2_개행동'!Y58)-ABS('2_개행동'!Y18))</f>
        <v/>
      </c>
      <c r="X21" s="52"/>
      <c r="Y21" s="16" t="str">
        <f>IF(COUNT('2_개행동'!Y8)=0,"",'2_개행동'!Y8)</f>
        <v/>
      </c>
      <c r="Z21" s="51" t="str">
        <f>IF(COUNT('2_개행동'!Y27)=0,"",'2_개행동'!Y27)</f>
        <v/>
      </c>
      <c r="AA21" s="18"/>
      <c r="AB21" s="16" t="str">
        <f>IF(COUNT('2_개행동'!Y9)=0,"",'2_개행동'!Y9)</f>
        <v/>
      </c>
      <c r="AC21" s="16" t="str">
        <f>IF(COUNT('2_개행동'!Y10)=0,"",'2_개행동'!Y10)</f>
        <v/>
      </c>
      <c r="AD21" s="16" t="str">
        <f>IF(COUNT('2_개행동'!Y18)=0,"",'2_개행동'!Y18)</f>
        <v/>
      </c>
      <c r="AE21" s="16" t="str">
        <f>IF(AND(COUNT('2_개행동'!Y17,'2_개행동'!Y19,'2_개행동'!Y22)=3,OR('3_보호자행동'!Y12=1,'3_보호자행동'!Y12=2)),IF(COUNT('2_개행동'!Y17)=0,0,MAX(0,-'2_개행동'!Y17))+IF(COUNT('2_개행동'!Y19)=0,0,MAX(0,-'2_개행동'!Y19))+IF(COUNT('2_개행동'!Y22)=0,0,MAX(0,-'2_개행동'!Y22)),"")</f>
        <v/>
      </c>
      <c r="AF21" s="16" t="str">
        <f>IF(AND(COUNT('2_개행동'!Y17,'2_개행동'!Y19,'2_개행동'!Y22)=3,OR('3_보호자행동'!Y12=1,'3_보호자행동'!Y12=2)),IF(COUNT('2_개행동'!Y17)=0,0,MAX(0,'2_개행동'!Y17))+IF(COUNT('2_개행동'!Y19)=0,0,MAX(0,'2_개행동'!Y19))+IF(COUNT('2_개행동'!Y22)=0,0,MAX(0,'2_개행동'!Y22)),"")</f>
        <v/>
      </c>
      <c r="AG21" s="40" t="str">
        <f>IF(COUNT('3_보호자행동'!Y14)=0,"조건 미확인",IF('3_보호자행동'!Y14=3,"조건 이탈",IF(BC21&lt;2,"자료 부족",IF(AND(BA21&gt;0,BB21&gt;0),"양방향 관찰",IF(BA21&gt;0,"−방향 관찰",IF(BB21&gt;0,"+방향 관찰","중앙범주만 관찰"))))))</f>
        <v>조건 미확인</v>
      </c>
      <c r="AH21" s="40" t="str">
        <f>IF(COUNT('3_보호자행동'!Y13)=0,"조건 미확인",IF('3_보호자행동'!Y13=3,"조건 이탈",IF(COUNT('2_개행동'!Y24)=0,"자료 부족",CHOOSE('2_개행동'!Y24+3,"−2","−1","0","+1","+2"))))</f>
        <v>조건 미확인</v>
      </c>
      <c r="AI21" s="40" t="str">
        <f>IF(COUNT('2_개행동'!Y28)=0,"자료 부족",CHOOSE('2_개행동'!Y28+3,"−2","−1","0","+1","+2"))</f>
        <v>자료 부족</v>
      </c>
      <c r="AJ21" s="40" t="str">
        <f>IF(COUNT('2_개행동'!Y8,'2_개행동'!Y14,'2_개행동'!Y18,'2_개행동'!Y23,'2_개행동'!Y44,'2_개행동'!Y52,'2_개행동'!Y58)=0,"",IF(COUNT('2_개행동'!Y8)=0,0,IF('2_개행동'!Y8&lt;0,1,0))+IF(COUNT('2_개행동'!Y14)=0,0,IF('2_개행동'!Y14&lt;0,1,0))+IF(COUNT('2_개행동'!Y18)=0,0,IF('2_개행동'!Y18&lt;0,1,0))+IF(COUNT('2_개행동'!Y23)=0,0,IF('2_개행동'!Y23&lt;0,1,0))+IF(COUNT('2_개행동'!Y44)=0,0,IF('2_개행동'!Y44&lt;0,1,0))+IF(COUNT('2_개행동'!Y52)=0,0,IF('2_개행동'!Y52&lt;0,1,0))+IF(COUNT('2_개행동'!Y58)=0,0,IF('2_개행동'!Y58&lt;0,1,0)))</f>
        <v/>
      </c>
      <c r="AK21" s="40" t="str">
        <f>IF(COUNT('2_개행동'!Y8,'2_개행동'!Y14,'2_개행동'!Y18,'2_개행동'!Y23,'2_개행동'!Y44,'2_개행동'!Y52,'2_개행동'!Y58)=0,"",IF(COUNT('2_개행동'!Y8)=0,0,IF('2_개행동'!Y8&gt;0,1,0))+IF(COUNT('2_개행동'!Y14)=0,0,IF('2_개행동'!Y14&gt;0,1,0))+IF(COUNT('2_개행동'!Y18)=0,0,IF('2_개행동'!Y18&gt;0,1,0))+IF(COUNT('2_개행동'!Y23)=0,0,IF('2_개행동'!Y23&gt;0,1,0))+IF(COUNT('2_개행동'!Y44)=0,0,IF('2_개행동'!Y44&gt;0,1,0))+IF(COUNT('2_개행동'!Y52)=0,0,IF('2_개행동'!Y52&gt;0,1,0))+IF(COUNT('2_개행동'!Y58)=0,0,IF('2_개행동'!Y58&gt;0,1,0)))</f>
        <v/>
      </c>
      <c r="AL21" s="40" t="str">
        <f>IF(COUNT('2_개행동'!Y8,'2_개행동'!Y14,'2_개행동'!Y18,'2_개행동'!Y23,'2_개행동'!Y44,'2_개행동'!Y52,'2_개행동'!Y58)&lt;1,"자료 부족",IF(AND(AJ21&gt;0,AK21&gt;0),"양방향 관찰",IF(AJ21&gt;0,"−방향 관찰",IF(AK21&gt;0,"+방향 관찰","중앙범주만 관찰"))))</f>
        <v>자료 부족</v>
      </c>
      <c r="AM21" s="40" t="str">
        <f>IF(AND(COUNT('2_개행동'!Y30,'2_개행동'!Y34)=2,OR('3_보호자행동'!Y14=1,'3_보호자행동'!Y14=2)),IF('2_개행동'!Y30='2_개행동'!Y34,"같은 범주","범주 변화"),"비교 보류")</f>
        <v>비교 보류</v>
      </c>
      <c r="AN21" s="40" t="str">
        <f>IF(COUNT('2_개행동'!Y5)=0,"자료 부족",CHOOSE('2_개행동'!Y5+3,"−2","−1","0","+1","+2"))</f>
        <v>자료 부족</v>
      </c>
      <c r="AO21" s="40" t="str">
        <f>IF(COUNT('3_보호자행동'!Y13)=0,"조건 미확인",IF('3_보호자행동'!Y13=3,"조건 이탈",IF(COUNT('2_개행동'!Y25)=0,"자료 부족",CHOOSE('2_개행동'!Y25+3,"−2","−1","0","+1","+2"))))</f>
        <v>조건 미확인</v>
      </c>
      <c r="AP21" s="40" t="str">
        <f>IF(COUNT('1_바디시그널'!Y7,'1_바디시그널'!Y38)&lt;2,"",'1_바디시그널'!Y7-'1_바디시그널'!Y38)</f>
        <v/>
      </c>
      <c r="AQ21" s="38" t="str">
        <f>IF(LEN(TRIM('3_보호자행동'!T66&amp;""))=0,"",'3_보호자행동'!T66)</f>
        <v>판정보류</v>
      </c>
      <c r="AR21" s="38" t="str">
        <f>IF('3_보호자행동'!U66&lt;&gt;"채점자 선택","",IF(LEN(TRIM('3_보호자행동'!C66&amp;""))=0,"",'3_보호자행동'!C66))</f>
        <v/>
      </c>
      <c r="AS21" s="38" t="str">
        <f>'3_보호자행동'!I66</f>
        <v>자동 · 판정보류</v>
      </c>
      <c r="AT21" s="38" t="str">
        <f>IF('3_보호자행동'!U66="채점자 선택",'3_보호자행동'!G66,"")</f>
        <v/>
      </c>
      <c r="AU21" s="40" t="str">
        <f>IF(COUNT('3_보호자행동'!Y12)=0,"조건 미확인",IF('3_보호자행동'!Y12=3,"조건 이탈",IF(COUNT(AE21,AF21,'2_개행동'!Y18)&lt;3,"자료 부족",IF(AND(AE21&gt;=2,AF21&gt;=2),"접촉·거리 반응 혼재",IF(ABS('2_개행동'!Y18)=2,"재회 몸 상태 지속",IF(AF21&gt;=3,"거리 유지 관찰",IF(AE21&gt;=4,"접촉 유지 관찰","기준상 뚜렷한 치우침 없음")))))))</f>
        <v>조건 미확인</v>
      </c>
      <c r="AV21" s="40" t="str">
        <f>"발성량: 혼자 "&amp;IF(COUNT('2_개행동'!Y11)=0,"미확인",TEXT('2_개행동'!Y11,"0"))&amp;" / 재회 "&amp;IF(COUNT('2_개행동'!Y47)=0,"미확인",TEXT('2_개행동'!Y47,"0"))&amp;" / 무시 "&amp;IF(COUNT('2_개행동'!Y48)=0,"미확인",TEXT('2_개행동'!Y48,"0"))&amp;" · 접근 변화 사건 "&amp;IF(COUNT('2_개행동'!Y21)=0,"미확인",TEXT('2_개행동'!Y21,"0"))</f>
        <v>발성량: 혼자 미확인 / 재회 미확인 / 무시 미확인 · 접근 변화 사건 미확인</v>
      </c>
      <c r="AW21" s="40" t="str">
        <f>IF(AND(OR('3_보호자행동'!Y14=1,'3_보호자행동'!Y14=2),BC21&gt;=2),(IF(COUNT('2_개행동'!Y5)=0,0,100-50*ABS('2_개행동'!Y5))+IF(COUNT('2_개행동'!Y6)=0,0,100-50*ABS('2_개행동'!Y6))+IF(COUNT('2_개행동'!Y30)=0,0,100-50*ABS('2_개행동'!Y30)))/BC21,"")</f>
        <v/>
      </c>
      <c r="AX21" s="40" t="str">
        <f>IF(BF21&gt;=4,(IF(COUNT('2_개행동'!Y13)=0,0,100-50*ABS('2_개행동'!Y13))+IF(COUNT('2_개행동'!Y14)=0,0,100-50*ABS('2_개행동'!Y14))+IF(COUNT('2_개행동'!Y15)=0,0,100-50*ABS('2_개행동'!Y15))+IF(COUNT('2_개행동'!Y51)=0,0,100-50*ABS('2_개행동'!Y51))+IF(COUNT('2_개행동'!Y52)=0,0,100-50*ABS('2_개행동'!Y52))+IF(COUNT('2_개행동'!Y54)=0,0,100-50*ABS('2_개행동'!Y54))+IF(COUNT('2_개행동'!Y55)=0,0,100-50*ABS('2_개행동'!Y55)))/BF21,"")</f>
        <v/>
      </c>
      <c r="AY21" s="40" t="str">
        <f t="shared" si="5"/>
        <v/>
      </c>
      <c r="AZ21" s="40" t="str">
        <f>IF(COUNT('2_개행동'!Y48)=0,"",'2_개행동'!Y48)</f>
        <v/>
      </c>
      <c r="BA21" s="40" t="str">
        <f>IF(COUNT('2_개행동'!Y5,'2_개행동'!Y6,'2_개행동'!Y30)=0,"",IF(COUNT('2_개행동'!Y5)=0,0,MAX(0,-'2_개행동'!Y5))+IF(COUNT('2_개행동'!Y6)=0,0,MAX(0,-'2_개행동'!Y6))+IF(COUNT('2_개행동'!Y30)=0,0,MAX(0,-'2_개행동'!Y30)))</f>
        <v/>
      </c>
      <c r="BB21" s="40" t="str">
        <f>IF(COUNT('2_개행동'!Y5,'2_개행동'!Y6,'2_개행동'!Y30)=0,"",IF(COUNT('2_개행동'!Y5)=0,0,MAX(0,'2_개행동'!Y5))+IF(COUNT('2_개행동'!Y6)=0,0,MAX(0,'2_개행동'!Y6))+IF(COUNT('2_개행동'!Y30)=0,0,MAX(0,'2_개행동'!Y30)))</f>
        <v/>
      </c>
      <c r="BC21" s="40">
        <f>COUNT('2_개행동'!Y5,'2_개행동'!Y6,'2_개행동'!Y30)</f>
        <v>0</v>
      </c>
      <c r="BD21" s="40" t="str">
        <f>IF(COUNT('2_개행동'!Y13,'2_개행동'!Y14,'2_개행동'!Y15,'2_개행동'!Y51,'2_개행동'!Y52,'2_개행동'!Y54,'2_개행동'!Y55)=0,"",IF(COUNT('2_개행동'!Y13)=0,0,MAX(0,-'2_개행동'!Y13))+IF(COUNT('2_개행동'!Y14)=0,0,MAX(0,-'2_개행동'!Y14))+IF(COUNT('2_개행동'!Y15)=0,0,MAX(0,-'2_개행동'!Y15))+IF(COUNT('2_개행동'!Y51)=0,0,MAX(0,-'2_개행동'!Y51))+IF(COUNT('2_개행동'!Y52)=0,0,MAX(0,-'2_개행동'!Y52))+IF(COUNT('2_개행동'!Y54)=0,0,MAX(0,-'2_개행동'!Y54))+IF(COUNT('2_개행동'!Y55)=0,0,MAX(0,-'2_개행동'!Y55)))</f>
        <v/>
      </c>
      <c r="BE21" s="40" t="str">
        <f>IF(COUNT('2_개행동'!Y13,'2_개행동'!Y14,'2_개행동'!Y15,'2_개행동'!Y51,'2_개행동'!Y52,'2_개행동'!Y54,'2_개행동'!Y55)=0,"",IF(COUNT('2_개행동'!Y13)=0,0,MAX(0,'2_개행동'!Y13))+IF(COUNT('2_개행동'!Y14)=0,0,MAX(0,'2_개행동'!Y14))+IF(COUNT('2_개행동'!Y15)=0,0,MAX(0,'2_개행동'!Y15))+IF(COUNT('2_개행동'!Y51)=0,0,MAX(0,'2_개행동'!Y51))+IF(COUNT('2_개행동'!Y52)=0,0,MAX(0,'2_개행동'!Y52))+IF(COUNT('2_개행동'!Y54)=0,0,MAX(0,'2_개행동'!Y54))+IF(COUNT('2_개행동'!Y55)=0,0,MAX(0,'2_개행동'!Y55)))</f>
        <v/>
      </c>
      <c r="BF21" s="40">
        <f>COUNT('2_개행동'!Y13,'2_개행동'!Y14,'2_개행동'!Y15,'2_개행동'!Y51,'2_개행동'!Y52,'2_개행동'!Y54,'2_개행동'!Y55)</f>
        <v>0</v>
      </c>
      <c r="BG21" s="38" t="str">
        <f>IF(LEN(TRIM('2_개행동'!C85&amp;""))=0,"",'2_개행동'!C85)</f>
        <v/>
      </c>
      <c r="BH21" s="38" t="str">
        <f>IF(LEN(TRIM('2_개행동'!G85&amp;""))=0,"",'2_개행동'!G85)</f>
        <v/>
      </c>
      <c r="BI21" s="38" t="str">
        <f>'2_개행동'!I85</f>
        <v>미판정</v>
      </c>
      <c r="BJ21" s="38" t="str">
        <f>IF(M21="미판정","애착유형 미판정",IF(M21="유형 입력 확인","유형 입력을 확인해 주세요.",IF(LEN(TRIM(BG21&amp;""))=0,IF(M21="판정보류","판정보류 사유를 입력해 주세요.","관찰 근거 미기록: 유형 설명 보류"),IF(M21="곁에서 안심하는 사이",성향문장!C49,IF(M21="가까이 있어도 안심이 어려운 사이",성향문장!C50,IF(M21="거리를 두고 지내는 사이",성향문장!C51,IF(M21="다가감과 물러섬이 함께 나오는 사이",성향문장!C52,성향문장!C53)))))))</f>
        <v>애착유형 미판정</v>
      </c>
      <c r="BK21" s="37" t="str">
        <f>IF(COUNT('3_보호자행동'!Y12)=0,"조건 미확인",IF('3_보호자행동'!Y12=3,"조건 이탈",IF(COUNT('2_개행동'!Y9,'2_개행동'!Y17,'2_개행동'!Y18,'2_개행동'!Y19,'2_개행동'!Y22)&lt;5,"자료 부족",IF(N('2_개행동'!Y21)&gt;=2,"접근이 여러 번 바뀜 — 한 서술로 묶지 않음",IF(AND($AE21&gt;=2,$AF21&gt;=2),"섞여 있음",IF(-'2_개행동'!Y9&gt;=1,IF(ABS('2_개행동'!Y18)&lt;=1,IF($AF21&gt;=$AE21,"없을 때 흔들 → 있을 때 가라앉고 자기 일","없을 때 흔들 → 있을 때 가라앉고 곁에 붙음"),"없을 때 흔들 → 있을 때도 못 가라앉음"),IF($AE21&gt;=2,"없을 때 담담 → 있을 때 곁에 붙음","없을 때도 있을 때도 비슷")))))))</f>
        <v>조건 미확인</v>
      </c>
      <c r="BL21" s="37" t="str">
        <f>IF(OR(COUNT('1_바디시그널'!Y$5)=0,COUNT('1_바디시그널'!Y$38)=0),"",'1_바디시그널'!Y$5-'1_바디시그널'!Y$38)</f>
        <v/>
      </c>
      <c r="BM21" s="37" t="str">
        <f>IF(OR(COUNT('1_바디시그널'!Y$9)=0,COUNT('1_바디시그널'!Y$38)=0),"",'1_바디시그널'!Y$9-'1_바디시그널'!Y$38)</f>
        <v/>
      </c>
      <c r="BN21" s="37" t="str">
        <f>IF(OR(COUNT('1_바디시그널'!Y$11)=0,COUNT('1_바디시그널'!Y$38)=0),"",'1_바디시그널'!Y$11-'1_바디시그널'!Y$38)</f>
        <v/>
      </c>
      <c r="BO21" s="37" t="str">
        <f>IF(OR(COUNT('1_바디시그널'!Y$13)=0,COUNT('1_바디시그널'!Y$38)=0),"",'1_바디시그널'!Y$13-'1_바디시그널'!Y$38)</f>
        <v/>
      </c>
      <c r="BP21" s="37" t="str">
        <f>IF(OR(COUNT('1_바디시그널'!Y$39)=0,COUNT('1_바디시그널'!Y$38)=0),"",'1_바디시그널'!Y$39-'1_바디시그널'!Y$38)</f>
        <v/>
      </c>
      <c r="BQ21" s="37" t="str">
        <f>IF(OR(COUNT('1_바디시그널'!Y$43)=0,COUNT('1_바디시그널'!Y$38)=0),"",'1_바디시그널'!Y$43-'1_바디시그널'!Y$38)</f>
        <v/>
      </c>
      <c r="BR21" s="37" t="str">
        <f>IF(OR(COUNT('1_바디시그널'!Y$44)=0,COUNT('1_바디시그널'!Y$38)=0),"",'1_바디시그널'!Y$44-'1_바디시그널'!Y$38)</f>
        <v/>
      </c>
      <c r="BS21" s="37" t="str">
        <f>IF(OR(COUNT('1_바디시그널'!Y$45)=0,COUNT('1_바디시그널'!Y$38)=0),"",'1_바디시그널'!Y$45-'1_바디시그널'!Y$38)</f>
        <v/>
      </c>
      <c r="BT21" s="37" t="str">
        <f>IF(OR(COUNT('1_바디시그널'!Y$41)=0,COUNT('1_바디시그널'!Y$40)=0),"",'1_바디시그널'!Y$41-'1_바디시그널'!Y$40)</f>
        <v/>
      </c>
      <c r="BU21" s="37" t="str">
        <f>IF(OR(COUNT('1_바디시그널'!Y$42)=0,COUNT('1_바디시그널'!Y$40)=0),"",'1_바디시그널'!Y$42-'1_바디시그널'!Y$40)</f>
        <v/>
      </c>
      <c r="BV21" s="37">
        <f>N('2_개행동'!Y$5&lt;=-1)+N('2_개행동'!Y$6&lt;=-1)+IF(AND(COUNT('2_개행동'!Y$30)=1,COUNT('3_보호자행동'!Y$14)=1,'3_보호자행동'!Y$14&lt;=2),N('2_개행동'!Y$30&lt;=-1),0)</f>
        <v>0</v>
      </c>
      <c r="BW21" s="37">
        <f>N('2_개행동'!Y$5&gt;=1)+N('2_개행동'!Y$6&gt;=1)+IF(AND(COUNT('2_개행동'!Y$30)=1,COUNT('3_보호자행동'!Y$14)=1,'3_보호자행동'!Y$14&lt;=2),N('2_개행동'!Y$30&gt;=1),0)</f>
        <v>0</v>
      </c>
      <c r="BX21" s="37">
        <f>COUNT('2_개행동'!Y$5,'2_개행동'!Y$6)+IF(AND(COUNT('2_개행동'!Y$30)=1,COUNT('3_보호자행동'!Y$14)=1,'3_보호자행동'!Y$14&lt;=2),1,0)</f>
        <v>0</v>
      </c>
      <c r="BY21" s="37" t="str">
        <f t="shared" si="6"/>
        <v>자료 부족</v>
      </c>
      <c r="BZ21" s="37" t="str">
        <f>"문 "&amp;IF(COUNT('2_개행동'!Y$5)=0,"미확인",SUBSTITUTE(TEXT('2_개행동'!Y$5,"+0;-0;0"),"-","−"))&amp;" · 바닥 "&amp;IF(COUNT('2_개행동'!Y$6)=0,"미확인",SUBSTITUTE(TEXT('2_개행동'!Y$6,"+0;-0;0"),"-","−"))&amp;" · 물건 "&amp;IF(AND(COUNT('2_개행동'!Y$30)=1,COUNT('3_보호자행동'!Y$14)=1,'3_보호자행동'!Y$14&lt;=2),IF(COUNT('2_개행동'!Y$30)=0,"미확인",SUBSTITUTE(TEXT('2_개행동'!Y$30,"+0;-0;0"),"-","−")),"보류")&amp;"  /  꼬리 기준대비 입장 "&amp;IF(COUNT($BL21)=0,"미확인",SUBSTITUTE(TEXT($BL21,"+0;-0;0"),"-","−"))&amp;" · 바닥 "&amp;IF(COUNT($AP21)=0,"미확인",SUBSTITUTE(TEXT($AP21,"+0;-0;0"),"-","−"))&amp;" · 물건 "&amp;IF(COUNT($BR21)=0,"미확인",SUBSTITUTE(TEXT($BR21,"+0;-0;0"),"-","−"))&amp;"  /  긴장 신호 "&amp;IF(COUNT('1_바디시그널'!Y$14,'1_바디시그널'!Y$15,'1_바디시그널'!Y$16)=0,"미확인",TEXT(SUM('1_바디시그널'!Y$14,'1_바디시그널'!Y$15,'1_바디시그널'!Y$16),"0")&amp;"회")&amp;"  /  냄새 "&amp;IF(COUNT('2_개행동'!Y$7)=0,"미확인",IF('2_개행동'!Y$7=0,"씀","안 씀"))</f>
        <v>문 미확인 · 바닥 미확인 · 물건 보류  /  꼬리 기준대비 입장 미확인 · 바닥 미확인 · 물건 미확인  /  긴장 신호 미확인  /  냄새 미확인</v>
      </c>
      <c r="CA21" s="37" t="str">
        <f>IF(AND('6_행사전문가의견'!E280="완료",OR('6_행사전문가의견'!B282="주저함 · 거리를 벌림",'6_행사전문가의견'!B282="뚜렷한 치우침 없음",'6_행사전문가의견'!B282="살피지 않고 들이닥침",'6_행사전문가의견'!B282="자극에 따라 다름",'6_행사전문가의견'!B282="판단보류"),LEN(TRIM('6_행사전문가의견'!B283&amp;""))&gt;0),'6_행사전문가의견'!B282,"")</f>
        <v/>
      </c>
      <c r="CB21" s="37" t="str">
        <f>IF(AND('6_행사전문가의견'!E280="완료",OR('6_행사전문가의견'!B282="주저함 · 거리를 벌림",'6_행사전문가의견'!B282="뚜렷한 치우침 없음",'6_행사전문가의견'!B282="살피지 않고 들이닥침",'6_행사전문가의견'!B282="자극에 따라 다름",'6_행사전문가의견'!B282="판단보류"),LEN(TRIM('6_행사전문가의견'!B283&amp;""))&gt;0),'6_행사전문가의견'!B283,"")</f>
        <v/>
      </c>
      <c r="CC21" s="37" t="str">
        <f t="shared" si="7"/>
        <v>자료 부족</v>
      </c>
      <c r="CD21" s="38" t="str">
        <f>IF('6_행사전문가의견'!E280&lt;&gt;"완료","",IF(LEN(TRIM('6_행사전문가의견'!D273&amp;""))=0,"",'6_행사전문가의견'!D273))</f>
        <v/>
      </c>
      <c r="CE21" s="38" t="str">
        <f>IF('6_행사전문가의견'!E280&lt;&gt;"완료","",IF(LEN(TRIM('6_행사전문가의견'!D274&amp;""))=0,"",'6_행사전문가의견'!D274))</f>
        <v/>
      </c>
      <c r="CF21" s="38" t="str">
        <f>IF('6_행사전문가의견'!E280&lt;&gt;"완료","",IF(LEN(TRIM('6_행사전문가의견'!D275&amp;""))=0,"",'6_행사전문가의견'!D275))</f>
        <v/>
      </c>
      <c r="CG21" s="38" t="str">
        <f>IF('6_행사전문가의견'!E280&lt;&gt;"완료","",IF(LEN(TRIM('6_행사전문가의견'!D277&amp;""))=0,"",'6_행사전문가의견'!D277))</f>
        <v/>
      </c>
      <c r="CH21" s="38" t="str">
        <f>IF('6_행사전문가의견'!E280&lt;&gt;"완료","",IF(LEN(TRIM('6_행사전문가의견'!D279&amp;""))=0,"",'6_행사전문가의견'!D279))</f>
        <v/>
      </c>
      <c r="CI21" s="38" t="str">
        <f>IF('6_행사전문가의견'!E280&lt;&gt;"완료","",IF(LEN(TRIM('6_행사전문가의견'!C271&amp;""))=0,"",'6_행사전문가의견'!C271))</f>
        <v/>
      </c>
      <c r="CJ21" s="38" t="str">
        <f>'6_행사전문가의견'!E280</f>
        <v>미작성</v>
      </c>
      <c r="CK21" s="37" t="str">
        <f>'2_개행동'!Y60</f>
        <v>미채점</v>
      </c>
      <c r="CL21" s="40" t="str">
        <f>IF(LEN(TRIM(CD21&amp;""))&gt;0,CD21,"분리 초기: "&amp;IF(COUNT('2_개행동'!Y$9)=0,"자료 부족",INDEX('2_개행동'!$C$9:$G$9,1,'2_개행동'!Y$9+3))&amp;" / 분리 이후: "&amp;IF(COUNT('2_개행동'!Y$10)=0,"자료 부족",INDEX('2_개행동'!$C$10:$G$10,1,'2_개행동'!Y$10+3))&amp;" / 변화: "&amp;CK21&amp;" / 분리·재회·무시 보조: "&amp;BK21&amp;" / 재회·무시 패턴: "&amp;AU21&amp;IF(M21="미판정",""," / 기본 유형: "&amp;M21&amp;IF(LEN(TRIM(BG21&amp;""))&gt;0," / 근거: "&amp;BG21,"")))</f>
        <v>분리 초기: 자료 부족 / 분리 이후: 자료 부족 / 변화: 미채점 / 분리·재회·무시 보조: 조건 미확인 / 재회·무시 패턴: 조건 미확인</v>
      </c>
      <c r="CM21" s="40" t="str">
        <f>IF(LEN(TRIM(CE21&amp;""))&gt;0,CE21,IF(LEN(TRIM(AQ21&amp;""))=0,"",AQ21&amp;IF(LEN(TRIM(AR21&amp;""))&gt;0,". "&amp;AR21,IF(COUNT('3_보호자행동'!P66)=0," (자동 초안 · 근거 비율 미산출)"," (자동 초안 · 허용 "&amp;TEXT('3_보호자행동'!P66,"0.00")&amp;" / 조율 "&amp;TEXT('3_보호자행동'!Q66,"0.00")&amp;" / 통제 "&amp;TEXT('3_보호자행동'!R66,"0.00")&amp;")"))))</f>
        <v>판정보류 (자동 초안 · 근거 비율 미산출)</v>
      </c>
      <c r="CN21" s="40" t="str">
        <f t="shared" si="8"/>
        <v>자료 부족</v>
      </c>
      <c r="CO21" s="40" t="str">
        <f t="shared" si="9"/>
        <v>조건 미확인</v>
      </c>
      <c r="CP21" s="40" t="str">
        <f t="shared" si="10"/>
        <v/>
      </c>
      <c r="CQ21" s="40" t="str">
        <f>IF('6_행사전문가의견'!E280&lt;&gt;"완료","",IF(LEN(TRIM('6_행사전문가의견'!D276&amp;""))=0,"",'6_행사전문가의견'!D276))</f>
        <v/>
      </c>
      <c r="CR21" s="40" t="str">
        <f>IF('6_행사전문가의견'!E280&lt;&gt;"완료","",IF(LEN(TRIM('6_행사전문가의견'!D278&amp;""))=0,"",'6_행사전문가의견'!D278))</f>
        <v/>
      </c>
      <c r="CS21" s="40" t="str">
        <f t="shared" si="11"/>
        <v/>
      </c>
      <c r="CT21" s="40" t="str">
        <f t="shared" si="12"/>
        <v/>
      </c>
      <c r="CU21" s="37" t="str">
        <f>IF(LEN(TRIM('3_보호자행동'!U66&amp;""))=0,"",'3_보호자행동'!U66)</f>
        <v>자동 초안</v>
      </c>
    </row>
    <row r="22" spans="1:99" ht="81.95" customHeight="1" x14ac:dyDescent="0.3">
      <c r="A22" s="16">
        <v>17</v>
      </c>
      <c r="B22" s="16"/>
      <c r="C22" s="16"/>
      <c r="D22" s="50" t="str">
        <f>IF(COUNT('3_보호자행동'!Z5)=0,"",'3_보호자행동'!Z5)</f>
        <v/>
      </c>
      <c r="E22" s="16" t="str">
        <f>IF(COUNT('3_보호자행동'!Z6)=0,"",'3_보호자행동'!Z6)</f>
        <v/>
      </c>
      <c r="F22" s="16" t="str">
        <f>IF(COUNT('3_보호자행동'!Z9)=0,"",'3_보호자행동'!Z9)</f>
        <v/>
      </c>
      <c r="G22" s="50" t="str">
        <f>IF(AND(OR('3_보호자행동'!Z14=1,'3_보호자행동'!Z14=2),BC22&gt;=2),BA22/BC22,"")</f>
        <v/>
      </c>
      <c r="H22" s="16" t="str">
        <f>IF(AND(OR('3_보호자행동'!Z14=1,'3_보호자행동'!Z14=2),BC22&gt;=2),BB22/BC22,"")</f>
        <v/>
      </c>
      <c r="I22" s="17">
        <f t="shared" si="0"/>
        <v>0</v>
      </c>
      <c r="J22" s="16" t="str">
        <f t="shared" si="1"/>
        <v>자료 부족</v>
      </c>
      <c r="K22" s="16" t="str">
        <f t="shared" si="2"/>
        <v/>
      </c>
      <c r="L22" s="16" t="str">
        <f t="shared" si="3"/>
        <v/>
      </c>
      <c r="M22" s="16" t="str">
        <f>IF(LEN(TRIM('2_개행동'!B86&amp;""))=0,"미판정",IF(OR('2_개행동'!B86="곁에서 안심하는 사이",'2_개행동'!B86="가까이 있어도 안심이 어려운 사이",'2_개행동'!B86="거리를 두고 지내는 사이",'2_개행동'!B86="다가감과 물러섬이 함께 나오는 사이",'2_개행동'!B86="판정보류"),'2_개행동'!B86,"유형 입력 확인"))</f>
        <v>미판정</v>
      </c>
      <c r="N22" s="16" t="str">
        <f>IF(COUNT('2_개행동'!Z18)=0,"",'2_개행동'!Z18)</f>
        <v/>
      </c>
      <c r="O22" s="16" t="str">
        <f>IF(COUNT('2_개행동'!Z47)=0,"",'2_개행동'!Z47)</f>
        <v/>
      </c>
      <c r="P22" s="50" t="str">
        <f>IF(OR('3_보호자행동'!Z13=1,'3_보호자행동'!Z13=2),IF(COUNT('2_개행동'!Z24)=0,"",'2_개행동'!Z24),"")</f>
        <v/>
      </c>
      <c r="Q22" s="16" t="str">
        <f>IF(OR('3_보호자행동'!Z13=1,'3_보호자행동'!Z13=2),IF(COUNT('2_개행동'!Z25)=0,"",'2_개행동'!Z25),"")</f>
        <v/>
      </c>
      <c r="R22" s="51" t="str">
        <f t="shared" si="4"/>
        <v/>
      </c>
      <c r="S22" s="50" t="str">
        <f>IF(COUNT('2_개행동'!Z28)=0,"",'2_개행동'!Z28)</f>
        <v/>
      </c>
      <c r="T22" s="16" t="str">
        <f>IF(COUNT('2_개행동'!Z34)=0,"",'2_개행동'!Z34)</f>
        <v/>
      </c>
      <c r="U22" s="16" t="str">
        <f>IF(COUNT('2_개행동'!Z50)=0,"",'2_개행동'!Z50)</f>
        <v/>
      </c>
      <c r="V22" s="52" t="str">
        <f>IF(AND(COUNT('2_개행동'!Z8,'2_개행동'!Z23)=2,OR('3_보호자행동'!Z12=1,'3_보호자행동'!Z12=2)),ABS('2_개행동'!Z8)-ABS('2_개행동'!Z23),"")</f>
        <v/>
      </c>
      <c r="W22" s="52" t="str">
        <f>IF(COUNT('2_개행동'!Z58,'2_개행동'!Z18)&lt;2,"",ABS('2_개행동'!Z58)-ABS('2_개행동'!Z18))</f>
        <v/>
      </c>
      <c r="X22" s="52"/>
      <c r="Y22" s="16" t="str">
        <f>IF(COUNT('2_개행동'!Z8)=0,"",'2_개행동'!Z8)</f>
        <v/>
      </c>
      <c r="Z22" s="51" t="str">
        <f>IF(COUNT('2_개행동'!Z27)=0,"",'2_개행동'!Z27)</f>
        <v/>
      </c>
      <c r="AA22" s="18"/>
      <c r="AB22" s="16" t="str">
        <f>IF(COUNT('2_개행동'!Z9)=0,"",'2_개행동'!Z9)</f>
        <v/>
      </c>
      <c r="AC22" s="16" t="str">
        <f>IF(COUNT('2_개행동'!Z10)=0,"",'2_개행동'!Z10)</f>
        <v/>
      </c>
      <c r="AD22" s="16" t="str">
        <f>IF(COUNT('2_개행동'!Z18)=0,"",'2_개행동'!Z18)</f>
        <v/>
      </c>
      <c r="AE22" s="16" t="str">
        <f>IF(AND(COUNT('2_개행동'!Z17,'2_개행동'!Z19,'2_개행동'!Z22)=3,OR('3_보호자행동'!Z12=1,'3_보호자행동'!Z12=2)),IF(COUNT('2_개행동'!Z17)=0,0,MAX(0,-'2_개행동'!Z17))+IF(COUNT('2_개행동'!Z19)=0,0,MAX(0,-'2_개행동'!Z19))+IF(COUNT('2_개행동'!Z22)=0,0,MAX(0,-'2_개행동'!Z22)),"")</f>
        <v/>
      </c>
      <c r="AF22" s="16" t="str">
        <f>IF(AND(COUNT('2_개행동'!Z17,'2_개행동'!Z19,'2_개행동'!Z22)=3,OR('3_보호자행동'!Z12=1,'3_보호자행동'!Z12=2)),IF(COUNT('2_개행동'!Z17)=0,0,MAX(0,'2_개행동'!Z17))+IF(COUNT('2_개행동'!Z19)=0,0,MAX(0,'2_개행동'!Z19))+IF(COUNT('2_개행동'!Z22)=0,0,MAX(0,'2_개행동'!Z22)),"")</f>
        <v/>
      </c>
      <c r="AG22" s="40" t="str">
        <f>IF(COUNT('3_보호자행동'!Z14)=0,"조건 미확인",IF('3_보호자행동'!Z14=3,"조건 이탈",IF(BC22&lt;2,"자료 부족",IF(AND(BA22&gt;0,BB22&gt;0),"양방향 관찰",IF(BA22&gt;0,"−방향 관찰",IF(BB22&gt;0,"+방향 관찰","중앙범주만 관찰"))))))</f>
        <v>조건 미확인</v>
      </c>
      <c r="AH22" s="40" t="str">
        <f>IF(COUNT('3_보호자행동'!Z13)=0,"조건 미확인",IF('3_보호자행동'!Z13=3,"조건 이탈",IF(COUNT('2_개행동'!Z24)=0,"자료 부족",CHOOSE('2_개행동'!Z24+3,"−2","−1","0","+1","+2"))))</f>
        <v>조건 미확인</v>
      </c>
      <c r="AI22" s="40" t="str">
        <f>IF(COUNT('2_개행동'!Z28)=0,"자료 부족",CHOOSE('2_개행동'!Z28+3,"−2","−1","0","+1","+2"))</f>
        <v>자료 부족</v>
      </c>
      <c r="AJ22" s="40" t="str">
        <f>IF(COUNT('2_개행동'!Z8,'2_개행동'!Z14,'2_개행동'!Z18,'2_개행동'!Z23,'2_개행동'!Z44,'2_개행동'!Z52,'2_개행동'!Z58)=0,"",IF(COUNT('2_개행동'!Z8)=0,0,IF('2_개행동'!Z8&lt;0,1,0))+IF(COUNT('2_개행동'!Z14)=0,0,IF('2_개행동'!Z14&lt;0,1,0))+IF(COUNT('2_개행동'!Z18)=0,0,IF('2_개행동'!Z18&lt;0,1,0))+IF(COUNT('2_개행동'!Z23)=0,0,IF('2_개행동'!Z23&lt;0,1,0))+IF(COUNT('2_개행동'!Z44)=0,0,IF('2_개행동'!Z44&lt;0,1,0))+IF(COUNT('2_개행동'!Z52)=0,0,IF('2_개행동'!Z52&lt;0,1,0))+IF(COUNT('2_개행동'!Z58)=0,0,IF('2_개행동'!Z58&lt;0,1,0)))</f>
        <v/>
      </c>
      <c r="AK22" s="40" t="str">
        <f>IF(COUNT('2_개행동'!Z8,'2_개행동'!Z14,'2_개행동'!Z18,'2_개행동'!Z23,'2_개행동'!Z44,'2_개행동'!Z52,'2_개행동'!Z58)=0,"",IF(COUNT('2_개행동'!Z8)=0,0,IF('2_개행동'!Z8&gt;0,1,0))+IF(COUNT('2_개행동'!Z14)=0,0,IF('2_개행동'!Z14&gt;0,1,0))+IF(COUNT('2_개행동'!Z18)=0,0,IF('2_개행동'!Z18&gt;0,1,0))+IF(COUNT('2_개행동'!Z23)=0,0,IF('2_개행동'!Z23&gt;0,1,0))+IF(COUNT('2_개행동'!Z44)=0,0,IF('2_개행동'!Z44&gt;0,1,0))+IF(COUNT('2_개행동'!Z52)=0,0,IF('2_개행동'!Z52&gt;0,1,0))+IF(COUNT('2_개행동'!Z58)=0,0,IF('2_개행동'!Z58&gt;0,1,0)))</f>
        <v/>
      </c>
      <c r="AL22" s="40" t="str">
        <f>IF(COUNT('2_개행동'!Z8,'2_개행동'!Z14,'2_개행동'!Z18,'2_개행동'!Z23,'2_개행동'!Z44,'2_개행동'!Z52,'2_개행동'!Z58)&lt;1,"자료 부족",IF(AND(AJ22&gt;0,AK22&gt;0),"양방향 관찰",IF(AJ22&gt;0,"−방향 관찰",IF(AK22&gt;0,"+방향 관찰","중앙범주만 관찰"))))</f>
        <v>자료 부족</v>
      </c>
      <c r="AM22" s="40" t="str">
        <f>IF(AND(COUNT('2_개행동'!Z30,'2_개행동'!Z34)=2,OR('3_보호자행동'!Z14=1,'3_보호자행동'!Z14=2)),IF('2_개행동'!Z30='2_개행동'!Z34,"같은 범주","범주 변화"),"비교 보류")</f>
        <v>비교 보류</v>
      </c>
      <c r="AN22" s="40" t="str">
        <f>IF(COUNT('2_개행동'!Z5)=0,"자료 부족",CHOOSE('2_개행동'!Z5+3,"−2","−1","0","+1","+2"))</f>
        <v>자료 부족</v>
      </c>
      <c r="AO22" s="40" t="str">
        <f>IF(COUNT('3_보호자행동'!Z13)=0,"조건 미확인",IF('3_보호자행동'!Z13=3,"조건 이탈",IF(COUNT('2_개행동'!Z25)=0,"자료 부족",CHOOSE('2_개행동'!Z25+3,"−2","−1","0","+1","+2"))))</f>
        <v>조건 미확인</v>
      </c>
      <c r="AP22" s="40" t="str">
        <f>IF(COUNT('1_바디시그널'!Z7,'1_바디시그널'!Z38)&lt;2,"",'1_바디시그널'!Z7-'1_바디시그널'!Z38)</f>
        <v/>
      </c>
      <c r="AQ22" s="38" t="str">
        <f>IF(LEN(TRIM('3_보호자행동'!T67&amp;""))=0,"",'3_보호자행동'!T67)</f>
        <v>판정보류</v>
      </c>
      <c r="AR22" s="38" t="str">
        <f>IF('3_보호자행동'!U67&lt;&gt;"채점자 선택","",IF(LEN(TRIM('3_보호자행동'!C67&amp;""))=0,"",'3_보호자행동'!C67))</f>
        <v/>
      </c>
      <c r="AS22" s="38" t="str">
        <f>'3_보호자행동'!I67</f>
        <v>자동 · 판정보류</v>
      </c>
      <c r="AT22" s="38" t="str">
        <f>IF('3_보호자행동'!U67="채점자 선택",'3_보호자행동'!G67,"")</f>
        <v/>
      </c>
      <c r="AU22" s="40" t="str">
        <f>IF(COUNT('3_보호자행동'!Z12)=0,"조건 미확인",IF('3_보호자행동'!Z12=3,"조건 이탈",IF(COUNT(AE22,AF22,'2_개행동'!Z18)&lt;3,"자료 부족",IF(AND(AE22&gt;=2,AF22&gt;=2),"접촉·거리 반응 혼재",IF(ABS('2_개행동'!Z18)=2,"재회 몸 상태 지속",IF(AF22&gt;=3,"거리 유지 관찰",IF(AE22&gt;=4,"접촉 유지 관찰","기준상 뚜렷한 치우침 없음")))))))</f>
        <v>조건 미확인</v>
      </c>
      <c r="AV22" s="40" t="str">
        <f>"발성량: 혼자 "&amp;IF(COUNT('2_개행동'!Z11)=0,"미확인",TEXT('2_개행동'!Z11,"0"))&amp;" / 재회 "&amp;IF(COUNT('2_개행동'!Z47)=0,"미확인",TEXT('2_개행동'!Z47,"0"))&amp;" / 무시 "&amp;IF(COUNT('2_개행동'!Z48)=0,"미확인",TEXT('2_개행동'!Z48,"0"))&amp;" · 접근 변화 사건 "&amp;IF(COUNT('2_개행동'!Z21)=0,"미확인",TEXT('2_개행동'!Z21,"0"))</f>
        <v>발성량: 혼자 미확인 / 재회 미확인 / 무시 미확인 · 접근 변화 사건 미확인</v>
      </c>
      <c r="AW22" s="40" t="str">
        <f>IF(AND(OR('3_보호자행동'!Z14=1,'3_보호자행동'!Z14=2),BC22&gt;=2),(IF(COUNT('2_개행동'!Z5)=0,0,100-50*ABS('2_개행동'!Z5))+IF(COUNT('2_개행동'!Z6)=0,0,100-50*ABS('2_개행동'!Z6))+IF(COUNT('2_개행동'!Z30)=0,0,100-50*ABS('2_개행동'!Z30)))/BC22,"")</f>
        <v/>
      </c>
      <c r="AX22" s="40" t="str">
        <f>IF(BF22&gt;=4,(IF(COUNT('2_개행동'!Z13)=0,0,100-50*ABS('2_개행동'!Z13))+IF(COUNT('2_개행동'!Z14)=0,0,100-50*ABS('2_개행동'!Z14))+IF(COUNT('2_개행동'!Z15)=0,0,100-50*ABS('2_개행동'!Z15))+IF(COUNT('2_개행동'!Z51)=0,0,100-50*ABS('2_개행동'!Z51))+IF(COUNT('2_개행동'!Z52)=0,0,100-50*ABS('2_개행동'!Z52))+IF(COUNT('2_개행동'!Z54)=0,0,100-50*ABS('2_개행동'!Z54))+IF(COUNT('2_개행동'!Z55)=0,0,100-50*ABS('2_개행동'!Z55)))/BF22,"")</f>
        <v/>
      </c>
      <c r="AY22" s="40" t="str">
        <f t="shared" si="5"/>
        <v/>
      </c>
      <c r="AZ22" s="40" t="str">
        <f>IF(COUNT('2_개행동'!Z48)=0,"",'2_개행동'!Z48)</f>
        <v/>
      </c>
      <c r="BA22" s="40" t="str">
        <f>IF(COUNT('2_개행동'!Z5,'2_개행동'!Z6,'2_개행동'!Z30)=0,"",IF(COUNT('2_개행동'!Z5)=0,0,MAX(0,-'2_개행동'!Z5))+IF(COUNT('2_개행동'!Z6)=0,0,MAX(0,-'2_개행동'!Z6))+IF(COUNT('2_개행동'!Z30)=0,0,MAX(0,-'2_개행동'!Z30)))</f>
        <v/>
      </c>
      <c r="BB22" s="40" t="str">
        <f>IF(COUNT('2_개행동'!Z5,'2_개행동'!Z6,'2_개행동'!Z30)=0,"",IF(COUNT('2_개행동'!Z5)=0,0,MAX(0,'2_개행동'!Z5))+IF(COUNT('2_개행동'!Z6)=0,0,MAX(0,'2_개행동'!Z6))+IF(COUNT('2_개행동'!Z30)=0,0,MAX(0,'2_개행동'!Z30)))</f>
        <v/>
      </c>
      <c r="BC22" s="40">
        <f>COUNT('2_개행동'!Z5,'2_개행동'!Z6,'2_개행동'!Z30)</f>
        <v>0</v>
      </c>
      <c r="BD22" s="40" t="str">
        <f>IF(COUNT('2_개행동'!Z13,'2_개행동'!Z14,'2_개행동'!Z15,'2_개행동'!Z51,'2_개행동'!Z52,'2_개행동'!Z54,'2_개행동'!Z55)=0,"",IF(COUNT('2_개행동'!Z13)=0,0,MAX(0,-'2_개행동'!Z13))+IF(COUNT('2_개행동'!Z14)=0,0,MAX(0,-'2_개행동'!Z14))+IF(COUNT('2_개행동'!Z15)=0,0,MAX(0,-'2_개행동'!Z15))+IF(COUNT('2_개행동'!Z51)=0,0,MAX(0,-'2_개행동'!Z51))+IF(COUNT('2_개행동'!Z52)=0,0,MAX(0,-'2_개행동'!Z52))+IF(COUNT('2_개행동'!Z54)=0,0,MAX(0,-'2_개행동'!Z54))+IF(COUNT('2_개행동'!Z55)=0,0,MAX(0,-'2_개행동'!Z55)))</f>
        <v/>
      </c>
      <c r="BE22" s="40" t="str">
        <f>IF(COUNT('2_개행동'!Z13,'2_개행동'!Z14,'2_개행동'!Z15,'2_개행동'!Z51,'2_개행동'!Z52,'2_개행동'!Z54,'2_개행동'!Z55)=0,"",IF(COUNT('2_개행동'!Z13)=0,0,MAX(0,'2_개행동'!Z13))+IF(COUNT('2_개행동'!Z14)=0,0,MAX(0,'2_개행동'!Z14))+IF(COUNT('2_개행동'!Z15)=0,0,MAX(0,'2_개행동'!Z15))+IF(COUNT('2_개행동'!Z51)=0,0,MAX(0,'2_개행동'!Z51))+IF(COUNT('2_개행동'!Z52)=0,0,MAX(0,'2_개행동'!Z52))+IF(COUNT('2_개행동'!Z54)=0,0,MAX(0,'2_개행동'!Z54))+IF(COUNT('2_개행동'!Z55)=0,0,MAX(0,'2_개행동'!Z55)))</f>
        <v/>
      </c>
      <c r="BF22" s="40">
        <f>COUNT('2_개행동'!Z13,'2_개행동'!Z14,'2_개행동'!Z15,'2_개행동'!Z51,'2_개행동'!Z52,'2_개행동'!Z54,'2_개행동'!Z55)</f>
        <v>0</v>
      </c>
      <c r="BG22" s="38" t="str">
        <f>IF(LEN(TRIM('2_개행동'!C86&amp;""))=0,"",'2_개행동'!C86)</f>
        <v/>
      </c>
      <c r="BH22" s="38" t="str">
        <f>IF(LEN(TRIM('2_개행동'!G86&amp;""))=0,"",'2_개행동'!G86)</f>
        <v/>
      </c>
      <c r="BI22" s="38" t="str">
        <f>'2_개행동'!I86</f>
        <v>미판정</v>
      </c>
      <c r="BJ22" s="38" t="str">
        <f>IF(M22="미판정","애착유형 미판정",IF(M22="유형 입력 확인","유형 입력을 확인해 주세요.",IF(LEN(TRIM(BG22&amp;""))=0,IF(M22="판정보류","판정보류 사유를 입력해 주세요.","관찰 근거 미기록: 유형 설명 보류"),IF(M22="곁에서 안심하는 사이",성향문장!C49,IF(M22="가까이 있어도 안심이 어려운 사이",성향문장!C50,IF(M22="거리를 두고 지내는 사이",성향문장!C51,IF(M22="다가감과 물러섬이 함께 나오는 사이",성향문장!C52,성향문장!C53)))))))</f>
        <v>애착유형 미판정</v>
      </c>
      <c r="BK22" s="37" t="str">
        <f>IF(COUNT('3_보호자행동'!Z12)=0,"조건 미확인",IF('3_보호자행동'!Z12=3,"조건 이탈",IF(COUNT('2_개행동'!Z9,'2_개행동'!Z17,'2_개행동'!Z18,'2_개행동'!Z19,'2_개행동'!Z22)&lt;5,"자료 부족",IF(N('2_개행동'!Z21)&gt;=2,"접근이 여러 번 바뀜 — 한 서술로 묶지 않음",IF(AND($AE22&gt;=2,$AF22&gt;=2),"섞여 있음",IF(-'2_개행동'!Z9&gt;=1,IF(ABS('2_개행동'!Z18)&lt;=1,IF($AF22&gt;=$AE22,"없을 때 흔들 → 있을 때 가라앉고 자기 일","없을 때 흔들 → 있을 때 가라앉고 곁에 붙음"),"없을 때 흔들 → 있을 때도 못 가라앉음"),IF($AE22&gt;=2,"없을 때 담담 → 있을 때 곁에 붙음","없을 때도 있을 때도 비슷")))))))</f>
        <v>조건 미확인</v>
      </c>
      <c r="BL22" s="37" t="str">
        <f>IF(OR(COUNT('1_바디시그널'!Z$5)=0,COUNT('1_바디시그널'!Z$38)=0),"",'1_바디시그널'!Z$5-'1_바디시그널'!Z$38)</f>
        <v/>
      </c>
      <c r="BM22" s="37" t="str">
        <f>IF(OR(COUNT('1_바디시그널'!Z$9)=0,COUNT('1_바디시그널'!Z$38)=0),"",'1_바디시그널'!Z$9-'1_바디시그널'!Z$38)</f>
        <v/>
      </c>
      <c r="BN22" s="37" t="str">
        <f>IF(OR(COUNT('1_바디시그널'!Z$11)=0,COUNT('1_바디시그널'!Z$38)=0),"",'1_바디시그널'!Z$11-'1_바디시그널'!Z$38)</f>
        <v/>
      </c>
      <c r="BO22" s="37" t="str">
        <f>IF(OR(COUNT('1_바디시그널'!Z$13)=0,COUNT('1_바디시그널'!Z$38)=0),"",'1_바디시그널'!Z$13-'1_바디시그널'!Z$38)</f>
        <v/>
      </c>
      <c r="BP22" s="37" t="str">
        <f>IF(OR(COUNT('1_바디시그널'!Z$39)=0,COUNT('1_바디시그널'!Z$38)=0),"",'1_바디시그널'!Z$39-'1_바디시그널'!Z$38)</f>
        <v/>
      </c>
      <c r="BQ22" s="37" t="str">
        <f>IF(OR(COUNT('1_바디시그널'!Z$43)=0,COUNT('1_바디시그널'!Z$38)=0),"",'1_바디시그널'!Z$43-'1_바디시그널'!Z$38)</f>
        <v/>
      </c>
      <c r="BR22" s="37" t="str">
        <f>IF(OR(COUNT('1_바디시그널'!Z$44)=0,COUNT('1_바디시그널'!Z$38)=0),"",'1_바디시그널'!Z$44-'1_바디시그널'!Z$38)</f>
        <v/>
      </c>
      <c r="BS22" s="37" t="str">
        <f>IF(OR(COUNT('1_바디시그널'!Z$45)=0,COUNT('1_바디시그널'!Z$38)=0),"",'1_바디시그널'!Z$45-'1_바디시그널'!Z$38)</f>
        <v/>
      </c>
      <c r="BT22" s="37" t="str">
        <f>IF(OR(COUNT('1_바디시그널'!Z$41)=0,COUNT('1_바디시그널'!Z$40)=0),"",'1_바디시그널'!Z$41-'1_바디시그널'!Z$40)</f>
        <v/>
      </c>
      <c r="BU22" s="37" t="str">
        <f>IF(OR(COUNT('1_바디시그널'!Z$42)=0,COUNT('1_바디시그널'!Z$40)=0),"",'1_바디시그널'!Z$42-'1_바디시그널'!Z$40)</f>
        <v/>
      </c>
      <c r="BV22" s="37">
        <f>N('2_개행동'!Z$5&lt;=-1)+N('2_개행동'!Z$6&lt;=-1)+IF(AND(COUNT('2_개행동'!Z$30)=1,COUNT('3_보호자행동'!Z$14)=1,'3_보호자행동'!Z$14&lt;=2),N('2_개행동'!Z$30&lt;=-1),0)</f>
        <v>0</v>
      </c>
      <c r="BW22" s="37">
        <f>N('2_개행동'!Z$5&gt;=1)+N('2_개행동'!Z$6&gt;=1)+IF(AND(COUNT('2_개행동'!Z$30)=1,COUNT('3_보호자행동'!Z$14)=1,'3_보호자행동'!Z$14&lt;=2),N('2_개행동'!Z$30&gt;=1),0)</f>
        <v>0</v>
      </c>
      <c r="BX22" s="37">
        <f>COUNT('2_개행동'!Z$5,'2_개행동'!Z$6)+IF(AND(COUNT('2_개행동'!Z$30)=1,COUNT('3_보호자행동'!Z$14)=1,'3_보호자행동'!Z$14&lt;=2),1,0)</f>
        <v>0</v>
      </c>
      <c r="BY22" s="37" t="str">
        <f t="shared" si="6"/>
        <v>자료 부족</v>
      </c>
      <c r="BZ22" s="37" t="str">
        <f>"문 "&amp;IF(COUNT('2_개행동'!Z$5)=0,"미확인",SUBSTITUTE(TEXT('2_개행동'!Z$5,"+0;-0;0"),"-","−"))&amp;" · 바닥 "&amp;IF(COUNT('2_개행동'!Z$6)=0,"미확인",SUBSTITUTE(TEXT('2_개행동'!Z$6,"+0;-0;0"),"-","−"))&amp;" · 물건 "&amp;IF(AND(COUNT('2_개행동'!Z$30)=1,COUNT('3_보호자행동'!Z$14)=1,'3_보호자행동'!Z$14&lt;=2),IF(COUNT('2_개행동'!Z$30)=0,"미확인",SUBSTITUTE(TEXT('2_개행동'!Z$30,"+0;-0;0"),"-","−")),"보류")&amp;"  /  꼬리 기준대비 입장 "&amp;IF(COUNT($BL22)=0,"미확인",SUBSTITUTE(TEXT($BL22,"+0;-0;0"),"-","−"))&amp;" · 바닥 "&amp;IF(COUNT($AP22)=0,"미확인",SUBSTITUTE(TEXT($AP22,"+0;-0;0"),"-","−"))&amp;" · 물건 "&amp;IF(COUNT($BR22)=0,"미확인",SUBSTITUTE(TEXT($BR22,"+0;-0;0"),"-","−"))&amp;"  /  긴장 신호 "&amp;IF(COUNT('1_바디시그널'!Z$14,'1_바디시그널'!Z$15,'1_바디시그널'!Z$16)=0,"미확인",TEXT(SUM('1_바디시그널'!Z$14,'1_바디시그널'!Z$15,'1_바디시그널'!Z$16),"0")&amp;"회")&amp;"  /  냄새 "&amp;IF(COUNT('2_개행동'!Z$7)=0,"미확인",IF('2_개행동'!Z$7=0,"씀","안 씀"))</f>
        <v>문 미확인 · 바닥 미확인 · 물건 보류  /  꼬리 기준대비 입장 미확인 · 바닥 미확인 · 물건 미확인  /  긴장 신호 미확인  /  냄새 미확인</v>
      </c>
      <c r="CA22" s="37" t="str">
        <f>IF(AND('6_행사전문가의견'!E296="완료",OR('6_행사전문가의견'!B298="주저함 · 거리를 벌림",'6_행사전문가의견'!B298="뚜렷한 치우침 없음",'6_행사전문가의견'!B298="살피지 않고 들이닥침",'6_행사전문가의견'!B298="자극에 따라 다름",'6_행사전문가의견'!B298="판단보류"),LEN(TRIM('6_행사전문가의견'!B299&amp;""))&gt;0),'6_행사전문가의견'!B298,"")</f>
        <v/>
      </c>
      <c r="CB22" s="37" t="str">
        <f>IF(AND('6_행사전문가의견'!E296="완료",OR('6_행사전문가의견'!B298="주저함 · 거리를 벌림",'6_행사전문가의견'!B298="뚜렷한 치우침 없음",'6_행사전문가의견'!B298="살피지 않고 들이닥침",'6_행사전문가의견'!B298="자극에 따라 다름",'6_행사전문가의견'!B298="판단보류"),LEN(TRIM('6_행사전문가의견'!B299&amp;""))&gt;0),'6_행사전문가의견'!B299,"")</f>
        <v/>
      </c>
      <c r="CC22" s="37" t="str">
        <f t="shared" si="7"/>
        <v>자료 부족</v>
      </c>
      <c r="CD22" s="38" t="str">
        <f>IF('6_행사전문가의견'!E296&lt;&gt;"완료","",IF(LEN(TRIM('6_행사전문가의견'!D289&amp;""))=0,"",'6_행사전문가의견'!D289))</f>
        <v/>
      </c>
      <c r="CE22" s="38" t="str">
        <f>IF('6_행사전문가의견'!E296&lt;&gt;"완료","",IF(LEN(TRIM('6_행사전문가의견'!D290&amp;""))=0,"",'6_행사전문가의견'!D290))</f>
        <v/>
      </c>
      <c r="CF22" s="38" t="str">
        <f>IF('6_행사전문가의견'!E296&lt;&gt;"완료","",IF(LEN(TRIM('6_행사전문가의견'!D291&amp;""))=0,"",'6_행사전문가의견'!D291))</f>
        <v/>
      </c>
      <c r="CG22" s="38" t="str">
        <f>IF('6_행사전문가의견'!E296&lt;&gt;"완료","",IF(LEN(TRIM('6_행사전문가의견'!D293&amp;""))=0,"",'6_행사전문가의견'!D293))</f>
        <v/>
      </c>
      <c r="CH22" s="38" t="str">
        <f>IF('6_행사전문가의견'!E296&lt;&gt;"완료","",IF(LEN(TRIM('6_행사전문가의견'!D295&amp;""))=0,"",'6_행사전문가의견'!D295))</f>
        <v/>
      </c>
      <c r="CI22" s="38" t="str">
        <f>IF('6_행사전문가의견'!E296&lt;&gt;"완료","",IF(LEN(TRIM('6_행사전문가의견'!C287&amp;""))=0,"",'6_행사전문가의견'!C287))</f>
        <v/>
      </c>
      <c r="CJ22" s="38" t="str">
        <f>'6_행사전문가의견'!E296</f>
        <v>미작성</v>
      </c>
      <c r="CK22" s="37" t="str">
        <f>'2_개행동'!Z60</f>
        <v>미채점</v>
      </c>
      <c r="CL22" s="40" t="str">
        <f>IF(LEN(TRIM(CD22&amp;""))&gt;0,CD22,"분리 초기: "&amp;IF(COUNT('2_개행동'!Z$9)=0,"자료 부족",INDEX('2_개행동'!$C$9:$G$9,1,'2_개행동'!Z$9+3))&amp;" / 분리 이후: "&amp;IF(COUNT('2_개행동'!Z$10)=0,"자료 부족",INDEX('2_개행동'!$C$10:$G$10,1,'2_개행동'!Z$10+3))&amp;" / 변화: "&amp;CK22&amp;" / 분리·재회·무시 보조: "&amp;BK22&amp;" / 재회·무시 패턴: "&amp;AU22&amp;IF(M22="미판정",""," / 기본 유형: "&amp;M22&amp;IF(LEN(TRIM(BG22&amp;""))&gt;0," / 근거: "&amp;BG22,"")))</f>
        <v>분리 초기: 자료 부족 / 분리 이후: 자료 부족 / 변화: 미채점 / 분리·재회·무시 보조: 조건 미확인 / 재회·무시 패턴: 조건 미확인</v>
      </c>
      <c r="CM22" s="40" t="str">
        <f>IF(LEN(TRIM(CE22&amp;""))&gt;0,CE22,IF(LEN(TRIM(AQ22&amp;""))=0,"",AQ22&amp;IF(LEN(TRIM(AR22&amp;""))&gt;0,". "&amp;AR22,IF(COUNT('3_보호자행동'!P67)=0," (자동 초안 · 근거 비율 미산출)"," (자동 초안 · 허용 "&amp;TEXT('3_보호자행동'!P67,"0.00")&amp;" / 조율 "&amp;TEXT('3_보호자행동'!Q67,"0.00")&amp;" / 통제 "&amp;TEXT('3_보호자행동'!R67,"0.00")&amp;")"))))</f>
        <v>판정보류 (자동 초안 · 근거 비율 미산출)</v>
      </c>
      <c r="CN22" s="40" t="str">
        <f t="shared" si="8"/>
        <v>자료 부족</v>
      </c>
      <c r="CO22" s="40" t="str">
        <f t="shared" si="9"/>
        <v>조건 미확인</v>
      </c>
      <c r="CP22" s="40" t="str">
        <f t="shared" si="10"/>
        <v/>
      </c>
      <c r="CQ22" s="40" t="str">
        <f>IF('6_행사전문가의견'!E296&lt;&gt;"완료","",IF(LEN(TRIM('6_행사전문가의견'!D292&amp;""))=0,"",'6_행사전문가의견'!D292))</f>
        <v/>
      </c>
      <c r="CR22" s="40" t="str">
        <f>IF('6_행사전문가의견'!E296&lt;&gt;"완료","",IF(LEN(TRIM('6_행사전문가의견'!D294&amp;""))=0,"",'6_행사전문가의견'!D294))</f>
        <v/>
      </c>
      <c r="CS22" s="40" t="str">
        <f t="shared" si="11"/>
        <v/>
      </c>
      <c r="CT22" s="40" t="str">
        <f t="shared" si="12"/>
        <v/>
      </c>
      <c r="CU22" s="37" t="str">
        <f>IF(LEN(TRIM('3_보호자행동'!U67&amp;""))=0,"",'3_보호자행동'!U67)</f>
        <v>자동 초안</v>
      </c>
    </row>
    <row r="23" spans="1:99" ht="81.95" customHeight="1" x14ac:dyDescent="0.3">
      <c r="A23" s="16">
        <v>18</v>
      </c>
      <c r="B23" s="16"/>
      <c r="C23" s="16"/>
      <c r="D23" s="50" t="str">
        <f>IF(COUNT('3_보호자행동'!AA5)=0,"",'3_보호자행동'!AA5)</f>
        <v/>
      </c>
      <c r="E23" s="16" t="str">
        <f>IF(COUNT('3_보호자행동'!AA6)=0,"",'3_보호자행동'!AA6)</f>
        <v/>
      </c>
      <c r="F23" s="16" t="str">
        <f>IF(COUNT('3_보호자행동'!AA9)=0,"",'3_보호자행동'!AA9)</f>
        <v/>
      </c>
      <c r="G23" s="50" t="str">
        <f>IF(AND(OR('3_보호자행동'!AA14=1,'3_보호자행동'!AA14=2),BC23&gt;=2),BA23/BC23,"")</f>
        <v/>
      </c>
      <c r="H23" s="16" t="str">
        <f>IF(AND(OR('3_보호자행동'!AA14=1,'3_보호자행동'!AA14=2),BC23&gt;=2),BB23/BC23,"")</f>
        <v/>
      </c>
      <c r="I23" s="17">
        <f t="shared" si="0"/>
        <v>0</v>
      </c>
      <c r="J23" s="16" t="str">
        <f t="shared" si="1"/>
        <v>자료 부족</v>
      </c>
      <c r="K23" s="16" t="str">
        <f t="shared" si="2"/>
        <v/>
      </c>
      <c r="L23" s="16" t="str">
        <f t="shared" si="3"/>
        <v/>
      </c>
      <c r="M23" s="16" t="str">
        <f>IF(LEN(TRIM('2_개행동'!B87&amp;""))=0,"미판정",IF(OR('2_개행동'!B87="곁에서 안심하는 사이",'2_개행동'!B87="가까이 있어도 안심이 어려운 사이",'2_개행동'!B87="거리를 두고 지내는 사이",'2_개행동'!B87="다가감과 물러섬이 함께 나오는 사이",'2_개행동'!B87="판정보류"),'2_개행동'!B87,"유형 입력 확인"))</f>
        <v>미판정</v>
      </c>
      <c r="N23" s="16" t="str">
        <f>IF(COUNT('2_개행동'!AA18)=0,"",'2_개행동'!AA18)</f>
        <v/>
      </c>
      <c r="O23" s="16" t="str">
        <f>IF(COUNT('2_개행동'!AA47)=0,"",'2_개행동'!AA47)</f>
        <v/>
      </c>
      <c r="P23" s="50" t="str">
        <f>IF(OR('3_보호자행동'!AA13=1,'3_보호자행동'!AA13=2),IF(COUNT('2_개행동'!AA24)=0,"",'2_개행동'!AA24),"")</f>
        <v/>
      </c>
      <c r="Q23" s="16" t="str">
        <f>IF(OR('3_보호자행동'!AA13=1,'3_보호자행동'!AA13=2),IF(COUNT('2_개행동'!AA25)=0,"",'2_개행동'!AA25),"")</f>
        <v/>
      </c>
      <c r="R23" s="51" t="str">
        <f t="shared" si="4"/>
        <v/>
      </c>
      <c r="S23" s="50" t="str">
        <f>IF(COUNT('2_개행동'!AA28)=0,"",'2_개행동'!AA28)</f>
        <v/>
      </c>
      <c r="T23" s="16" t="str">
        <f>IF(COUNT('2_개행동'!AA34)=0,"",'2_개행동'!AA34)</f>
        <v/>
      </c>
      <c r="U23" s="16" t="str">
        <f>IF(COUNT('2_개행동'!AA50)=0,"",'2_개행동'!AA50)</f>
        <v/>
      </c>
      <c r="V23" s="52" t="str">
        <f>IF(AND(COUNT('2_개행동'!AA8,'2_개행동'!AA23)=2,OR('3_보호자행동'!AA12=1,'3_보호자행동'!AA12=2)),ABS('2_개행동'!AA8)-ABS('2_개행동'!AA23),"")</f>
        <v/>
      </c>
      <c r="W23" s="52" t="str">
        <f>IF(COUNT('2_개행동'!AA58,'2_개행동'!AA18)&lt;2,"",ABS('2_개행동'!AA58)-ABS('2_개행동'!AA18))</f>
        <v/>
      </c>
      <c r="X23" s="52"/>
      <c r="Y23" s="16" t="str">
        <f>IF(COUNT('2_개행동'!AA8)=0,"",'2_개행동'!AA8)</f>
        <v/>
      </c>
      <c r="Z23" s="51" t="str">
        <f>IF(COUNT('2_개행동'!AA27)=0,"",'2_개행동'!AA27)</f>
        <v/>
      </c>
      <c r="AA23" s="18"/>
      <c r="AB23" s="16" t="str">
        <f>IF(COUNT('2_개행동'!AA9)=0,"",'2_개행동'!AA9)</f>
        <v/>
      </c>
      <c r="AC23" s="16" t="str">
        <f>IF(COUNT('2_개행동'!AA10)=0,"",'2_개행동'!AA10)</f>
        <v/>
      </c>
      <c r="AD23" s="16" t="str">
        <f>IF(COUNT('2_개행동'!AA18)=0,"",'2_개행동'!AA18)</f>
        <v/>
      </c>
      <c r="AE23" s="16" t="str">
        <f>IF(AND(COUNT('2_개행동'!AA17,'2_개행동'!AA19,'2_개행동'!AA22)=3,OR('3_보호자행동'!AA12=1,'3_보호자행동'!AA12=2)),IF(COUNT('2_개행동'!AA17)=0,0,MAX(0,-'2_개행동'!AA17))+IF(COUNT('2_개행동'!AA19)=0,0,MAX(0,-'2_개행동'!AA19))+IF(COUNT('2_개행동'!AA22)=0,0,MAX(0,-'2_개행동'!AA22)),"")</f>
        <v/>
      </c>
      <c r="AF23" s="16" t="str">
        <f>IF(AND(COUNT('2_개행동'!AA17,'2_개행동'!AA19,'2_개행동'!AA22)=3,OR('3_보호자행동'!AA12=1,'3_보호자행동'!AA12=2)),IF(COUNT('2_개행동'!AA17)=0,0,MAX(0,'2_개행동'!AA17))+IF(COUNT('2_개행동'!AA19)=0,0,MAX(0,'2_개행동'!AA19))+IF(COUNT('2_개행동'!AA22)=0,0,MAX(0,'2_개행동'!AA22)),"")</f>
        <v/>
      </c>
      <c r="AG23" s="40" t="str">
        <f>IF(COUNT('3_보호자행동'!AA14)=0,"조건 미확인",IF('3_보호자행동'!AA14=3,"조건 이탈",IF(BC23&lt;2,"자료 부족",IF(AND(BA23&gt;0,BB23&gt;0),"양방향 관찰",IF(BA23&gt;0,"−방향 관찰",IF(BB23&gt;0,"+방향 관찰","중앙범주만 관찰"))))))</f>
        <v>조건 미확인</v>
      </c>
      <c r="AH23" s="40" t="str">
        <f>IF(COUNT('3_보호자행동'!AA13)=0,"조건 미확인",IF('3_보호자행동'!AA13=3,"조건 이탈",IF(COUNT('2_개행동'!AA24)=0,"자료 부족",CHOOSE('2_개행동'!AA24+3,"−2","−1","0","+1","+2"))))</f>
        <v>조건 미확인</v>
      </c>
      <c r="AI23" s="40" t="str">
        <f>IF(COUNT('2_개행동'!AA28)=0,"자료 부족",CHOOSE('2_개행동'!AA28+3,"−2","−1","0","+1","+2"))</f>
        <v>자료 부족</v>
      </c>
      <c r="AJ23" s="40" t="str">
        <f>IF(COUNT('2_개행동'!AA8,'2_개행동'!AA14,'2_개행동'!AA18,'2_개행동'!AA23,'2_개행동'!AA44,'2_개행동'!AA52,'2_개행동'!AA58)=0,"",IF(COUNT('2_개행동'!AA8)=0,0,IF('2_개행동'!AA8&lt;0,1,0))+IF(COUNT('2_개행동'!AA14)=0,0,IF('2_개행동'!AA14&lt;0,1,0))+IF(COUNT('2_개행동'!AA18)=0,0,IF('2_개행동'!AA18&lt;0,1,0))+IF(COUNT('2_개행동'!AA23)=0,0,IF('2_개행동'!AA23&lt;0,1,0))+IF(COUNT('2_개행동'!AA44)=0,0,IF('2_개행동'!AA44&lt;0,1,0))+IF(COUNT('2_개행동'!AA52)=0,0,IF('2_개행동'!AA52&lt;0,1,0))+IF(COUNT('2_개행동'!AA58)=0,0,IF('2_개행동'!AA58&lt;0,1,0)))</f>
        <v/>
      </c>
      <c r="AK23" s="40" t="str">
        <f>IF(COUNT('2_개행동'!AA8,'2_개행동'!AA14,'2_개행동'!AA18,'2_개행동'!AA23,'2_개행동'!AA44,'2_개행동'!AA52,'2_개행동'!AA58)=0,"",IF(COUNT('2_개행동'!AA8)=0,0,IF('2_개행동'!AA8&gt;0,1,0))+IF(COUNT('2_개행동'!AA14)=0,0,IF('2_개행동'!AA14&gt;0,1,0))+IF(COUNT('2_개행동'!AA18)=0,0,IF('2_개행동'!AA18&gt;0,1,0))+IF(COUNT('2_개행동'!AA23)=0,0,IF('2_개행동'!AA23&gt;0,1,0))+IF(COUNT('2_개행동'!AA44)=0,0,IF('2_개행동'!AA44&gt;0,1,0))+IF(COUNT('2_개행동'!AA52)=0,0,IF('2_개행동'!AA52&gt;0,1,0))+IF(COUNT('2_개행동'!AA58)=0,0,IF('2_개행동'!AA58&gt;0,1,0)))</f>
        <v/>
      </c>
      <c r="AL23" s="40" t="str">
        <f>IF(COUNT('2_개행동'!AA8,'2_개행동'!AA14,'2_개행동'!AA18,'2_개행동'!AA23,'2_개행동'!AA44,'2_개행동'!AA52,'2_개행동'!AA58)&lt;1,"자료 부족",IF(AND(AJ23&gt;0,AK23&gt;0),"양방향 관찰",IF(AJ23&gt;0,"−방향 관찰",IF(AK23&gt;0,"+방향 관찰","중앙범주만 관찰"))))</f>
        <v>자료 부족</v>
      </c>
      <c r="AM23" s="40" t="str">
        <f>IF(AND(COUNT('2_개행동'!AA30,'2_개행동'!AA34)=2,OR('3_보호자행동'!AA14=1,'3_보호자행동'!AA14=2)),IF('2_개행동'!AA30='2_개행동'!AA34,"같은 범주","범주 변화"),"비교 보류")</f>
        <v>비교 보류</v>
      </c>
      <c r="AN23" s="40" t="str">
        <f>IF(COUNT('2_개행동'!AA5)=0,"자료 부족",CHOOSE('2_개행동'!AA5+3,"−2","−1","0","+1","+2"))</f>
        <v>자료 부족</v>
      </c>
      <c r="AO23" s="40" t="str">
        <f>IF(COUNT('3_보호자행동'!AA13)=0,"조건 미확인",IF('3_보호자행동'!AA13=3,"조건 이탈",IF(COUNT('2_개행동'!AA25)=0,"자료 부족",CHOOSE('2_개행동'!AA25+3,"−2","−1","0","+1","+2"))))</f>
        <v>조건 미확인</v>
      </c>
      <c r="AP23" s="40" t="str">
        <f>IF(COUNT('1_바디시그널'!AA7,'1_바디시그널'!AA38)&lt;2,"",'1_바디시그널'!AA7-'1_바디시그널'!AA38)</f>
        <v/>
      </c>
      <c r="AQ23" s="38" t="str">
        <f>IF(LEN(TRIM('3_보호자행동'!T68&amp;""))=0,"",'3_보호자행동'!T68)</f>
        <v>판정보류</v>
      </c>
      <c r="AR23" s="38" t="str">
        <f>IF('3_보호자행동'!U68&lt;&gt;"채점자 선택","",IF(LEN(TRIM('3_보호자행동'!C68&amp;""))=0,"",'3_보호자행동'!C68))</f>
        <v/>
      </c>
      <c r="AS23" s="38" t="str">
        <f>'3_보호자행동'!I68</f>
        <v>자동 · 판정보류</v>
      </c>
      <c r="AT23" s="38" t="str">
        <f>IF('3_보호자행동'!U68="채점자 선택",'3_보호자행동'!G68,"")</f>
        <v/>
      </c>
      <c r="AU23" s="40" t="str">
        <f>IF(COUNT('3_보호자행동'!AA12)=0,"조건 미확인",IF('3_보호자행동'!AA12=3,"조건 이탈",IF(COUNT(AE23,AF23,'2_개행동'!AA18)&lt;3,"자료 부족",IF(AND(AE23&gt;=2,AF23&gt;=2),"접촉·거리 반응 혼재",IF(ABS('2_개행동'!AA18)=2,"재회 몸 상태 지속",IF(AF23&gt;=3,"거리 유지 관찰",IF(AE23&gt;=4,"접촉 유지 관찰","기준상 뚜렷한 치우침 없음")))))))</f>
        <v>조건 미확인</v>
      </c>
      <c r="AV23" s="40" t="str">
        <f>"발성량: 혼자 "&amp;IF(COUNT('2_개행동'!AA11)=0,"미확인",TEXT('2_개행동'!AA11,"0"))&amp;" / 재회 "&amp;IF(COUNT('2_개행동'!AA47)=0,"미확인",TEXT('2_개행동'!AA47,"0"))&amp;" / 무시 "&amp;IF(COUNT('2_개행동'!AA48)=0,"미확인",TEXT('2_개행동'!AA48,"0"))&amp;" · 접근 변화 사건 "&amp;IF(COUNT('2_개행동'!AA21)=0,"미확인",TEXT('2_개행동'!AA21,"0"))</f>
        <v>발성량: 혼자 미확인 / 재회 미확인 / 무시 미확인 · 접근 변화 사건 미확인</v>
      </c>
      <c r="AW23" s="40" t="str">
        <f>IF(AND(OR('3_보호자행동'!AA14=1,'3_보호자행동'!AA14=2),BC23&gt;=2),(IF(COUNT('2_개행동'!AA5)=0,0,100-50*ABS('2_개행동'!AA5))+IF(COUNT('2_개행동'!AA6)=0,0,100-50*ABS('2_개행동'!AA6))+IF(COUNT('2_개행동'!AA30)=0,0,100-50*ABS('2_개행동'!AA30)))/BC23,"")</f>
        <v/>
      </c>
      <c r="AX23" s="40" t="str">
        <f>IF(BF23&gt;=4,(IF(COUNT('2_개행동'!AA13)=0,0,100-50*ABS('2_개행동'!AA13))+IF(COUNT('2_개행동'!AA14)=0,0,100-50*ABS('2_개행동'!AA14))+IF(COUNT('2_개행동'!AA15)=0,0,100-50*ABS('2_개행동'!AA15))+IF(COUNT('2_개행동'!AA51)=0,0,100-50*ABS('2_개행동'!AA51))+IF(COUNT('2_개행동'!AA52)=0,0,100-50*ABS('2_개행동'!AA52))+IF(COUNT('2_개행동'!AA54)=0,0,100-50*ABS('2_개행동'!AA54))+IF(COUNT('2_개행동'!AA55)=0,0,100-50*ABS('2_개행동'!AA55)))/BF23,"")</f>
        <v/>
      </c>
      <c r="AY23" s="40" t="str">
        <f t="shared" si="5"/>
        <v/>
      </c>
      <c r="AZ23" s="40" t="str">
        <f>IF(COUNT('2_개행동'!AA48)=0,"",'2_개행동'!AA48)</f>
        <v/>
      </c>
      <c r="BA23" s="40" t="str">
        <f>IF(COUNT('2_개행동'!AA5,'2_개행동'!AA6,'2_개행동'!AA30)=0,"",IF(COUNT('2_개행동'!AA5)=0,0,MAX(0,-'2_개행동'!AA5))+IF(COUNT('2_개행동'!AA6)=0,0,MAX(0,-'2_개행동'!AA6))+IF(COUNT('2_개행동'!AA30)=0,0,MAX(0,-'2_개행동'!AA30)))</f>
        <v/>
      </c>
      <c r="BB23" s="40" t="str">
        <f>IF(COUNT('2_개행동'!AA5,'2_개행동'!AA6,'2_개행동'!AA30)=0,"",IF(COUNT('2_개행동'!AA5)=0,0,MAX(0,'2_개행동'!AA5))+IF(COUNT('2_개행동'!AA6)=0,0,MAX(0,'2_개행동'!AA6))+IF(COUNT('2_개행동'!AA30)=0,0,MAX(0,'2_개행동'!AA30)))</f>
        <v/>
      </c>
      <c r="BC23" s="40">
        <f>COUNT('2_개행동'!AA5,'2_개행동'!AA6,'2_개행동'!AA30)</f>
        <v>0</v>
      </c>
      <c r="BD23" s="40" t="str">
        <f>IF(COUNT('2_개행동'!AA13,'2_개행동'!AA14,'2_개행동'!AA15,'2_개행동'!AA51,'2_개행동'!AA52,'2_개행동'!AA54,'2_개행동'!AA55)=0,"",IF(COUNT('2_개행동'!AA13)=0,0,MAX(0,-'2_개행동'!AA13))+IF(COUNT('2_개행동'!AA14)=0,0,MAX(0,-'2_개행동'!AA14))+IF(COUNT('2_개행동'!AA15)=0,0,MAX(0,-'2_개행동'!AA15))+IF(COUNT('2_개행동'!AA51)=0,0,MAX(0,-'2_개행동'!AA51))+IF(COUNT('2_개행동'!AA52)=0,0,MAX(0,-'2_개행동'!AA52))+IF(COUNT('2_개행동'!AA54)=0,0,MAX(0,-'2_개행동'!AA54))+IF(COUNT('2_개행동'!AA55)=0,0,MAX(0,-'2_개행동'!AA55)))</f>
        <v/>
      </c>
      <c r="BE23" s="40" t="str">
        <f>IF(COUNT('2_개행동'!AA13,'2_개행동'!AA14,'2_개행동'!AA15,'2_개행동'!AA51,'2_개행동'!AA52,'2_개행동'!AA54,'2_개행동'!AA55)=0,"",IF(COUNT('2_개행동'!AA13)=0,0,MAX(0,'2_개행동'!AA13))+IF(COUNT('2_개행동'!AA14)=0,0,MAX(0,'2_개행동'!AA14))+IF(COUNT('2_개행동'!AA15)=0,0,MAX(0,'2_개행동'!AA15))+IF(COUNT('2_개행동'!AA51)=0,0,MAX(0,'2_개행동'!AA51))+IF(COUNT('2_개행동'!AA52)=0,0,MAX(0,'2_개행동'!AA52))+IF(COUNT('2_개행동'!AA54)=0,0,MAX(0,'2_개행동'!AA54))+IF(COUNT('2_개행동'!AA55)=0,0,MAX(0,'2_개행동'!AA55)))</f>
        <v/>
      </c>
      <c r="BF23" s="40">
        <f>COUNT('2_개행동'!AA13,'2_개행동'!AA14,'2_개행동'!AA15,'2_개행동'!AA51,'2_개행동'!AA52,'2_개행동'!AA54,'2_개행동'!AA55)</f>
        <v>0</v>
      </c>
      <c r="BG23" s="38" t="str">
        <f>IF(LEN(TRIM('2_개행동'!C87&amp;""))=0,"",'2_개행동'!C87)</f>
        <v/>
      </c>
      <c r="BH23" s="38" t="str">
        <f>IF(LEN(TRIM('2_개행동'!G87&amp;""))=0,"",'2_개행동'!G87)</f>
        <v/>
      </c>
      <c r="BI23" s="38" t="str">
        <f>'2_개행동'!I87</f>
        <v>미판정</v>
      </c>
      <c r="BJ23" s="38" t="str">
        <f>IF(M23="미판정","애착유형 미판정",IF(M23="유형 입력 확인","유형 입력을 확인해 주세요.",IF(LEN(TRIM(BG23&amp;""))=0,IF(M23="판정보류","판정보류 사유를 입력해 주세요.","관찰 근거 미기록: 유형 설명 보류"),IF(M23="곁에서 안심하는 사이",성향문장!C49,IF(M23="가까이 있어도 안심이 어려운 사이",성향문장!C50,IF(M23="거리를 두고 지내는 사이",성향문장!C51,IF(M23="다가감과 물러섬이 함께 나오는 사이",성향문장!C52,성향문장!C53)))))))</f>
        <v>애착유형 미판정</v>
      </c>
      <c r="BK23" s="37" t="str">
        <f>IF(COUNT('3_보호자행동'!AA12)=0,"조건 미확인",IF('3_보호자행동'!AA12=3,"조건 이탈",IF(COUNT('2_개행동'!AA9,'2_개행동'!AA17,'2_개행동'!AA18,'2_개행동'!AA19,'2_개행동'!AA22)&lt;5,"자료 부족",IF(N('2_개행동'!AA21)&gt;=2,"접근이 여러 번 바뀜 — 한 서술로 묶지 않음",IF(AND($AE23&gt;=2,$AF23&gt;=2),"섞여 있음",IF(-'2_개행동'!AA9&gt;=1,IF(ABS('2_개행동'!AA18)&lt;=1,IF($AF23&gt;=$AE23,"없을 때 흔들 → 있을 때 가라앉고 자기 일","없을 때 흔들 → 있을 때 가라앉고 곁에 붙음"),"없을 때 흔들 → 있을 때도 못 가라앉음"),IF($AE23&gt;=2,"없을 때 담담 → 있을 때 곁에 붙음","없을 때도 있을 때도 비슷")))))))</f>
        <v>조건 미확인</v>
      </c>
      <c r="BL23" s="37" t="str">
        <f>IF(OR(COUNT('1_바디시그널'!AA$5)=0,COUNT('1_바디시그널'!AA$38)=0),"",'1_바디시그널'!AA$5-'1_바디시그널'!AA$38)</f>
        <v/>
      </c>
      <c r="BM23" s="37" t="str">
        <f>IF(OR(COUNT('1_바디시그널'!AA$9)=0,COUNT('1_바디시그널'!AA$38)=0),"",'1_바디시그널'!AA$9-'1_바디시그널'!AA$38)</f>
        <v/>
      </c>
      <c r="BN23" s="37" t="str">
        <f>IF(OR(COUNT('1_바디시그널'!AA$11)=0,COUNT('1_바디시그널'!AA$38)=0),"",'1_바디시그널'!AA$11-'1_바디시그널'!AA$38)</f>
        <v/>
      </c>
      <c r="BO23" s="37" t="str">
        <f>IF(OR(COUNT('1_바디시그널'!AA$13)=0,COUNT('1_바디시그널'!AA$38)=0),"",'1_바디시그널'!AA$13-'1_바디시그널'!AA$38)</f>
        <v/>
      </c>
      <c r="BP23" s="37" t="str">
        <f>IF(OR(COUNT('1_바디시그널'!AA$39)=0,COUNT('1_바디시그널'!AA$38)=0),"",'1_바디시그널'!AA$39-'1_바디시그널'!AA$38)</f>
        <v/>
      </c>
      <c r="BQ23" s="37" t="str">
        <f>IF(OR(COUNT('1_바디시그널'!AA$43)=0,COUNT('1_바디시그널'!AA$38)=0),"",'1_바디시그널'!AA$43-'1_바디시그널'!AA$38)</f>
        <v/>
      </c>
      <c r="BR23" s="37" t="str">
        <f>IF(OR(COUNT('1_바디시그널'!AA$44)=0,COUNT('1_바디시그널'!AA$38)=0),"",'1_바디시그널'!AA$44-'1_바디시그널'!AA$38)</f>
        <v/>
      </c>
      <c r="BS23" s="37" t="str">
        <f>IF(OR(COUNT('1_바디시그널'!AA$45)=0,COUNT('1_바디시그널'!AA$38)=0),"",'1_바디시그널'!AA$45-'1_바디시그널'!AA$38)</f>
        <v/>
      </c>
      <c r="BT23" s="37" t="str">
        <f>IF(OR(COUNT('1_바디시그널'!AA$41)=0,COUNT('1_바디시그널'!AA$40)=0),"",'1_바디시그널'!AA$41-'1_바디시그널'!AA$40)</f>
        <v/>
      </c>
      <c r="BU23" s="37" t="str">
        <f>IF(OR(COUNT('1_바디시그널'!AA$42)=0,COUNT('1_바디시그널'!AA$40)=0),"",'1_바디시그널'!AA$42-'1_바디시그널'!AA$40)</f>
        <v/>
      </c>
      <c r="BV23" s="37">
        <f>N('2_개행동'!AA$5&lt;=-1)+N('2_개행동'!AA$6&lt;=-1)+IF(AND(COUNT('2_개행동'!AA$30)=1,COUNT('3_보호자행동'!AA$14)=1,'3_보호자행동'!AA$14&lt;=2),N('2_개행동'!AA$30&lt;=-1),0)</f>
        <v>0</v>
      </c>
      <c r="BW23" s="37">
        <f>N('2_개행동'!AA$5&gt;=1)+N('2_개행동'!AA$6&gt;=1)+IF(AND(COUNT('2_개행동'!AA$30)=1,COUNT('3_보호자행동'!AA$14)=1,'3_보호자행동'!AA$14&lt;=2),N('2_개행동'!AA$30&gt;=1),0)</f>
        <v>0</v>
      </c>
      <c r="BX23" s="37">
        <f>COUNT('2_개행동'!AA$5,'2_개행동'!AA$6)+IF(AND(COUNT('2_개행동'!AA$30)=1,COUNT('3_보호자행동'!AA$14)=1,'3_보호자행동'!AA$14&lt;=2),1,0)</f>
        <v>0</v>
      </c>
      <c r="BY23" s="37" t="str">
        <f t="shared" si="6"/>
        <v>자료 부족</v>
      </c>
      <c r="BZ23" s="37" t="str">
        <f>"문 "&amp;IF(COUNT('2_개행동'!AA$5)=0,"미확인",SUBSTITUTE(TEXT('2_개행동'!AA$5,"+0;-0;0"),"-","−"))&amp;" · 바닥 "&amp;IF(COUNT('2_개행동'!AA$6)=0,"미확인",SUBSTITUTE(TEXT('2_개행동'!AA$6,"+0;-0;0"),"-","−"))&amp;" · 물건 "&amp;IF(AND(COUNT('2_개행동'!AA$30)=1,COUNT('3_보호자행동'!AA$14)=1,'3_보호자행동'!AA$14&lt;=2),IF(COUNT('2_개행동'!AA$30)=0,"미확인",SUBSTITUTE(TEXT('2_개행동'!AA$30,"+0;-0;0"),"-","−")),"보류")&amp;"  /  꼬리 기준대비 입장 "&amp;IF(COUNT($BL23)=0,"미확인",SUBSTITUTE(TEXT($BL23,"+0;-0;0"),"-","−"))&amp;" · 바닥 "&amp;IF(COUNT($AP23)=0,"미확인",SUBSTITUTE(TEXT($AP23,"+0;-0;0"),"-","−"))&amp;" · 물건 "&amp;IF(COUNT($BR23)=0,"미확인",SUBSTITUTE(TEXT($BR23,"+0;-0;0"),"-","−"))&amp;"  /  긴장 신호 "&amp;IF(COUNT('1_바디시그널'!AA$14,'1_바디시그널'!AA$15,'1_바디시그널'!AA$16)=0,"미확인",TEXT(SUM('1_바디시그널'!AA$14,'1_바디시그널'!AA$15,'1_바디시그널'!AA$16),"0")&amp;"회")&amp;"  /  냄새 "&amp;IF(COUNT('2_개행동'!AA$7)=0,"미확인",IF('2_개행동'!AA$7=0,"씀","안 씀"))</f>
        <v>문 미확인 · 바닥 미확인 · 물건 보류  /  꼬리 기준대비 입장 미확인 · 바닥 미확인 · 물건 미확인  /  긴장 신호 미확인  /  냄새 미확인</v>
      </c>
      <c r="CA23" s="37" t="str">
        <f>IF(AND('6_행사전문가의견'!E312="완료",OR('6_행사전문가의견'!B314="주저함 · 거리를 벌림",'6_행사전문가의견'!B314="뚜렷한 치우침 없음",'6_행사전문가의견'!B314="살피지 않고 들이닥침",'6_행사전문가의견'!B314="자극에 따라 다름",'6_행사전문가의견'!B314="판단보류"),LEN(TRIM('6_행사전문가의견'!B315&amp;""))&gt;0),'6_행사전문가의견'!B314,"")</f>
        <v/>
      </c>
      <c r="CB23" s="37" t="str">
        <f>IF(AND('6_행사전문가의견'!E312="완료",OR('6_행사전문가의견'!B314="주저함 · 거리를 벌림",'6_행사전문가의견'!B314="뚜렷한 치우침 없음",'6_행사전문가의견'!B314="살피지 않고 들이닥침",'6_행사전문가의견'!B314="자극에 따라 다름",'6_행사전문가의견'!B314="판단보류"),LEN(TRIM('6_행사전문가의견'!B315&amp;""))&gt;0),'6_행사전문가의견'!B315,"")</f>
        <v/>
      </c>
      <c r="CC23" s="37" t="str">
        <f t="shared" si="7"/>
        <v>자료 부족</v>
      </c>
      <c r="CD23" s="38" t="str">
        <f>IF('6_행사전문가의견'!E312&lt;&gt;"완료","",IF(LEN(TRIM('6_행사전문가의견'!D305&amp;""))=0,"",'6_행사전문가의견'!D305))</f>
        <v/>
      </c>
      <c r="CE23" s="38" t="str">
        <f>IF('6_행사전문가의견'!E312&lt;&gt;"완료","",IF(LEN(TRIM('6_행사전문가의견'!D306&amp;""))=0,"",'6_행사전문가의견'!D306))</f>
        <v/>
      </c>
      <c r="CF23" s="38" t="str">
        <f>IF('6_행사전문가의견'!E312&lt;&gt;"완료","",IF(LEN(TRIM('6_행사전문가의견'!D307&amp;""))=0,"",'6_행사전문가의견'!D307))</f>
        <v/>
      </c>
      <c r="CG23" s="38" t="str">
        <f>IF('6_행사전문가의견'!E312&lt;&gt;"완료","",IF(LEN(TRIM('6_행사전문가의견'!D309&amp;""))=0,"",'6_행사전문가의견'!D309))</f>
        <v/>
      </c>
      <c r="CH23" s="38" t="str">
        <f>IF('6_행사전문가의견'!E312&lt;&gt;"완료","",IF(LEN(TRIM('6_행사전문가의견'!D311&amp;""))=0,"",'6_행사전문가의견'!D311))</f>
        <v/>
      </c>
      <c r="CI23" s="38" t="str">
        <f>IF('6_행사전문가의견'!E312&lt;&gt;"완료","",IF(LEN(TRIM('6_행사전문가의견'!C303&amp;""))=0,"",'6_행사전문가의견'!C303))</f>
        <v/>
      </c>
      <c r="CJ23" s="38" t="str">
        <f>'6_행사전문가의견'!E312</f>
        <v>미작성</v>
      </c>
      <c r="CK23" s="37" t="str">
        <f>'2_개행동'!AA60</f>
        <v>미채점</v>
      </c>
      <c r="CL23" s="40" t="str">
        <f>IF(LEN(TRIM(CD23&amp;""))&gt;0,CD23,"분리 초기: "&amp;IF(COUNT('2_개행동'!AA$9)=0,"자료 부족",INDEX('2_개행동'!$C$9:$G$9,1,'2_개행동'!AA$9+3))&amp;" / 분리 이후: "&amp;IF(COUNT('2_개행동'!AA$10)=0,"자료 부족",INDEX('2_개행동'!$C$10:$G$10,1,'2_개행동'!AA$10+3))&amp;" / 변화: "&amp;CK23&amp;" / 분리·재회·무시 보조: "&amp;BK23&amp;" / 재회·무시 패턴: "&amp;AU23&amp;IF(M23="미판정",""," / 기본 유형: "&amp;M23&amp;IF(LEN(TRIM(BG23&amp;""))&gt;0," / 근거: "&amp;BG23,"")))</f>
        <v>분리 초기: 자료 부족 / 분리 이후: 자료 부족 / 변화: 미채점 / 분리·재회·무시 보조: 조건 미확인 / 재회·무시 패턴: 조건 미확인</v>
      </c>
      <c r="CM23" s="40" t="str">
        <f>IF(LEN(TRIM(CE23&amp;""))&gt;0,CE23,IF(LEN(TRIM(AQ23&amp;""))=0,"",AQ23&amp;IF(LEN(TRIM(AR23&amp;""))&gt;0,". "&amp;AR23,IF(COUNT('3_보호자행동'!P68)=0," (자동 초안 · 근거 비율 미산출)"," (자동 초안 · 허용 "&amp;TEXT('3_보호자행동'!P68,"0.00")&amp;" / 조율 "&amp;TEXT('3_보호자행동'!Q68,"0.00")&amp;" / 통제 "&amp;TEXT('3_보호자행동'!R68,"0.00")&amp;")"))))</f>
        <v>판정보류 (자동 초안 · 근거 비율 미산출)</v>
      </c>
      <c r="CN23" s="40" t="str">
        <f t="shared" si="8"/>
        <v>자료 부족</v>
      </c>
      <c r="CO23" s="40" t="str">
        <f t="shared" si="9"/>
        <v>조건 미확인</v>
      </c>
      <c r="CP23" s="40" t="str">
        <f t="shared" si="10"/>
        <v/>
      </c>
      <c r="CQ23" s="40" t="str">
        <f>IF('6_행사전문가의견'!E312&lt;&gt;"완료","",IF(LEN(TRIM('6_행사전문가의견'!D308&amp;""))=0,"",'6_행사전문가의견'!D308))</f>
        <v/>
      </c>
      <c r="CR23" s="40" t="str">
        <f>IF('6_행사전문가의견'!E312&lt;&gt;"완료","",IF(LEN(TRIM('6_행사전문가의견'!D310&amp;""))=0,"",'6_행사전문가의견'!D310))</f>
        <v/>
      </c>
      <c r="CS23" s="40" t="str">
        <f t="shared" si="11"/>
        <v/>
      </c>
      <c r="CT23" s="40" t="str">
        <f t="shared" si="12"/>
        <v/>
      </c>
      <c r="CU23" s="37" t="str">
        <f>IF(LEN(TRIM('3_보호자행동'!U68&amp;""))=0,"",'3_보호자행동'!U68)</f>
        <v>자동 초안</v>
      </c>
    </row>
    <row r="24" spans="1:99" ht="81.95" customHeight="1" x14ac:dyDescent="0.3">
      <c r="A24" s="16">
        <v>19</v>
      </c>
      <c r="B24" s="16"/>
      <c r="C24" s="16"/>
      <c r="D24" s="50" t="str">
        <f>IF(COUNT('3_보호자행동'!AB5)=0,"",'3_보호자행동'!AB5)</f>
        <v/>
      </c>
      <c r="E24" s="16" t="str">
        <f>IF(COUNT('3_보호자행동'!AB6)=0,"",'3_보호자행동'!AB6)</f>
        <v/>
      </c>
      <c r="F24" s="16" t="str">
        <f>IF(COUNT('3_보호자행동'!AB9)=0,"",'3_보호자행동'!AB9)</f>
        <v/>
      </c>
      <c r="G24" s="50" t="str">
        <f>IF(AND(OR('3_보호자행동'!AB14=1,'3_보호자행동'!AB14=2),BC24&gt;=2),BA24/BC24,"")</f>
        <v/>
      </c>
      <c r="H24" s="16" t="str">
        <f>IF(AND(OR('3_보호자행동'!AB14=1,'3_보호자행동'!AB14=2),BC24&gt;=2),BB24/BC24,"")</f>
        <v/>
      </c>
      <c r="I24" s="17">
        <f t="shared" si="0"/>
        <v>0</v>
      </c>
      <c r="J24" s="16" t="str">
        <f t="shared" si="1"/>
        <v>자료 부족</v>
      </c>
      <c r="K24" s="16" t="str">
        <f t="shared" si="2"/>
        <v/>
      </c>
      <c r="L24" s="16" t="str">
        <f t="shared" si="3"/>
        <v/>
      </c>
      <c r="M24" s="16" t="str">
        <f>IF(LEN(TRIM('2_개행동'!B88&amp;""))=0,"미판정",IF(OR('2_개행동'!B88="곁에서 안심하는 사이",'2_개행동'!B88="가까이 있어도 안심이 어려운 사이",'2_개행동'!B88="거리를 두고 지내는 사이",'2_개행동'!B88="다가감과 물러섬이 함께 나오는 사이",'2_개행동'!B88="판정보류"),'2_개행동'!B88,"유형 입력 확인"))</f>
        <v>미판정</v>
      </c>
      <c r="N24" s="16" t="str">
        <f>IF(COUNT('2_개행동'!AB18)=0,"",'2_개행동'!AB18)</f>
        <v/>
      </c>
      <c r="O24" s="16" t="str">
        <f>IF(COUNT('2_개행동'!AB47)=0,"",'2_개행동'!AB47)</f>
        <v/>
      </c>
      <c r="P24" s="50" t="str">
        <f>IF(OR('3_보호자행동'!AB13=1,'3_보호자행동'!AB13=2),IF(COUNT('2_개행동'!AB24)=0,"",'2_개행동'!AB24),"")</f>
        <v/>
      </c>
      <c r="Q24" s="16" t="str">
        <f>IF(OR('3_보호자행동'!AB13=1,'3_보호자행동'!AB13=2),IF(COUNT('2_개행동'!AB25)=0,"",'2_개행동'!AB25),"")</f>
        <v/>
      </c>
      <c r="R24" s="51" t="str">
        <f t="shared" si="4"/>
        <v/>
      </c>
      <c r="S24" s="50" t="str">
        <f>IF(COUNT('2_개행동'!AB28)=0,"",'2_개행동'!AB28)</f>
        <v/>
      </c>
      <c r="T24" s="16" t="str">
        <f>IF(COUNT('2_개행동'!AB34)=0,"",'2_개행동'!AB34)</f>
        <v/>
      </c>
      <c r="U24" s="16" t="str">
        <f>IF(COUNT('2_개행동'!AB50)=0,"",'2_개행동'!AB50)</f>
        <v/>
      </c>
      <c r="V24" s="52" t="str">
        <f>IF(AND(COUNT('2_개행동'!AB8,'2_개행동'!AB23)=2,OR('3_보호자행동'!AB12=1,'3_보호자행동'!AB12=2)),ABS('2_개행동'!AB8)-ABS('2_개행동'!AB23),"")</f>
        <v/>
      </c>
      <c r="W24" s="52" t="str">
        <f>IF(COUNT('2_개행동'!AB58,'2_개행동'!AB18)&lt;2,"",ABS('2_개행동'!AB58)-ABS('2_개행동'!AB18))</f>
        <v/>
      </c>
      <c r="X24" s="52"/>
      <c r="Y24" s="16" t="str">
        <f>IF(COUNT('2_개행동'!AB8)=0,"",'2_개행동'!AB8)</f>
        <v/>
      </c>
      <c r="Z24" s="51" t="str">
        <f>IF(COUNT('2_개행동'!AB27)=0,"",'2_개행동'!AB27)</f>
        <v/>
      </c>
      <c r="AA24" s="18"/>
      <c r="AB24" s="16" t="str">
        <f>IF(COUNT('2_개행동'!AB9)=0,"",'2_개행동'!AB9)</f>
        <v/>
      </c>
      <c r="AC24" s="16" t="str">
        <f>IF(COUNT('2_개행동'!AB10)=0,"",'2_개행동'!AB10)</f>
        <v/>
      </c>
      <c r="AD24" s="16" t="str">
        <f>IF(COUNT('2_개행동'!AB18)=0,"",'2_개행동'!AB18)</f>
        <v/>
      </c>
      <c r="AE24" s="16" t="str">
        <f>IF(AND(COUNT('2_개행동'!AB17,'2_개행동'!AB19,'2_개행동'!AB22)=3,OR('3_보호자행동'!AB12=1,'3_보호자행동'!AB12=2)),IF(COUNT('2_개행동'!AB17)=0,0,MAX(0,-'2_개행동'!AB17))+IF(COUNT('2_개행동'!AB19)=0,0,MAX(0,-'2_개행동'!AB19))+IF(COUNT('2_개행동'!AB22)=0,0,MAX(0,-'2_개행동'!AB22)),"")</f>
        <v/>
      </c>
      <c r="AF24" s="16" t="str">
        <f>IF(AND(COUNT('2_개행동'!AB17,'2_개행동'!AB19,'2_개행동'!AB22)=3,OR('3_보호자행동'!AB12=1,'3_보호자행동'!AB12=2)),IF(COUNT('2_개행동'!AB17)=0,0,MAX(0,'2_개행동'!AB17))+IF(COUNT('2_개행동'!AB19)=0,0,MAX(0,'2_개행동'!AB19))+IF(COUNT('2_개행동'!AB22)=0,0,MAX(0,'2_개행동'!AB22)),"")</f>
        <v/>
      </c>
      <c r="AG24" s="40" t="str">
        <f>IF(COUNT('3_보호자행동'!AB14)=0,"조건 미확인",IF('3_보호자행동'!AB14=3,"조건 이탈",IF(BC24&lt;2,"자료 부족",IF(AND(BA24&gt;0,BB24&gt;0),"양방향 관찰",IF(BA24&gt;0,"−방향 관찰",IF(BB24&gt;0,"+방향 관찰","중앙범주만 관찰"))))))</f>
        <v>조건 미확인</v>
      </c>
      <c r="AH24" s="40" t="str">
        <f>IF(COUNT('3_보호자행동'!AB13)=0,"조건 미확인",IF('3_보호자행동'!AB13=3,"조건 이탈",IF(COUNT('2_개행동'!AB24)=0,"자료 부족",CHOOSE('2_개행동'!AB24+3,"−2","−1","0","+1","+2"))))</f>
        <v>조건 미확인</v>
      </c>
      <c r="AI24" s="40" t="str">
        <f>IF(COUNT('2_개행동'!AB28)=0,"자료 부족",CHOOSE('2_개행동'!AB28+3,"−2","−1","0","+1","+2"))</f>
        <v>자료 부족</v>
      </c>
      <c r="AJ24" s="40" t="str">
        <f>IF(COUNT('2_개행동'!AB8,'2_개행동'!AB14,'2_개행동'!AB18,'2_개행동'!AB23,'2_개행동'!AB44,'2_개행동'!AB52,'2_개행동'!AB58)=0,"",IF(COUNT('2_개행동'!AB8)=0,0,IF('2_개행동'!AB8&lt;0,1,0))+IF(COUNT('2_개행동'!AB14)=0,0,IF('2_개행동'!AB14&lt;0,1,0))+IF(COUNT('2_개행동'!AB18)=0,0,IF('2_개행동'!AB18&lt;0,1,0))+IF(COUNT('2_개행동'!AB23)=0,0,IF('2_개행동'!AB23&lt;0,1,0))+IF(COUNT('2_개행동'!AB44)=0,0,IF('2_개행동'!AB44&lt;0,1,0))+IF(COUNT('2_개행동'!AB52)=0,0,IF('2_개행동'!AB52&lt;0,1,0))+IF(COUNT('2_개행동'!AB58)=0,0,IF('2_개행동'!AB58&lt;0,1,0)))</f>
        <v/>
      </c>
      <c r="AK24" s="40" t="str">
        <f>IF(COUNT('2_개행동'!AB8,'2_개행동'!AB14,'2_개행동'!AB18,'2_개행동'!AB23,'2_개행동'!AB44,'2_개행동'!AB52,'2_개행동'!AB58)=0,"",IF(COUNT('2_개행동'!AB8)=0,0,IF('2_개행동'!AB8&gt;0,1,0))+IF(COUNT('2_개행동'!AB14)=0,0,IF('2_개행동'!AB14&gt;0,1,0))+IF(COUNT('2_개행동'!AB18)=0,0,IF('2_개행동'!AB18&gt;0,1,0))+IF(COUNT('2_개행동'!AB23)=0,0,IF('2_개행동'!AB23&gt;0,1,0))+IF(COUNT('2_개행동'!AB44)=0,0,IF('2_개행동'!AB44&gt;0,1,0))+IF(COUNT('2_개행동'!AB52)=0,0,IF('2_개행동'!AB52&gt;0,1,0))+IF(COUNT('2_개행동'!AB58)=0,0,IF('2_개행동'!AB58&gt;0,1,0)))</f>
        <v/>
      </c>
      <c r="AL24" s="40" t="str">
        <f>IF(COUNT('2_개행동'!AB8,'2_개행동'!AB14,'2_개행동'!AB18,'2_개행동'!AB23,'2_개행동'!AB44,'2_개행동'!AB52,'2_개행동'!AB58)&lt;1,"자료 부족",IF(AND(AJ24&gt;0,AK24&gt;0),"양방향 관찰",IF(AJ24&gt;0,"−방향 관찰",IF(AK24&gt;0,"+방향 관찰","중앙범주만 관찰"))))</f>
        <v>자료 부족</v>
      </c>
      <c r="AM24" s="40" t="str">
        <f>IF(AND(COUNT('2_개행동'!AB30,'2_개행동'!AB34)=2,OR('3_보호자행동'!AB14=1,'3_보호자행동'!AB14=2)),IF('2_개행동'!AB30='2_개행동'!AB34,"같은 범주","범주 변화"),"비교 보류")</f>
        <v>비교 보류</v>
      </c>
      <c r="AN24" s="40" t="str">
        <f>IF(COUNT('2_개행동'!AB5)=0,"자료 부족",CHOOSE('2_개행동'!AB5+3,"−2","−1","0","+1","+2"))</f>
        <v>자료 부족</v>
      </c>
      <c r="AO24" s="40" t="str">
        <f>IF(COUNT('3_보호자행동'!AB13)=0,"조건 미확인",IF('3_보호자행동'!AB13=3,"조건 이탈",IF(COUNT('2_개행동'!AB25)=0,"자료 부족",CHOOSE('2_개행동'!AB25+3,"−2","−1","0","+1","+2"))))</f>
        <v>조건 미확인</v>
      </c>
      <c r="AP24" s="40" t="str">
        <f>IF(COUNT('1_바디시그널'!AB7,'1_바디시그널'!AB38)&lt;2,"",'1_바디시그널'!AB7-'1_바디시그널'!AB38)</f>
        <v/>
      </c>
      <c r="AQ24" s="38" t="str">
        <f>IF(LEN(TRIM('3_보호자행동'!T69&amp;""))=0,"",'3_보호자행동'!T69)</f>
        <v>판정보류</v>
      </c>
      <c r="AR24" s="38" t="str">
        <f>IF('3_보호자행동'!U69&lt;&gt;"채점자 선택","",IF(LEN(TRIM('3_보호자행동'!C69&amp;""))=0,"",'3_보호자행동'!C69))</f>
        <v/>
      </c>
      <c r="AS24" s="38" t="str">
        <f>'3_보호자행동'!I69</f>
        <v>자동 · 판정보류</v>
      </c>
      <c r="AT24" s="38" t="str">
        <f>IF('3_보호자행동'!U69="채점자 선택",'3_보호자행동'!G69,"")</f>
        <v/>
      </c>
      <c r="AU24" s="40" t="str">
        <f>IF(COUNT('3_보호자행동'!AB12)=0,"조건 미확인",IF('3_보호자행동'!AB12=3,"조건 이탈",IF(COUNT(AE24,AF24,'2_개행동'!AB18)&lt;3,"자료 부족",IF(AND(AE24&gt;=2,AF24&gt;=2),"접촉·거리 반응 혼재",IF(ABS('2_개행동'!AB18)=2,"재회 몸 상태 지속",IF(AF24&gt;=3,"거리 유지 관찰",IF(AE24&gt;=4,"접촉 유지 관찰","기준상 뚜렷한 치우침 없음")))))))</f>
        <v>조건 미확인</v>
      </c>
      <c r="AV24" s="40" t="str">
        <f>"발성량: 혼자 "&amp;IF(COUNT('2_개행동'!AB11)=0,"미확인",TEXT('2_개행동'!AB11,"0"))&amp;" / 재회 "&amp;IF(COUNT('2_개행동'!AB47)=0,"미확인",TEXT('2_개행동'!AB47,"0"))&amp;" / 무시 "&amp;IF(COUNT('2_개행동'!AB48)=0,"미확인",TEXT('2_개행동'!AB48,"0"))&amp;" · 접근 변화 사건 "&amp;IF(COUNT('2_개행동'!AB21)=0,"미확인",TEXT('2_개행동'!AB21,"0"))</f>
        <v>발성량: 혼자 미확인 / 재회 미확인 / 무시 미확인 · 접근 변화 사건 미확인</v>
      </c>
      <c r="AW24" s="40" t="str">
        <f>IF(AND(OR('3_보호자행동'!AB14=1,'3_보호자행동'!AB14=2),BC24&gt;=2),(IF(COUNT('2_개행동'!AB5)=0,0,100-50*ABS('2_개행동'!AB5))+IF(COUNT('2_개행동'!AB6)=0,0,100-50*ABS('2_개행동'!AB6))+IF(COUNT('2_개행동'!AB30)=0,0,100-50*ABS('2_개행동'!AB30)))/BC24,"")</f>
        <v/>
      </c>
      <c r="AX24" s="40" t="str">
        <f>IF(BF24&gt;=4,(IF(COUNT('2_개행동'!AB13)=0,0,100-50*ABS('2_개행동'!AB13))+IF(COUNT('2_개행동'!AB14)=0,0,100-50*ABS('2_개행동'!AB14))+IF(COUNT('2_개행동'!AB15)=0,0,100-50*ABS('2_개행동'!AB15))+IF(COUNT('2_개행동'!AB51)=0,0,100-50*ABS('2_개행동'!AB51))+IF(COUNT('2_개행동'!AB52)=0,0,100-50*ABS('2_개행동'!AB52))+IF(COUNT('2_개행동'!AB54)=0,0,100-50*ABS('2_개행동'!AB54))+IF(COUNT('2_개행동'!AB55)=0,0,100-50*ABS('2_개행동'!AB55)))/BF24,"")</f>
        <v/>
      </c>
      <c r="AY24" s="40" t="str">
        <f t="shared" si="5"/>
        <v/>
      </c>
      <c r="AZ24" s="40" t="str">
        <f>IF(COUNT('2_개행동'!AB48)=0,"",'2_개행동'!AB48)</f>
        <v/>
      </c>
      <c r="BA24" s="40" t="str">
        <f>IF(COUNT('2_개행동'!AB5,'2_개행동'!AB6,'2_개행동'!AB30)=0,"",IF(COUNT('2_개행동'!AB5)=0,0,MAX(0,-'2_개행동'!AB5))+IF(COUNT('2_개행동'!AB6)=0,0,MAX(0,-'2_개행동'!AB6))+IF(COUNT('2_개행동'!AB30)=0,0,MAX(0,-'2_개행동'!AB30)))</f>
        <v/>
      </c>
      <c r="BB24" s="40" t="str">
        <f>IF(COUNT('2_개행동'!AB5,'2_개행동'!AB6,'2_개행동'!AB30)=0,"",IF(COUNT('2_개행동'!AB5)=0,0,MAX(0,'2_개행동'!AB5))+IF(COUNT('2_개행동'!AB6)=0,0,MAX(0,'2_개행동'!AB6))+IF(COUNT('2_개행동'!AB30)=0,0,MAX(0,'2_개행동'!AB30)))</f>
        <v/>
      </c>
      <c r="BC24" s="40">
        <f>COUNT('2_개행동'!AB5,'2_개행동'!AB6,'2_개행동'!AB30)</f>
        <v>0</v>
      </c>
      <c r="BD24" s="40" t="str">
        <f>IF(COUNT('2_개행동'!AB13,'2_개행동'!AB14,'2_개행동'!AB15,'2_개행동'!AB51,'2_개행동'!AB52,'2_개행동'!AB54,'2_개행동'!AB55)=0,"",IF(COUNT('2_개행동'!AB13)=0,0,MAX(0,-'2_개행동'!AB13))+IF(COUNT('2_개행동'!AB14)=0,0,MAX(0,-'2_개행동'!AB14))+IF(COUNT('2_개행동'!AB15)=0,0,MAX(0,-'2_개행동'!AB15))+IF(COUNT('2_개행동'!AB51)=0,0,MAX(0,-'2_개행동'!AB51))+IF(COUNT('2_개행동'!AB52)=0,0,MAX(0,-'2_개행동'!AB52))+IF(COUNT('2_개행동'!AB54)=0,0,MAX(0,-'2_개행동'!AB54))+IF(COUNT('2_개행동'!AB55)=0,0,MAX(0,-'2_개행동'!AB55)))</f>
        <v/>
      </c>
      <c r="BE24" s="40" t="str">
        <f>IF(COUNT('2_개행동'!AB13,'2_개행동'!AB14,'2_개행동'!AB15,'2_개행동'!AB51,'2_개행동'!AB52,'2_개행동'!AB54,'2_개행동'!AB55)=0,"",IF(COUNT('2_개행동'!AB13)=0,0,MAX(0,'2_개행동'!AB13))+IF(COUNT('2_개행동'!AB14)=0,0,MAX(0,'2_개행동'!AB14))+IF(COUNT('2_개행동'!AB15)=0,0,MAX(0,'2_개행동'!AB15))+IF(COUNT('2_개행동'!AB51)=0,0,MAX(0,'2_개행동'!AB51))+IF(COUNT('2_개행동'!AB52)=0,0,MAX(0,'2_개행동'!AB52))+IF(COUNT('2_개행동'!AB54)=0,0,MAX(0,'2_개행동'!AB54))+IF(COUNT('2_개행동'!AB55)=0,0,MAX(0,'2_개행동'!AB55)))</f>
        <v/>
      </c>
      <c r="BF24" s="40">
        <f>COUNT('2_개행동'!AB13,'2_개행동'!AB14,'2_개행동'!AB15,'2_개행동'!AB51,'2_개행동'!AB52,'2_개행동'!AB54,'2_개행동'!AB55)</f>
        <v>0</v>
      </c>
      <c r="BG24" s="38" t="str">
        <f>IF(LEN(TRIM('2_개행동'!C88&amp;""))=0,"",'2_개행동'!C88)</f>
        <v/>
      </c>
      <c r="BH24" s="38" t="str">
        <f>IF(LEN(TRIM('2_개행동'!G88&amp;""))=0,"",'2_개행동'!G88)</f>
        <v/>
      </c>
      <c r="BI24" s="38" t="str">
        <f>'2_개행동'!I88</f>
        <v>미판정</v>
      </c>
      <c r="BJ24" s="38" t="str">
        <f>IF(M24="미판정","애착유형 미판정",IF(M24="유형 입력 확인","유형 입력을 확인해 주세요.",IF(LEN(TRIM(BG24&amp;""))=0,IF(M24="판정보류","판정보류 사유를 입력해 주세요.","관찰 근거 미기록: 유형 설명 보류"),IF(M24="곁에서 안심하는 사이",성향문장!C49,IF(M24="가까이 있어도 안심이 어려운 사이",성향문장!C50,IF(M24="거리를 두고 지내는 사이",성향문장!C51,IF(M24="다가감과 물러섬이 함께 나오는 사이",성향문장!C52,성향문장!C53)))))))</f>
        <v>애착유형 미판정</v>
      </c>
      <c r="BK24" s="37" t="str">
        <f>IF(COUNT('3_보호자행동'!AB12)=0,"조건 미확인",IF('3_보호자행동'!AB12=3,"조건 이탈",IF(COUNT('2_개행동'!AB9,'2_개행동'!AB17,'2_개행동'!AB18,'2_개행동'!AB19,'2_개행동'!AB22)&lt;5,"자료 부족",IF(N('2_개행동'!AB21)&gt;=2,"접근이 여러 번 바뀜 — 한 서술로 묶지 않음",IF(AND($AE24&gt;=2,$AF24&gt;=2),"섞여 있음",IF(-'2_개행동'!AB9&gt;=1,IF(ABS('2_개행동'!AB18)&lt;=1,IF($AF24&gt;=$AE24,"없을 때 흔들 → 있을 때 가라앉고 자기 일","없을 때 흔들 → 있을 때 가라앉고 곁에 붙음"),"없을 때 흔들 → 있을 때도 못 가라앉음"),IF($AE24&gt;=2,"없을 때 담담 → 있을 때 곁에 붙음","없을 때도 있을 때도 비슷")))))))</f>
        <v>조건 미확인</v>
      </c>
      <c r="BL24" s="37" t="str">
        <f>IF(OR(COUNT('1_바디시그널'!AB$5)=0,COUNT('1_바디시그널'!AB$38)=0),"",'1_바디시그널'!AB$5-'1_바디시그널'!AB$38)</f>
        <v/>
      </c>
      <c r="BM24" s="37" t="str">
        <f>IF(OR(COUNT('1_바디시그널'!AB$9)=0,COUNT('1_바디시그널'!AB$38)=0),"",'1_바디시그널'!AB$9-'1_바디시그널'!AB$38)</f>
        <v/>
      </c>
      <c r="BN24" s="37" t="str">
        <f>IF(OR(COUNT('1_바디시그널'!AB$11)=0,COUNT('1_바디시그널'!AB$38)=0),"",'1_바디시그널'!AB$11-'1_바디시그널'!AB$38)</f>
        <v/>
      </c>
      <c r="BO24" s="37" t="str">
        <f>IF(OR(COUNT('1_바디시그널'!AB$13)=0,COUNT('1_바디시그널'!AB$38)=0),"",'1_바디시그널'!AB$13-'1_바디시그널'!AB$38)</f>
        <v/>
      </c>
      <c r="BP24" s="37" t="str">
        <f>IF(OR(COUNT('1_바디시그널'!AB$39)=0,COUNT('1_바디시그널'!AB$38)=0),"",'1_바디시그널'!AB$39-'1_바디시그널'!AB$38)</f>
        <v/>
      </c>
      <c r="BQ24" s="37" t="str">
        <f>IF(OR(COUNT('1_바디시그널'!AB$43)=0,COUNT('1_바디시그널'!AB$38)=0),"",'1_바디시그널'!AB$43-'1_바디시그널'!AB$38)</f>
        <v/>
      </c>
      <c r="BR24" s="37" t="str">
        <f>IF(OR(COUNT('1_바디시그널'!AB$44)=0,COUNT('1_바디시그널'!AB$38)=0),"",'1_바디시그널'!AB$44-'1_바디시그널'!AB$38)</f>
        <v/>
      </c>
      <c r="BS24" s="37" t="str">
        <f>IF(OR(COUNT('1_바디시그널'!AB$45)=0,COUNT('1_바디시그널'!AB$38)=0),"",'1_바디시그널'!AB$45-'1_바디시그널'!AB$38)</f>
        <v/>
      </c>
      <c r="BT24" s="37" t="str">
        <f>IF(OR(COUNT('1_바디시그널'!AB$41)=0,COUNT('1_바디시그널'!AB$40)=0),"",'1_바디시그널'!AB$41-'1_바디시그널'!AB$40)</f>
        <v/>
      </c>
      <c r="BU24" s="37" t="str">
        <f>IF(OR(COUNT('1_바디시그널'!AB$42)=0,COUNT('1_바디시그널'!AB$40)=0),"",'1_바디시그널'!AB$42-'1_바디시그널'!AB$40)</f>
        <v/>
      </c>
      <c r="BV24" s="37">
        <f>N('2_개행동'!AB$5&lt;=-1)+N('2_개행동'!AB$6&lt;=-1)+IF(AND(COUNT('2_개행동'!AB$30)=1,COUNT('3_보호자행동'!AB$14)=1,'3_보호자행동'!AB$14&lt;=2),N('2_개행동'!AB$30&lt;=-1),0)</f>
        <v>0</v>
      </c>
      <c r="BW24" s="37">
        <f>N('2_개행동'!AB$5&gt;=1)+N('2_개행동'!AB$6&gt;=1)+IF(AND(COUNT('2_개행동'!AB$30)=1,COUNT('3_보호자행동'!AB$14)=1,'3_보호자행동'!AB$14&lt;=2),N('2_개행동'!AB$30&gt;=1),0)</f>
        <v>0</v>
      </c>
      <c r="BX24" s="37">
        <f>COUNT('2_개행동'!AB$5,'2_개행동'!AB$6)+IF(AND(COUNT('2_개행동'!AB$30)=1,COUNT('3_보호자행동'!AB$14)=1,'3_보호자행동'!AB$14&lt;=2),1,0)</f>
        <v>0</v>
      </c>
      <c r="BY24" s="37" t="str">
        <f t="shared" si="6"/>
        <v>자료 부족</v>
      </c>
      <c r="BZ24" s="37" t="str">
        <f>"문 "&amp;IF(COUNT('2_개행동'!AB$5)=0,"미확인",SUBSTITUTE(TEXT('2_개행동'!AB$5,"+0;-0;0"),"-","−"))&amp;" · 바닥 "&amp;IF(COUNT('2_개행동'!AB$6)=0,"미확인",SUBSTITUTE(TEXT('2_개행동'!AB$6,"+0;-0;0"),"-","−"))&amp;" · 물건 "&amp;IF(AND(COUNT('2_개행동'!AB$30)=1,COUNT('3_보호자행동'!AB$14)=1,'3_보호자행동'!AB$14&lt;=2),IF(COUNT('2_개행동'!AB$30)=0,"미확인",SUBSTITUTE(TEXT('2_개행동'!AB$30,"+0;-0;0"),"-","−")),"보류")&amp;"  /  꼬리 기준대비 입장 "&amp;IF(COUNT($BL24)=0,"미확인",SUBSTITUTE(TEXT($BL24,"+0;-0;0"),"-","−"))&amp;" · 바닥 "&amp;IF(COUNT($AP24)=0,"미확인",SUBSTITUTE(TEXT($AP24,"+0;-0;0"),"-","−"))&amp;" · 물건 "&amp;IF(COUNT($BR24)=0,"미확인",SUBSTITUTE(TEXT($BR24,"+0;-0;0"),"-","−"))&amp;"  /  긴장 신호 "&amp;IF(COUNT('1_바디시그널'!AB$14,'1_바디시그널'!AB$15,'1_바디시그널'!AB$16)=0,"미확인",TEXT(SUM('1_바디시그널'!AB$14,'1_바디시그널'!AB$15,'1_바디시그널'!AB$16),"0")&amp;"회")&amp;"  /  냄새 "&amp;IF(COUNT('2_개행동'!AB$7)=0,"미확인",IF('2_개행동'!AB$7=0,"씀","안 씀"))</f>
        <v>문 미확인 · 바닥 미확인 · 물건 보류  /  꼬리 기준대비 입장 미확인 · 바닥 미확인 · 물건 미확인  /  긴장 신호 미확인  /  냄새 미확인</v>
      </c>
      <c r="CA24" s="37" t="str">
        <f>IF(AND('6_행사전문가의견'!E328="완료",OR('6_행사전문가의견'!B330="주저함 · 거리를 벌림",'6_행사전문가의견'!B330="뚜렷한 치우침 없음",'6_행사전문가의견'!B330="살피지 않고 들이닥침",'6_행사전문가의견'!B330="자극에 따라 다름",'6_행사전문가의견'!B330="판단보류"),LEN(TRIM('6_행사전문가의견'!B331&amp;""))&gt;0),'6_행사전문가의견'!B330,"")</f>
        <v/>
      </c>
      <c r="CB24" s="37" t="str">
        <f>IF(AND('6_행사전문가의견'!E328="완료",OR('6_행사전문가의견'!B330="주저함 · 거리를 벌림",'6_행사전문가의견'!B330="뚜렷한 치우침 없음",'6_행사전문가의견'!B330="살피지 않고 들이닥침",'6_행사전문가의견'!B330="자극에 따라 다름",'6_행사전문가의견'!B330="판단보류"),LEN(TRIM('6_행사전문가의견'!B331&amp;""))&gt;0),'6_행사전문가의견'!B331,"")</f>
        <v/>
      </c>
      <c r="CC24" s="37" t="str">
        <f t="shared" si="7"/>
        <v>자료 부족</v>
      </c>
      <c r="CD24" s="38" t="str">
        <f>IF('6_행사전문가의견'!E328&lt;&gt;"완료","",IF(LEN(TRIM('6_행사전문가의견'!D321&amp;""))=0,"",'6_행사전문가의견'!D321))</f>
        <v/>
      </c>
      <c r="CE24" s="38" t="str">
        <f>IF('6_행사전문가의견'!E328&lt;&gt;"완료","",IF(LEN(TRIM('6_행사전문가의견'!D322&amp;""))=0,"",'6_행사전문가의견'!D322))</f>
        <v/>
      </c>
      <c r="CF24" s="38" t="str">
        <f>IF('6_행사전문가의견'!E328&lt;&gt;"완료","",IF(LEN(TRIM('6_행사전문가의견'!D323&amp;""))=0,"",'6_행사전문가의견'!D323))</f>
        <v/>
      </c>
      <c r="CG24" s="38" t="str">
        <f>IF('6_행사전문가의견'!E328&lt;&gt;"완료","",IF(LEN(TRIM('6_행사전문가의견'!D325&amp;""))=0,"",'6_행사전문가의견'!D325))</f>
        <v/>
      </c>
      <c r="CH24" s="38" t="str">
        <f>IF('6_행사전문가의견'!E328&lt;&gt;"완료","",IF(LEN(TRIM('6_행사전문가의견'!D327&amp;""))=0,"",'6_행사전문가의견'!D327))</f>
        <v/>
      </c>
      <c r="CI24" s="38" t="str">
        <f>IF('6_행사전문가의견'!E328&lt;&gt;"완료","",IF(LEN(TRIM('6_행사전문가의견'!C319&amp;""))=0,"",'6_행사전문가의견'!C319))</f>
        <v/>
      </c>
      <c r="CJ24" s="38" t="str">
        <f>'6_행사전문가의견'!E328</f>
        <v>미작성</v>
      </c>
      <c r="CK24" s="37" t="str">
        <f>'2_개행동'!AB60</f>
        <v>미채점</v>
      </c>
      <c r="CL24" s="40" t="str">
        <f>IF(LEN(TRIM(CD24&amp;""))&gt;0,CD24,"분리 초기: "&amp;IF(COUNT('2_개행동'!AB$9)=0,"자료 부족",INDEX('2_개행동'!$C$9:$G$9,1,'2_개행동'!AB$9+3))&amp;" / 분리 이후: "&amp;IF(COUNT('2_개행동'!AB$10)=0,"자료 부족",INDEX('2_개행동'!$C$10:$G$10,1,'2_개행동'!AB$10+3))&amp;" / 변화: "&amp;CK24&amp;" / 분리·재회·무시 보조: "&amp;BK24&amp;" / 재회·무시 패턴: "&amp;AU24&amp;IF(M24="미판정",""," / 기본 유형: "&amp;M24&amp;IF(LEN(TRIM(BG24&amp;""))&gt;0," / 근거: "&amp;BG24,"")))</f>
        <v>분리 초기: 자료 부족 / 분리 이후: 자료 부족 / 변화: 미채점 / 분리·재회·무시 보조: 조건 미확인 / 재회·무시 패턴: 조건 미확인</v>
      </c>
      <c r="CM24" s="40" t="str">
        <f>IF(LEN(TRIM(CE24&amp;""))&gt;0,CE24,IF(LEN(TRIM(AQ24&amp;""))=0,"",AQ24&amp;IF(LEN(TRIM(AR24&amp;""))&gt;0,". "&amp;AR24,IF(COUNT('3_보호자행동'!P69)=0," (자동 초안 · 근거 비율 미산출)"," (자동 초안 · 허용 "&amp;TEXT('3_보호자행동'!P69,"0.00")&amp;" / 조율 "&amp;TEXT('3_보호자행동'!Q69,"0.00")&amp;" / 통제 "&amp;TEXT('3_보호자행동'!R69,"0.00")&amp;")"))))</f>
        <v>판정보류 (자동 초안 · 근거 비율 미산출)</v>
      </c>
      <c r="CN24" s="40" t="str">
        <f t="shared" si="8"/>
        <v>자료 부족</v>
      </c>
      <c r="CO24" s="40" t="str">
        <f t="shared" si="9"/>
        <v>조건 미확인</v>
      </c>
      <c r="CP24" s="40" t="str">
        <f t="shared" si="10"/>
        <v/>
      </c>
      <c r="CQ24" s="40" t="str">
        <f>IF('6_행사전문가의견'!E328&lt;&gt;"완료","",IF(LEN(TRIM('6_행사전문가의견'!D324&amp;""))=0,"",'6_행사전문가의견'!D324))</f>
        <v/>
      </c>
      <c r="CR24" s="40" t="str">
        <f>IF('6_행사전문가의견'!E328&lt;&gt;"완료","",IF(LEN(TRIM('6_행사전문가의견'!D326&amp;""))=0,"",'6_행사전문가의견'!D326))</f>
        <v/>
      </c>
      <c r="CS24" s="40" t="str">
        <f t="shared" si="11"/>
        <v/>
      </c>
      <c r="CT24" s="40" t="str">
        <f t="shared" si="12"/>
        <v/>
      </c>
      <c r="CU24" s="37" t="str">
        <f>IF(LEN(TRIM('3_보호자행동'!U69&amp;""))=0,"",'3_보호자행동'!U69)</f>
        <v>자동 초안</v>
      </c>
    </row>
    <row r="25" spans="1:99" ht="81.95" customHeight="1" x14ac:dyDescent="0.3">
      <c r="A25" s="16">
        <v>20</v>
      </c>
      <c r="B25" s="16"/>
      <c r="C25" s="16"/>
      <c r="D25" s="50" t="str">
        <f>IF(COUNT('3_보호자행동'!AC5)=0,"",'3_보호자행동'!AC5)</f>
        <v/>
      </c>
      <c r="E25" s="16" t="str">
        <f>IF(COUNT('3_보호자행동'!AC6)=0,"",'3_보호자행동'!AC6)</f>
        <v/>
      </c>
      <c r="F25" s="16" t="str">
        <f>IF(COUNT('3_보호자행동'!AC9)=0,"",'3_보호자행동'!AC9)</f>
        <v/>
      </c>
      <c r="G25" s="50" t="str">
        <f>IF(AND(OR('3_보호자행동'!AC14=1,'3_보호자행동'!AC14=2),BC25&gt;=2),BA25/BC25,"")</f>
        <v/>
      </c>
      <c r="H25" s="16" t="str">
        <f>IF(AND(OR('3_보호자행동'!AC14=1,'3_보호자행동'!AC14=2),BC25&gt;=2),BB25/BC25,"")</f>
        <v/>
      </c>
      <c r="I25" s="17">
        <f t="shared" si="0"/>
        <v>0</v>
      </c>
      <c r="J25" s="16" t="str">
        <f t="shared" si="1"/>
        <v>자료 부족</v>
      </c>
      <c r="K25" s="16" t="str">
        <f t="shared" si="2"/>
        <v/>
      </c>
      <c r="L25" s="16" t="str">
        <f t="shared" si="3"/>
        <v/>
      </c>
      <c r="M25" s="16" t="str">
        <f>IF(LEN(TRIM('2_개행동'!B89&amp;""))=0,"미판정",IF(OR('2_개행동'!B89="곁에서 안심하는 사이",'2_개행동'!B89="가까이 있어도 안심이 어려운 사이",'2_개행동'!B89="거리를 두고 지내는 사이",'2_개행동'!B89="다가감과 물러섬이 함께 나오는 사이",'2_개행동'!B89="판정보류"),'2_개행동'!B89,"유형 입력 확인"))</f>
        <v>미판정</v>
      </c>
      <c r="N25" s="16" t="str">
        <f>IF(COUNT('2_개행동'!AC18)=0,"",'2_개행동'!AC18)</f>
        <v/>
      </c>
      <c r="O25" s="16" t="str">
        <f>IF(COUNT('2_개행동'!AC47)=0,"",'2_개행동'!AC47)</f>
        <v/>
      </c>
      <c r="P25" s="50" t="str">
        <f>IF(OR('3_보호자행동'!AC13=1,'3_보호자행동'!AC13=2),IF(COUNT('2_개행동'!AC24)=0,"",'2_개행동'!AC24),"")</f>
        <v/>
      </c>
      <c r="Q25" s="16" t="str">
        <f>IF(OR('3_보호자행동'!AC13=1,'3_보호자행동'!AC13=2),IF(COUNT('2_개행동'!AC25)=0,"",'2_개행동'!AC25),"")</f>
        <v/>
      </c>
      <c r="R25" s="51" t="str">
        <f t="shared" si="4"/>
        <v/>
      </c>
      <c r="S25" s="50" t="str">
        <f>IF(COUNT('2_개행동'!AC28)=0,"",'2_개행동'!AC28)</f>
        <v/>
      </c>
      <c r="T25" s="16" t="str">
        <f>IF(COUNT('2_개행동'!AC34)=0,"",'2_개행동'!AC34)</f>
        <v/>
      </c>
      <c r="U25" s="16" t="str">
        <f>IF(COUNT('2_개행동'!AC50)=0,"",'2_개행동'!AC50)</f>
        <v/>
      </c>
      <c r="V25" s="52" t="str">
        <f>IF(AND(COUNT('2_개행동'!AC8,'2_개행동'!AC23)=2,OR('3_보호자행동'!AC12=1,'3_보호자행동'!AC12=2)),ABS('2_개행동'!AC8)-ABS('2_개행동'!AC23),"")</f>
        <v/>
      </c>
      <c r="W25" s="52" t="str">
        <f>IF(COUNT('2_개행동'!AC58,'2_개행동'!AC18)&lt;2,"",ABS('2_개행동'!AC58)-ABS('2_개행동'!AC18))</f>
        <v/>
      </c>
      <c r="X25" s="52"/>
      <c r="Y25" s="16" t="str">
        <f>IF(COUNT('2_개행동'!AC8)=0,"",'2_개행동'!AC8)</f>
        <v/>
      </c>
      <c r="Z25" s="51" t="str">
        <f>IF(COUNT('2_개행동'!AC27)=0,"",'2_개행동'!AC27)</f>
        <v/>
      </c>
      <c r="AA25" s="18"/>
      <c r="AB25" s="16" t="str">
        <f>IF(COUNT('2_개행동'!AC9)=0,"",'2_개행동'!AC9)</f>
        <v/>
      </c>
      <c r="AC25" s="16" t="str">
        <f>IF(COUNT('2_개행동'!AC10)=0,"",'2_개행동'!AC10)</f>
        <v/>
      </c>
      <c r="AD25" s="16" t="str">
        <f>IF(COUNT('2_개행동'!AC18)=0,"",'2_개행동'!AC18)</f>
        <v/>
      </c>
      <c r="AE25" s="16" t="str">
        <f>IF(AND(COUNT('2_개행동'!AC17,'2_개행동'!AC19,'2_개행동'!AC22)=3,OR('3_보호자행동'!AC12=1,'3_보호자행동'!AC12=2)),IF(COUNT('2_개행동'!AC17)=0,0,MAX(0,-'2_개행동'!AC17))+IF(COUNT('2_개행동'!AC19)=0,0,MAX(0,-'2_개행동'!AC19))+IF(COUNT('2_개행동'!AC22)=0,0,MAX(0,-'2_개행동'!AC22)),"")</f>
        <v/>
      </c>
      <c r="AF25" s="16" t="str">
        <f>IF(AND(COUNT('2_개행동'!AC17,'2_개행동'!AC19,'2_개행동'!AC22)=3,OR('3_보호자행동'!AC12=1,'3_보호자행동'!AC12=2)),IF(COUNT('2_개행동'!AC17)=0,0,MAX(0,'2_개행동'!AC17))+IF(COUNT('2_개행동'!AC19)=0,0,MAX(0,'2_개행동'!AC19))+IF(COUNT('2_개행동'!AC22)=0,0,MAX(0,'2_개행동'!AC22)),"")</f>
        <v/>
      </c>
      <c r="AG25" s="40" t="str">
        <f>IF(COUNT('3_보호자행동'!AC14)=0,"조건 미확인",IF('3_보호자행동'!AC14=3,"조건 이탈",IF(BC25&lt;2,"자료 부족",IF(AND(BA25&gt;0,BB25&gt;0),"양방향 관찰",IF(BA25&gt;0,"−방향 관찰",IF(BB25&gt;0,"+방향 관찰","중앙범주만 관찰"))))))</f>
        <v>조건 미확인</v>
      </c>
      <c r="AH25" s="40" t="str">
        <f>IF(COUNT('3_보호자행동'!AC13)=0,"조건 미확인",IF('3_보호자행동'!AC13=3,"조건 이탈",IF(COUNT('2_개행동'!AC24)=0,"자료 부족",CHOOSE('2_개행동'!AC24+3,"−2","−1","0","+1","+2"))))</f>
        <v>조건 미확인</v>
      </c>
      <c r="AI25" s="40" t="str">
        <f>IF(COUNT('2_개행동'!AC28)=0,"자료 부족",CHOOSE('2_개행동'!AC28+3,"−2","−1","0","+1","+2"))</f>
        <v>자료 부족</v>
      </c>
      <c r="AJ25" s="40" t="str">
        <f>IF(COUNT('2_개행동'!AC8,'2_개행동'!AC14,'2_개행동'!AC18,'2_개행동'!AC23,'2_개행동'!AC44,'2_개행동'!AC52,'2_개행동'!AC58)=0,"",IF(COUNT('2_개행동'!AC8)=0,0,IF('2_개행동'!AC8&lt;0,1,0))+IF(COUNT('2_개행동'!AC14)=0,0,IF('2_개행동'!AC14&lt;0,1,0))+IF(COUNT('2_개행동'!AC18)=0,0,IF('2_개행동'!AC18&lt;0,1,0))+IF(COUNT('2_개행동'!AC23)=0,0,IF('2_개행동'!AC23&lt;0,1,0))+IF(COUNT('2_개행동'!AC44)=0,0,IF('2_개행동'!AC44&lt;0,1,0))+IF(COUNT('2_개행동'!AC52)=0,0,IF('2_개행동'!AC52&lt;0,1,0))+IF(COUNT('2_개행동'!AC58)=0,0,IF('2_개행동'!AC58&lt;0,1,0)))</f>
        <v/>
      </c>
      <c r="AK25" s="40" t="str">
        <f>IF(COUNT('2_개행동'!AC8,'2_개행동'!AC14,'2_개행동'!AC18,'2_개행동'!AC23,'2_개행동'!AC44,'2_개행동'!AC52,'2_개행동'!AC58)=0,"",IF(COUNT('2_개행동'!AC8)=0,0,IF('2_개행동'!AC8&gt;0,1,0))+IF(COUNT('2_개행동'!AC14)=0,0,IF('2_개행동'!AC14&gt;0,1,0))+IF(COUNT('2_개행동'!AC18)=0,0,IF('2_개행동'!AC18&gt;0,1,0))+IF(COUNT('2_개행동'!AC23)=0,0,IF('2_개행동'!AC23&gt;0,1,0))+IF(COUNT('2_개행동'!AC44)=0,0,IF('2_개행동'!AC44&gt;0,1,0))+IF(COUNT('2_개행동'!AC52)=0,0,IF('2_개행동'!AC52&gt;0,1,0))+IF(COUNT('2_개행동'!AC58)=0,0,IF('2_개행동'!AC58&gt;0,1,0)))</f>
        <v/>
      </c>
      <c r="AL25" s="40" t="str">
        <f>IF(COUNT('2_개행동'!AC8,'2_개행동'!AC14,'2_개행동'!AC18,'2_개행동'!AC23,'2_개행동'!AC44,'2_개행동'!AC52,'2_개행동'!AC58)&lt;1,"자료 부족",IF(AND(AJ25&gt;0,AK25&gt;0),"양방향 관찰",IF(AJ25&gt;0,"−방향 관찰",IF(AK25&gt;0,"+방향 관찰","중앙범주만 관찰"))))</f>
        <v>자료 부족</v>
      </c>
      <c r="AM25" s="40" t="str">
        <f>IF(AND(COUNT('2_개행동'!AC30,'2_개행동'!AC34)=2,OR('3_보호자행동'!AC14=1,'3_보호자행동'!AC14=2)),IF('2_개행동'!AC30='2_개행동'!AC34,"같은 범주","범주 변화"),"비교 보류")</f>
        <v>비교 보류</v>
      </c>
      <c r="AN25" s="40" t="str">
        <f>IF(COUNT('2_개행동'!AC5)=0,"자료 부족",CHOOSE('2_개행동'!AC5+3,"−2","−1","0","+1","+2"))</f>
        <v>자료 부족</v>
      </c>
      <c r="AO25" s="40" t="str">
        <f>IF(COUNT('3_보호자행동'!AC13)=0,"조건 미확인",IF('3_보호자행동'!AC13=3,"조건 이탈",IF(COUNT('2_개행동'!AC25)=0,"자료 부족",CHOOSE('2_개행동'!AC25+3,"−2","−1","0","+1","+2"))))</f>
        <v>조건 미확인</v>
      </c>
      <c r="AP25" s="40" t="str">
        <f>IF(COUNT('1_바디시그널'!AC7,'1_바디시그널'!AC38)&lt;2,"",'1_바디시그널'!AC7-'1_바디시그널'!AC38)</f>
        <v/>
      </c>
      <c r="AQ25" s="38" t="str">
        <f>IF(LEN(TRIM('3_보호자행동'!T70&amp;""))=0,"",'3_보호자행동'!T70)</f>
        <v>판정보류</v>
      </c>
      <c r="AR25" s="38" t="str">
        <f>IF('3_보호자행동'!U70&lt;&gt;"채점자 선택","",IF(LEN(TRIM('3_보호자행동'!C70&amp;""))=0,"",'3_보호자행동'!C70))</f>
        <v/>
      </c>
      <c r="AS25" s="38" t="str">
        <f>'3_보호자행동'!I70</f>
        <v>자동 · 판정보류</v>
      </c>
      <c r="AT25" s="38" t="str">
        <f>IF('3_보호자행동'!U70="채점자 선택",'3_보호자행동'!G70,"")</f>
        <v/>
      </c>
      <c r="AU25" s="40" t="str">
        <f>IF(COUNT('3_보호자행동'!AC12)=0,"조건 미확인",IF('3_보호자행동'!AC12=3,"조건 이탈",IF(COUNT(AE25,AF25,'2_개행동'!AC18)&lt;3,"자료 부족",IF(AND(AE25&gt;=2,AF25&gt;=2),"접촉·거리 반응 혼재",IF(ABS('2_개행동'!AC18)=2,"재회 몸 상태 지속",IF(AF25&gt;=3,"거리 유지 관찰",IF(AE25&gt;=4,"접촉 유지 관찰","기준상 뚜렷한 치우침 없음")))))))</f>
        <v>조건 미확인</v>
      </c>
      <c r="AV25" s="40" t="str">
        <f>"발성량: 혼자 "&amp;IF(COUNT('2_개행동'!AC11)=0,"미확인",TEXT('2_개행동'!AC11,"0"))&amp;" / 재회 "&amp;IF(COUNT('2_개행동'!AC47)=0,"미확인",TEXT('2_개행동'!AC47,"0"))&amp;" / 무시 "&amp;IF(COUNT('2_개행동'!AC48)=0,"미확인",TEXT('2_개행동'!AC48,"0"))&amp;" · 접근 변화 사건 "&amp;IF(COUNT('2_개행동'!AC21)=0,"미확인",TEXT('2_개행동'!AC21,"0"))</f>
        <v>발성량: 혼자 미확인 / 재회 미확인 / 무시 미확인 · 접근 변화 사건 미확인</v>
      </c>
      <c r="AW25" s="40" t="str">
        <f>IF(AND(OR('3_보호자행동'!AC14=1,'3_보호자행동'!AC14=2),BC25&gt;=2),(IF(COUNT('2_개행동'!AC5)=0,0,100-50*ABS('2_개행동'!AC5))+IF(COUNT('2_개행동'!AC6)=0,0,100-50*ABS('2_개행동'!AC6))+IF(COUNT('2_개행동'!AC30)=0,0,100-50*ABS('2_개행동'!AC30)))/BC25,"")</f>
        <v/>
      </c>
      <c r="AX25" s="40" t="str">
        <f>IF(BF25&gt;=4,(IF(COUNT('2_개행동'!AC13)=0,0,100-50*ABS('2_개행동'!AC13))+IF(COUNT('2_개행동'!AC14)=0,0,100-50*ABS('2_개행동'!AC14))+IF(COUNT('2_개행동'!AC15)=0,0,100-50*ABS('2_개행동'!AC15))+IF(COUNT('2_개행동'!AC51)=0,0,100-50*ABS('2_개행동'!AC51))+IF(COUNT('2_개행동'!AC52)=0,0,100-50*ABS('2_개행동'!AC52))+IF(COUNT('2_개행동'!AC54)=0,0,100-50*ABS('2_개행동'!AC54))+IF(COUNT('2_개행동'!AC55)=0,0,100-50*ABS('2_개행동'!AC55)))/BF25,"")</f>
        <v/>
      </c>
      <c r="AY25" s="40" t="str">
        <f t="shared" si="5"/>
        <v/>
      </c>
      <c r="AZ25" s="40" t="str">
        <f>IF(COUNT('2_개행동'!AC48)=0,"",'2_개행동'!AC48)</f>
        <v/>
      </c>
      <c r="BA25" s="40" t="str">
        <f>IF(COUNT('2_개행동'!AC5,'2_개행동'!AC6,'2_개행동'!AC30)=0,"",IF(COUNT('2_개행동'!AC5)=0,0,MAX(0,-'2_개행동'!AC5))+IF(COUNT('2_개행동'!AC6)=0,0,MAX(0,-'2_개행동'!AC6))+IF(COUNT('2_개행동'!AC30)=0,0,MAX(0,-'2_개행동'!AC30)))</f>
        <v/>
      </c>
      <c r="BB25" s="40" t="str">
        <f>IF(COUNT('2_개행동'!AC5,'2_개행동'!AC6,'2_개행동'!AC30)=0,"",IF(COUNT('2_개행동'!AC5)=0,0,MAX(0,'2_개행동'!AC5))+IF(COUNT('2_개행동'!AC6)=0,0,MAX(0,'2_개행동'!AC6))+IF(COUNT('2_개행동'!AC30)=0,0,MAX(0,'2_개행동'!AC30)))</f>
        <v/>
      </c>
      <c r="BC25" s="40">
        <f>COUNT('2_개행동'!AC5,'2_개행동'!AC6,'2_개행동'!AC30)</f>
        <v>0</v>
      </c>
      <c r="BD25" s="40" t="str">
        <f>IF(COUNT('2_개행동'!AC13,'2_개행동'!AC14,'2_개행동'!AC15,'2_개행동'!AC51,'2_개행동'!AC52,'2_개행동'!AC54,'2_개행동'!AC55)=0,"",IF(COUNT('2_개행동'!AC13)=0,0,MAX(0,-'2_개행동'!AC13))+IF(COUNT('2_개행동'!AC14)=0,0,MAX(0,-'2_개행동'!AC14))+IF(COUNT('2_개행동'!AC15)=0,0,MAX(0,-'2_개행동'!AC15))+IF(COUNT('2_개행동'!AC51)=0,0,MAX(0,-'2_개행동'!AC51))+IF(COUNT('2_개행동'!AC52)=0,0,MAX(0,-'2_개행동'!AC52))+IF(COUNT('2_개행동'!AC54)=0,0,MAX(0,-'2_개행동'!AC54))+IF(COUNT('2_개행동'!AC55)=0,0,MAX(0,-'2_개행동'!AC55)))</f>
        <v/>
      </c>
      <c r="BE25" s="40" t="str">
        <f>IF(COUNT('2_개행동'!AC13,'2_개행동'!AC14,'2_개행동'!AC15,'2_개행동'!AC51,'2_개행동'!AC52,'2_개행동'!AC54,'2_개행동'!AC55)=0,"",IF(COUNT('2_개행동'!AC13)=0,0,MAX(0,'2_개행동'!AC13))+IF(COUNT('2_개행동'!AC14)=0,0,MAX(0,'2_개행동'!AC14))+IF(COUNT('2_개행동'!AC15)=0,0,MAX(0,'2_개행동'!AC15))+IF(COUNT('2_개행동'!AC51)=0,0,MAX(0,'2_개행동'!AC51))+IF(COUNT('2_개행동'!AC52)=0,0,MAX(0,'2_개행동'!AC52))+IF(COUNT('2_개행동'!AC54)=0,0,MAX(0,'2_개행동'!AC54))+IF(COUNT('2_개행동'!AC55)=0,0,MAX(0,'2_개행동'!AC55)))</f>
        <v/>
      </c>
      <c r="BF25" s="40">
        <f>COUNT('2_개행동'!AC13,'2_개행동'!AC14,'2_개행동'!AC15,'2_개행동'!AC51,'2_개행동'!AC52,'2_개행동'!AC54,'2_개행동'!AC55)</f>
        <v>0</v>
      </c>
      <c r="BG25" s="38" t="str">
        <f>IF(LEN(TRIM('2_개행동'!C89&amp;""))=0,"",'2_개행동'!C89)</f>
        <v/>
      </c>
      <c r="BH25" s="38" t="str">
        <f>IF(LEN(TRIM('2_개행동'!G89&amp;""))=0,"",'2_개행동'!G89)</f>
        <v/>
      </c>
      <c r="BI25" s="38" t="str">
        <f>'2_개행동'!I89</f>
        <v>미판정</v>
      </c>
      <c r="BJ25" s="38" t="str">
        <f>IF(M25="미판정","애착유형 미판정",IF(M25="유형 입력 확인","유형 입력을 확인해 주세요.",IF(LEN(TRIM(BG25&amp;""))=0,IF(M25="판정보류","판정보류 사유를 입력해 주세요.","관찰 근거 미기록: 유형 설명 보류"),IF(M25="곁에서 안심하는 사이",성향문장!C49,IF(M25="가까이 있어도 안심이 어려운 사이",성향문장!C50,IF(M25="거리를 두고 지내는 사이",성향문장!C51,IF(M25="다가감과 물러섬이 함께 나오는 사이",성향문장!C52,성향문장!C53)))))))</f>
        <v>애착유형 미판정</v>
      </c>
      <c r="BK25" s="37" t="str">
        <f>IF(COUNT('3_보호자행동'!AC12)=0,"조건 미확인",IF('3_보호자행동'!AC12=3,"조건 이탈",IF(COUNT('2_개행동'!AC9,'2_개행동'!AC17,'2_개행동'!AC18,'2_개행동'!AC19,'2_개행동'!AC22)&lt;5,"자료 부족",IF(N('2_개행동'!AC21)&gt;=2,"접근이 여러 번 바뀜 — 한 서술로 묶지 않음",IF(AND($AE25&gt;=2,$AF25&gt;=2),"섞여 있음",IF(-'2_개행동'!AC9&gt;=1,IF(ABS('2_개행동'!AC18)&lt;=1,IF($AF25&gt;=$AE25,"없을 때 흔들 → 있을 때 가라앉고 자기 일","없을 때 흔들 → 있을 때 가라앉고 곁에 붙음"),"없을 때 흔들 → 있을 때도 못 가라앉음"),IF($AE25&gt;=2,"없을 때 담담 → 있을 때 곁에 붙음","없을 때도 있을 때도 비슷")))))))</f>
        <v>조건 미확인</v>
      </c>
      <c r="BL25" s="37" t="str">
        <f>IF(OR(COUNT('1_바디시그널'!AC$5)=0,COUNT('1_바디시그널'!AC$38)=0),"",'1_바디시그널'!AC$5-'1_바디시그널'!AC$38)</f>
        <v/>
      </c>
      <c r="BM25" s="37" t="str">
        <f>IF(OR(COUNT('1_바디시그널'!AC$9)=0,COUNT('1_바디시그널'!AC$38)=0),"",'1_바디시그널'!AC$9-'1_바디시그널'!AC$38)</f>
        <v/>
      </c>
      <c r="BN25" s="37" t="str">
        <f>IF(OR(COUNT('1_바디시그널'!AC$11)=0,COUNT('1_바디시그널'!AC$38)=0),"",'1_바디시그널'!AC$11-'1_바디시그널'!AC$38)</f>
        <v/>
      </c>
      <c r="BO25" s="37" t="str">
        <f>IF(OR(COUNT('1_바디시그널'!AC$13)=0,COUNT('1_바디시그널'!AC$38)=0),"",'1_바디시그널'!AC$13-'1_바디시그널'!AC$38)</f>
        <v/>
      </c>
      <c r="BP25" s="37" t="str">
        <f>IF(OR(COUNT('1_바디시그널'!AC$39)=0,COUNT('1_바디시그널'!AC$38)=0),"",'1_바디시그널'!AC$39-'1_바디시그널'!AC$38)</f>
        <v/>
      </c>
      <c r="BQ25" s="37" t="str">
        <f>IF(OR(COUNT('1_바디시그널'!AC$43)=0,COUNT('1_바디시그널'!AC$38)=0),"",'1_바디시그널'!AC$43-'1_바디시그널'!AC$38)</f>
        <v/>
      </c>
      <c r="BR25" s="37" t="str">
        <f>IF(OR(COUNT('1_바디시그널'!AC$44)=0,COUNT('1_바디시그널'!AC$38)=0),"",'1_바디시그널'!AC$44-'1_바디시그널'!AC$38)</f>
        <v/>
      </c>
      <c r="BS25" s="37" t="str">
        <f>IF(OR(COUNT('1_바디시그널'!AC$45)=0,COUNT('1_바디시그널'!AC$38)=0),"",'1_바디시그널'!AC$45-'1_바디시그널'!AC$38)</f>
        <v/>
      </c>
      <c r="BT25" s="37" t="str">
        <f>IF(OR(COUNT('1_바디시그널'!AC$41)=0,COUNT('1_바디시그널'!AC$40)=0),"",'1_바디시그널'!AC$41-'1_바디시그널'!AC$40)</f>
        <v/>
      </c>
      <c r="BU25" s="37" t="str">
        <f>IF(OR(COUNT('1_바디시그널'!AC$42)=0,COUNT('1_바디시그널'!AC$40)=0),"",'1_바디시그널'!AC$42-'1_바디시그널'!AC$40)</f>
        <v/>
      </c>
      <c r="BV25" s="37">
        <f>N('2_개행동'!AC$5&lt;=-1)+N('2_개행동'!AC$6&lt;=-1)+IF(AND(COUNT('2_개행동'!AC$30)=1,COUNT('3_보호자행동'!AC$14)=1,'3_보호자행동'!AC$14&lt;=2),N('2_개행동'!AC$30&lt;=-1),0)</f>
        <v>0</v>
      </c>
      <c r="BW25" s="37">
        <f>N('2_개행동'!AC$5&gt;=1)+N('2_개행동'!AC$6&gt;=1)+IF(AND(COUNT('2_개행동'!AC$30)=1,COUNT('3_보호자행동'!AC$14)=1,'3_보호자행동'!AC$14&lt;=2),N('2_개행동'!AC$30&gt;=1),0)</f>
        <v>0</v>
      </c>
      <c r="BX25" s="37">
        <f>COUNT('2_개행동'!AC$5,'2_개행동'!AC$6)+IF(AND(COUNT('2_개행동'!AC$30)=1,COUNT('3_보호자행동'!AC$14)=1,'3_보호자행동'!AC$14&lt;=2),1,0)</f>
        <v>0</v>
      </c>
      <c r="BY25" s="37" t="str">
        <f t="shared" si="6"/>
        <v>자료 부족</v>
      </c>
      <c r="BZ25" s="37" t="str">
        <f>"문 "&amp;IF(COUNT('2_개행동'!AC$5)=0,"미확인",SUBSTITUTE(TEXT('2_개행동'!AC$5,"+0;-0;0"),"-","−"))&amp;" · 바닥 "&amp;IF(COUNT('2_개행동'!AC$6)=0,"미확인",SUBSTITUTE(TEXT('2_개행동'!AC$6,"+0;-0;0"),"-","−"))&amp;" · 물건 "&amp;IF(AND(COUNT('2_개행동'!AC$30)=1,COUNT('3_보호자행동'!AC$14)=1,'3_보호자행동'!AC$14&lt;=2),IF(COUNT('2_개행동'!AC$30)=0,"미확인",SUBSTITUTE(TEXT('2_개행동'!AC$30,"+0;-0;0"),"-","−")),"보류")&amp;"  /  꼬리 기준대비 입장 "&amp;IF(COUNT($BL25)=0,"미확인",SUBSTITUTE(TEXT($BL25,"+0;-0;0"),"-","−"))&amp;" · 바닥 "&amp;IF(COUNT($AP25)=0,"미확인",SUBSTITUTE(TEXT($AP25,"+0;-0;0"),"-","−"))&amp;" · 물건 "&amp;IF(COUNT($BR25)=0,"미확인",SUBSTITUTE(TEXT($BR25,"+0;-0;0"),"-","−"))&amp;"  /  긴장 신호 "&amp;IF(COUNT('1_바디시그널'!AC$14,'1_바디시그널'!AC$15,'1_바디시그널'!AC$16)=0,"미확인",TEXT(SUM('1_바디시그널'!AC$14,'1_바디시그널'!AC$15,'1_바디시그널'!AC$16),"0")&amp;"회")&amp;"  /  냄새 "&amp;IF(COUNT('2_개행동'!AC$7)=0,"미확인",IF('2_개행동'!AC$7=0,"씀","안 씀"))</f>
        <v>문 미확인 · 바닥 미확인 · 물건 보류  /  꼬리 기준대비 입장 미확인 · 바닥 미확인 · 물건 미확인  /  긴장 신호 미확인  /  냄새 미확인</v>
      </c>
      <c r="CA25" s="37" t="str">
        <f>IF(AND('6_행사전문가의견'!E344="완료",OR('6_행사전문가의견'!B346="주저함 · 거리를 벌림",'6_행사전문가의견'!B346="뚜렷한 치우침 없음",'6_행사전문가의견'!B346="살피지 않고 들이닥침",'6_행사전문가의견'!B346="자극에 따라 다름",'6_행사전문가의견'!B346="판단보류"),LEN(TRIM('6_행사전문가의견'!B347&amp;""))&gt;0),'6_행사전문가의견'!B346,"")</f>
        <v/>
      </c>
      <c r="CB25" s="37" t="str">
        <f>IF(AND('6_행사전문가의견'!E344="완료",OR('6_행사전문가의견'!B346="주저함 · 거리를 벌림",'6_행사전문가의견'!B346="뚜렷한 치우침 없음",'6_행사전문가의견'!B346="살피지 않고 들이닥침",'6_행사전문가의견'!B346="자극에 따라 다름",'6_행사전문가의견'!B346="판단보류"),LEN(TRIM('6_행사전문가의견'!B347&amp;""))&gt;0),'6_행사전문가의견'!B347,"")</f>
        <v/>
      </c>
      <c r="CC25" s="37" t="str">
        <f t="shared" si="7"/>
        <v>자료 부족</v>
      </c>
      <c r="CD25" s="38" t="str">
        <f>IF('6_행사전문가의견'!E344&lt;&gt;"완료","",IF(LEN(TRIM('6_행사전문가의견'!D337&amp;""))=0,"",'6_행사전문가의견'!D337))</f>
        <v/>
      </c>
      <c r="CE25" s="38" t="str">
        <f>IF('6_행사전문가의견'!E344&lt;&gt;"완료","",IF(LEN(TRIM('6_행사전문가의견'!D338&amp;""))=0,"",'6_행사전문가의견'!D338))</f>
        <v/>
      </c>
      <c r="CF25" s="38" t="str">
        <f>IF('6_행사전문가의견'!E344&lt;&gt;"완료","",IF(LEN(TRIM('6_행사전문가의견'!D339&amp;""))=0,"",'6_행사전문가의견'!D339))</f>
        <v/>
      </c>
      <c r="CG25" s="38" t="str">
        <f>IF('6_행사전문가의견'!E344&lt;&gt;"완료","",IF(LEN(TRIM('6_행사전문가의견'!D341&amp;""))=0,"",'6_행사전문가의견'!D341))</f>
        <v/>
      </c>
      <c r="CH25" s="38" t="str">
        <f>IF('6_행사전문가의견'!E344&lt;&gt;"완료","",IF(LEN(TRIM('6_행사전문가의견'!D343&amp;""))=0,"",'6_행사전문가의견'!D343))</f>
        <v/>
      </c>
      <c r="CI25" s="38" t="str">
        <f>IF('6_행사전문가의견'!E344&lt;&gt;"완료","",IF(LEN(TRIM('6_행사전문가의견'!C335&amp;""))=0,"",'6_행사전문가의견'!C335))</f>
        <v/>
      </c>
      <c r="CJ25" s="38" t="str">
        <f>'6_행사전문가의견'!E344</f>
        <v>미작성</v>
      </c>
      <c r="CK25" s="37" t="str">
        <f>'2_개행동'!AC60</f>
        <v>미채점</v>
      </c>
      <c r="CL25" s="40" t="str">
        <f>IF(LEN(TRIM(CD25&amp;""))&gt;0,CD25,"분리 초기: "&amp;IF(COUNT('2_개행동'!AC$9)=0,"자료 부족",INDEX('2_개행동'!$C$9:$G$9,1,'2_개행동'!AC$9+3))&amp;" / 분리 이후: "&amp;IF(COUNT('2_개행동'!AC$10)=0,"자료 부족",INDEX('2_개행동'!$C$10:$G$10,1,'2_개행동'!AC$10+3))&amp;" / 변화: "&amp;CK25&amp;" / 분리·재회·무시 보조: "&amp;BK25&amp;" / 재회·무시 패턴: "&amp;AU25&amp;IF(M25="미판정",""," / 기본 유형: "&amp;M25&amp;IF(LEN(TRIM(BG25&amp;""))&gt;0," / 근거: "&amp;BG25,"")))</f>
        <v>분리 초기: 자료 부족 / 분리 이후: 자료 부족 / 변화: 미채점 / 분리·재회·무시 보조: 조건 미확인 / 재회·무시 패턴: 조건 미확인</v>
      </c>
      <c r="CM25" s="40" t="str">
        <f>IF(LEN(TRIM(CE25&amp;""))&gt;0,CE25,IF(LEN(TRIM(AQ25&amp;""))=0,"",AQ25&amp;IF(LEN(TRIM(AR25&amp;""))&gt;0,". "&amp;AR25,IF(COUNT('3_보호자행동'!P70)=0," (자동 초안 · 근거 비율 미산출)"," (자동 초안 · 허용 "&amp;TEXT('3_보호자행동'!P70,"0.00")&amp;" / 조율 "&amp;TEXT('3_보호자행동'!Q70,"0.00")&amp;" / 통제 "&amp;TEXT('3_보호자행동'!R70,"0.00")&amp;")"))))</f>
        <v>판정보류 (자동 초안 · 근거 비율 미산출)</v>
      </c>
      <c r="CN25" s="40" t="str">
        <f t="shared" si="8"/>
        <v>자료 부족</v>
      </c>
      <c r="CO25" s="40" t="str">
        <f t="shared" si="9"/>
        <v>조건 미확인</v>
      </c>
      <c r="CP25" s="40" t="str">
        <f t="shared" si="10"/>
        <v/>
      </c>
      <c r="CQ25" s="40" t="str">
        <f>IF('6_행사전문가의견'!E344&lt;&gt;"완료","",IF(LEN(TRIM('6_행사전문가의견'!D340&amp;""))=0,"",'6_행사전문가의견'!D340))</f>
        <v/>
      </c>
      <c r="CR25" s="40" t="str">
        <f>IF('6_행사전문가의견'!E344&lt;&gt;"완료","",IF(LEN(TRIM('6_행사전문가의견'!D342&amp;""))=0,"",'6_행사전문가의견'!D342))</f>
        <v/>
      </c>
      <c r="CS25" s="40" t="str">
        <f t="shared" si="11"/>
        <v/>
      </c>
      <c r="CT25" s="40" t="str">
        <f t="shared" si="12"/>
        <v/>
      </c>
      <c r="CU25" s="37" t="str">
        <f>IF(LEN(TRIM('3_보호자행동'!U70&amp;""))=0,"",'3_보호자행동'!U70)</f>
        <v>자동 초안</v>
      </c>
    </row>
  </sheetData>
  <mergeCells count="1">
    <mergeCell ref="AM4:AM5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workbookViewId="0"/>
  </sheetViews>
  <sheetFormatPr defaultRowHeight="16.5" x14ac:dyDescent="0.3"/>
  <cols>
    <col min="1" max="1" width="23.375" style="2" customWidth="1"/>
    <col min="2" max="2" width="34.625" style="2" customWidth="1"/>
    <col min="3" max="3" width="76.625" style="2" customWidth="1"/>
    <col min="4" max="4" width="42.625" style="2" customWidth="1"/>
    <col min="5" max="5" width="72.625" style="2" customWidth="1"/>
  </cols>
  <sheetData>
    <row r="1" spans="1:5" ht="82.5" customHeight="1" x14ac:dyDescent="0.3">
      <c r="A1" s="40" t="s">
        <v>1035</v>
      </c>
      <c r="B1" s="40"/>
      <c r="C1" s="40"/>
      <c r="D1" s="40"/>
      <c r="E1" s="40"/>
    </row>
    <row r="2" spans="1:5" ht="181.5" customHeight="1" x14ac:dyDescent="0.3">
      <c r="A2" s="40" t="s">
        <v>1036</v>
      </c>
      <c r="B2" s="40"/>
      <c r="C2" s="40"/>
      <c r="D2" s="40"/>
      <c r="E2" s="40"/>
    </row>
    <row r="3" spans="1:5" x14ac:dyDescent="0.3">
      <c r="A3" s="40"/>
      <c r="B3" s="40"/>
      <c r="C3" s="40"/>
      <c r="D3" s="40"/>
      <c r="E3" s="40"/>
    </row>
    <row r="4" spans="1:5" s="1" customFormat="1" x14ac:dyDescent="0.3">
      <c r="A4" s="4" t="s">
        <v>56</v>
      </c>
      <c r="B4" s="4" t="s">
        <v>1037</v>
      </c>
      <c r="C4" s="4" t="s">
        <v>1038</v>
      </c>
      <c r="D4" s="4" t="s">
        <v>1039</v>
      </c>
      <c r="E4" s="4" t="s">
        <v>1040</v>
      </c>
    </row>
    <row r="5" spans="1:5" ht="78" customHeight="1" x14ac:dyDescent="0.3">
      <c r="A5" s="40" t="s">
        <v>1041</v>
      </c>
      <c r="B5" s="40" t="s">
        <v>1042</v>
      </c>
      <c r="C5" s="40" t="s">
        <v>1043</v>
      </c>
      <c r="D5" s="40" t="str">
        <f t="shared" ref="D5:D36" si="0">A5&amp;"|"&amp;B5</f>
        <v>환경|−방향 관찰</v>
      </c>
      <c r="E5" s="40" t="s">
        <v>1044</v>
      </c>
    </row>
    <row r="6" spans="1:5" ht="78" customHeight="1" x14ac:dyDescent="0.3">
      <c r="A6" s="40" t="s">
        <v>1041</v>
      </c>
      <c r="B6" s="40" t="s">
        <v>1045</v>
      </c>
      <c r="C6" s="40" t="s">
        <v>1046</v>
      </c>
      <c r="D6" s="40" t="str">
        <f t="shared" si="0"/>
        <v>환경|+방향 관찰</v>
      </c>
      <c r="E6" s="40" t="s">
        <v>1044</v>
      </c>
    </row>
    <row r="7" spans="1:5" ht="78" customHeight="1" x14ac:dyDescent="0.3">
      <c r="A7" s="40" t="s">
        <v>1041</v>
      </c>
      <c r="B7" s="40" t="s">
        <v>1047</v>
      </c>
      <c r="C7" s="40" t="s">
        <v>1048</v>
      </c>
      <c r="D7" s="40" t="str">
        <f t="shared" si="0"/>
        <v>환경|중앙범주만 관찰</v>
      </c>
      <c r="E7" s="40" t="s">
        <v>1044</v>
      </c>
    </row>
    <row r="8" spans="1:5" ht="78" customHeight="1" x14ac:dyDescent="0.3">
      <c r="A8" s="40" t="s">
        <v>1041</v>
      </c>
      <c r="B8" s="40" t="s">
        <v>1049</v>
      </c>
      <c r="C8" s="40" t="s">
        <v>1050</v>
      </c>
      <c r="D8" s="40" t="str">
        <f t="shared" si="0"/>
        <v>환경|양방향 관찰</v>
      </c>
      <c r="E8" s="40" t="s">
        <v>1044</v>
      </c>
    </row>
    <row r="9" spans="1:5" ht="78" customHeight="1" x14ac:dyDescent="0.3">
      <c r="A9" s="40" t="s">
        <v>1041</v>
      </c>
      <c r="B9" s="40" t="s">
        <v>1051</v>
      </c>
      <c r="C9" s="40" t="s">
        <v>1052</v>
      </c>
      <c r="D9" s="40" t="str">
        <f t="shared" si="0"/>
        <v>환경|자료 부족</v>
      </c>
      <c r="E9" s="40" t="s">
        <v>1044</v>
      </c>
    </row>
    <row r="10" spans="1:5" ht="78" customHeight="1" x14ac:dyDescent="0.3">
      <c r="A10" s="40" t="s">
        <v>1053</v>
      </c>
      <c r="B10" s="40" t="s">
        <v>1042</v>
      </c>
      <c r="C10" s="40" t="s">
        <v>1054</v>
      </c>
      <c r="D10" s="40" t="str">
        <f t="shared" si="0"/>
        <v>사람|−방향 관찰</v>
      </c>
      <c r="E10" s="40" t="s">
        <v>1044</v>
      </c>
    </row>
    <row r="11" spans="1:5" ht="78" customHeight="1" x14ac:dyDescent="0.3">
      <c r="A11" s="40" t="s">
        <v>1053</v>
      </c>
      <c r="B11" s="40" t="s">
        <v>1045</v>
      </c>
      <c r="C11" s="40" t="s">
        <v>1055</v>
      </c>
      <c r="D11" s="40" t="str">
        <f t="shared" si="0"/>
        <v>사람|+방향 관찰</v>
      </c>
      <c r="E11" s="40" t="s">
        <v>1044</v>
      </c>
    </row>
    <row r="12" spans="1:5" ht="78" customHeight="1" x14ac:dyDescent="0.3">
      <c r="A12" s="40" t="s">
        <v>1053</v>
      </c>
      <c r="B12" s="40" t="s">
        <v>1047</v>
      </c>
      <c r="C12" s="40" t="s">
        <v>1056</v>
      </c>
      <c r="D12" s="40" t="str">
        <f t="shared" si="0"/>
        <v>사람|중앙범주만 관찰</v>
      </c>
      <c r="E12" s="40" t="s">
        <v>1044</v>
      </c>
    </row>
    <row r="13" spans="1:5" ht="78" customHeight="1" x14ac:dyDescent="0.3">
      <c r="A13" s="40" t="s">
        <v>1053</v>
      </c>
      <c r="B13" s="40" t="s">
        <v>1049</v>
      </c>
      <c r="C13" s="40" t="s">
        <v>1057</v>
      </c>
      <c r="D13" s="40" t="str">
        <f t="shared" si="0"/>
        <v>사람|양방향 관찰</v>
      </c>
      <c r="E13" s="40" t="s">
        <v>1044</v>
      </c>
    </row>
    <row r="14" spans="1:5" ht="78" customHeight="1" x14ac:dyDescent="0.3">
      <c r="A14" s="40" t="s">
        <v>1053</v>
      </c>
      <c r="B14" s="40" t="s">
        <v>1051</v>
      </c>
      <c r="C14" s="40" t="s">
        <v>1058</v>
      </c>
      <c r="D14" s="40" t="str">
        <f t="shared" si="0"/>
        <v>사람|자료 부족</v>
      </c>
      <c r="E14" s="40" t="s">
        <v>1044</v>
      </c>
    </row>
    <row r="15" spans="1:5" ht="78" customHeight="1" x14ac:dyDescent="0.3">
      <c r="A15" s="40" t="s">
        <v>1059</v>
      </c>
      <c r="B15" s="40" t="s">
        <v>1060</v>
      </c>
      <c r="C15" s="40" t="s">
        <v>1061</v>
      </c>
      <c r="D15" s="40" t="str">
        <f t="shared" si="0"/>
        <v>애착|접촉·거리 반응 혼재</v>
      </c>
      <c r="E15" s="40" t="s">
        <v>1044</v>
      </c>
    </row>
    <row r="16" spans="1:5" ht="78" customHeight="1" x14ac:dyDescent="0.3">
      <c r="A16" s="40" t="s">
        <v>1059</v>
      </c>
      <c r="B16" s="40" t="s">
        <v>1062</v>
      </c>
      <c r="C16" s="40" t="s">
        <v>1063</v>
      </c>
      <c r="D16" s="40" t="str">
        <f t="shared" si="0"/>
        <v>애착|재회 몸 상태 지속</v>
      </c>
      <c r="E16" s="40" t="s">
        <v>1044</v>
      </c>
    </row>
    <row r="17" spans="1:5" ht="78" customHeight="1" x14ac:dyDescent="0.3">
      <c r="A17" s="40" t="s">
        <v>1059</v>
      </c>
      <c r="B17" s="40" t="s">
        <v>1064</v>
      </c>
      <c r="C17" s="40" t="s">
        <v>1065</v>
      </c>
      <c r="D17" s="40" t="str">
        <f t="shared" si="0"/>
        <v>애착|거리 유지 관찰</v>
      </c>
      <c r="E17" s="40" t="s">
        <v>1044</v>
      </c>
    </row>
    <row r="18" spans="1:5" ht="78" customHeight="1" x14ac:dyDescent="0.3">
      <c r="A18" s="40" t="s">
        <v>1059</v>
      </c>
      <c r="B18" s="40" t="s">
        <v>1066</v>
      </c>
      <c r="C18" s="40" t="s">
        <v>1067</v>
      </c>
      <c r="D18" s="40" t="str">
        <f t="shared" si="0"/>
        <v>애착|접촉 유지 관찰</v>
      </c>
      <c r="E18" s="40" t="s">
        <v>1044</v>
      </c>
    </row>
    <row r="19" spans="1:5" ht="78" customHeight="1" x14ac:dyDescent="0.3">
      <c r="A19" s="40" t="s">
        <v>1059</v>
      </c>
      <c r="B19" s="40" t="s">
        <v>1068</v>
      </c>
      <c r="C19" s="40" t="s">
        <v>1069</v>
      </c>
      <c r="D19" s="40" t="str">
        <f t="shared" si="0"/>
        <v>애착|기준상 뚜렷한 치우침 없음</v>
      </c>
      <c r="E19" s="40" t="s">
        <v>1044</v>
      </c>
    </row>
    <row r="20" spans="1:5" ht="78" customHeight="1" x14ac:dyDescent="0.3">
      <c r="A20" s="40" t="s">
        <v>1059</v>
      </c>
      <c r="B20" s="40" t="s">
        <v>1051</v>
      </c>
      <c r="C20" s="40" t="s">
        <v>1070</v>
      </c>
      <c r="D20" s="40" t="str">
        <f t="shared" si="0"/>
        <v>애착|자료 부족</v>
      </c>
      <c r="E20" s="40" t="s">
        <v>1044</v>
      </c>
    </row>
    <row r="21" spans="1:5" ht="78" customHeight="1" x14ac:dyDescent="0.3">
      <c r="A21" s="40" t="s">
        <v>1059</v>
      </c>
      <c r="B21" s="40" t="s">
        <v>1071</v>
      </c>
      <c r="C21" s="40" t="s">
        <v>1072</v>
      </c>
      <c r="D21" s="40" t="str">
        <f t="shared" si="0"/>
        <v>애착|조건 이탈</v>
      </c>
      <c r="E21" s="40" t="s">
        <v>1044</v>
      </c>
    </row>
    <row r="22" spans="1:5" ht="78" customHeight="1" x14ac:dyDescent="0.3">
      <c r="A22" s="40" t="s">
        <v>1073</v>
      </c>
      <c r="B22" s="40" t="s">
        <v>1074</v>
      </c>
      <c r="C22" s="40" t="s">
        <v>1075</v>
      </c>
      <c r="D22" s="40" t="str">
        <f t="shared" si="0"/>
        <v>동조|-2</v>
      </c>
      <c r="E22" s="40" t="s">
        <v>1044</v>
      </c>
    </row>
    <row r="23" spans="1:5" ht="78" customHeight="1" x14ac:dyDescent="0.3">
      <c r="A23" s="40" t="s">
        <v>1073</v>
      </c>
      <c r="B23" s="40" t="s">
        <v>1076</v>
      </c>
      <c r="C23" s="40" t="s">
        <v>1077</v>
      </c>
      <c r="D23" s="40" t="str">
        <f t="shared" si="0"/>
        <v>동조|-1</v>
      </c>
      <c r="E23" s="40" t="s">
        <v>1044</v>
      </c>
    </row>
    <row r="24" spans="1:5" ht="78" customHeight="1" x14ac:dyDescent="0.3">
      <c r="A24" s="40" t="s">
        <v>1073</v>
      </c>
      <c r="B24" s="40" t="s">
        <v>53</v>
      </c>
      <c r="C24" s="40" t="s">
        <v>1078</v>
      </c>
      <c r="D24" s="40" t="str">
        <f t="shared" si="0"/>
        <v>동조|0</v>
      </c>
      <c r="E24" s="40" t="s">
        <v>1044</v>
      </c>
    </row>
    <row r="25" spans="1:5" ht="78" customHeight="1" x14ac:dyDescent="0.3">
      <c r="A25" s="40" t="s">
        <v>1073</v>
      </c>
      <c r="B25" s="40" t="s">
        <v>54</v>
      </c>
      <c r="C25" s="40" t="s">
        <v>1079</v>
      </c>
      <c r="D25" s="40" t="str">
        <f t="shared" si="0"/>
        <v>동조|+1</v>
      </c>
      <c r="E25" s="40" t="s">
        <v>1044</v>
      </c>
    </row>
    <row r="26" spans="1:5" ht="78" customHeight="1" x14ac:dyDescent="0.3">
      <c r="A26" s="40" t="s">
        <v>1073</v>
      </c>
      <c r="B26" s="40" t="s">
        <v>55</v>
      </c>
      <c r="C26" s="40" t="s">
        <v>1080</v>
      </c>
      <c r="D26" s="40" t="str">
        <f t="shared" si="0"/>
        <v>동조|+2</v>
      </c>
      <c r="E26" s="40" t="s">
        <v>1044</v>
      </c>
    </row>
    <row r="27" spans="1:5" ht="78" customHeight="1" x14ac:dyDescent="0.3">
      <c r="A27" s="40" t="s">
        <v>1081</v>
      </c>
      <c r="B27" s="40" t="s">
        <v>1074</v>
      </c>
      <c r="C27" s="40" t="s">
        <v>1082</v>
      </c>
      <c r="D27" s="40" t="str">
        <f t="shared" si="0"/>
        <v>퇴장·몸|-2</v>
      </c>
      <c r="E27" s="40" t="s">
        <v>1044</v>
      </c>
    </row>
    <row r="28" spans="1:5" ht="78" customHeight="1" x14ac:dyDescent="0.3">
      <c r="A28" s="40" t="s">
        <v>1081</v>
      </c>
      <c r="B28" s="40" t="s">
        <v>1076</v>
      </c>
      <c r="C28" s="40" t="s">
        <v>1083</v>
      </c>
      <c r="D28" s="40" t="str">
        <f t="shared" si="0"/>
        <v>퇴장·몸|-1</v>
      </c>
      <c r="E28" s="40" t="s">
        <v>1044</v>
      </c>
    </row>
    <row r="29" spans="1:5" ht="78" customHeight="1" x14ac:dyDescent="0.3">
      <c r="A29" s="40" t="s">
        <v>1081</v>
      </c>
      <c r="B29" s="40" t="s">
        <v>53</v>
      </c>
      <c r="C29" s="40" t="s">
        <v>1084</v>
      </c>
      <c r="D29" s="40" t="str">
        <f t="shared" si="0"/>
        <v>퇴장·몸|0</v>
      </c>
      <c r="E29" s="40" t="s">
        <v>1044</v>
      </c>
    </row>
    <row r="30" spans="1:5" ht="78" customHeight="1" x14ac:dyDescent="0.3">
      <c r="A30" s="40" t="s">
        <v>1081</v>
      </c>
      <c r="B30" s="40" t="s">
        <v>54</v>
      </c>
      <c r="C30" s="40" t="s">
        <v>1085</v>
      </c>
      <c r="D30" s="40" t="str">
        <f t="shared" si="0"/>
        <v>퇴장·몸|+1</v>
      </c>
      <c r="E30" s="40" t="s">
        <v>1044</v>
      </c>
    </row>
    <row r="31" spans="1:5" ht="78" customHeight="1" x14ac:dyDescent="0.3">
      <c r="A31" s="40" t="s">
        <v>1081</v>
      </c>
      <c r="B31" s="40" t="s">
        <v>55</v>
      </c>
      <c r="C31" s="40" t="s">
        <v>1086</v>
      </c>
      <c r="D31" s="40" t="str">
        <f t="shared" si="0"/>
        <v>퇴장·몸|+2</v>
      </c>
      <c r="E31" s="40" t="s">
        <v>1044</v>
      </c>
    </row>
    <row r="32" spans="1:5" ht="78" customHeight="1" x14ac:dyDescent="0.3">
      <c r="A32" s="40" t="s">
        <v>1087</v>
      </c>
      <c r="B32" s="40" t="s">
        <v>1088</v>
      </c>
      <c r="C32" s="40" t="s">
        <v>1089</v>
      </c>
      <c r="D32" s="40" t="str">
        <f t="shared" si="0"/>
        <v>퇴장·물건|같은 범주</v>
      </c>
      <c r="E32" s="40" t="s">
        <v>1044</v>
      </c>
    </row>
    <row r="33" spans="1:5" ht="78" customHeight="1" x14ac:dyDescent="0.3">
      <c r="A33" s="40" t="s">
        <v>1087</v>
      </c>
      <c r="B33" s="40" t="s">
        <v>1090</v>
      </c>
      <c r="C33" s="40" t="s">
        <v>1091</v>
      </c>
      <c r="D33" s="40" t="str">
        <f t="shared" si="0"/>
        <v>퇴장·물건|범주 변화</v>
      </c>
      <c r="E33" s="40" t="s">
        <v>1044</v>
      </c>
    </row>
    <row r="34" spans="1:5" ht="78" customHeight="1" x14ac:dyDescent="0.3">
      <c r="A34" s="40" t="s">
        <v>1087</v>
      </c>
      <c r="B34" s="40" t="s">
        <v>1092</v>
      </c>
      <c r="C34" s="40" t="s">
        <v>1093</v>
      </c>
      <c r="D34" s="40" t="str">
        <f t="shared" si="0"/>
        <v>퇴장·물건|비교 보류</v>
      </c>
      <c r="E34" s="40" t="s">
        <v>1044</v>
      </c>
    </row>
    <row r="35" spans="1:5" ht="78" customHeight="1" x14ac:dyDescent="0.3">
      <c r="A35" s="40" t="s">
        <v>1094</v>
      </c>
      <c r="B35" s="40" t="s">
        <v>1042</v>
      </c>
      <c r="C35" s="40" t="s">
        <v>1095</v>
      </c>
      <c r="D35" s="40" t="str">
        <f t="shared" si="0"/>
        <v>몸 상태|−방향 관찰</v>
      </c>
      <c r="E35" s="40" t="s">
        <v>1044</v>
      </c>
    </row>
    <row r="36" spans="1:5" ht="78" customHeight="1" x14ac:dyDescent="0.3">
      <c r="A36" s="40" t="s">
        <v>1094</v>
      </c>
      <c r="B36" s="40" t="s">
        <v>1045</v>
      </c>
      <c r="C36" s="40" t="s">
        <v>1096</v>
      </c>
      <c r="D36" s="40" t="str">
        <f t="shared" si="0"/>
        <v>몸 상태|+방향 관찰</v>
      </c>
      <c r="E36" s="40" t="s">
        <v>1044</v>
      </c>
    </row>
    <row r="37" spans="1:5" ht="78" customHeight="1" x14ac:dyDescent="0.3">
      <c r="A37" s="40" t="s">
        <v>1094</v>
      </c>
      <c r="B37" s="40" t="s">
        <v>1047</v>
      </c>
      <c r="C37" s="40" t="s">
        <v>1097</v>
      </c>
      <c r="D37" s="40" t="str">
        <f t="shared" ref="D37:D55" si="1">A37&amp;"|"&amp;B37</f>
        <v>몸 상태|중앙범주만 관찰</v>
      </c>
      <c r="E37" s="40" t="s">
        <v>1044</v>
      </c>
    </row>
    <row r="38" spans="1:5" ht="78" customHeight="1" x14ac:dyDescent="0.3">
      <c r="A38" s="40" t="s">
        <v>1094</v>
      </c>
      <c r="B38" s="40" t="s">
        <v>1049</v>
      </c>
      <c r="C38" s="40" t="s">
        <v>1098</v>
      </c>
      <c r="D38" s="40" t="str">
        <f t="shared" si="1"/>
        <v>몸 상태|양방향 관찰</v>
      </c>
      <c r="E38" s="40" t="s">
        <v>1044</v>
      </c>
    </row>
    <row r="39" spans="1:5" ht="78" customHeight="1" x14ac:dyDescent="0.3">
      <c r="A39" s="40" t="s">
        <v>1099</v>
      </c>
      <c r="B39" s="40" t="s">
        <v>1074</v>
      </c>
      <c r="C39" s="40" t="s">
        <v>1082</v>
      </c>
      <c r="D39" s="40" t="str">
        <f t="shared" si="1"/>
        <v>입장·몸|-2</v>
      </c>
      <c r="E39" s="40" t="s">
        <v>1044</v>
      </c>
    </row>
    <row r="40" spans="1:5" ht="78" customHeight="1" x14ac:dyDescent="0.3">
      <c r="A40" s="40" t="s">
        <v>1099</v>
      </c>
      <c r="B40" s="40" t="s">
        <v>1076</v>
      </c>
      <c r="C40" s="40" t="s">
        <v>1083</v>
      </c>
      <c r="D40" s="40" t="str">
        <f t="shared" si="1"/>
        <v>입장·몸|-1</v>
      </c>
      <c r="E40" s="40" t="s">
        <v>1044</v>
      </c>
    </row>
    <row r="41" spans="1:5" ht="78" customHeight="1" x14ac:dyDescent="0.3">
      <c r="A41" s="40" t="s">
        <v>1099</v>
      </c>
      <c r="B41" s="40" t="s">
        <v>53</v>
      </c>
      <c r="C41" s="40" t="s">
        <v>1084</v>
      </c>
      <c r="D41" s="40" t="str">
        <f t="shared" si="1"/>
        <v>입장·몸|0</v>
      </c>
      <c r="E41" s="40" t="s">
        <v>1044</v>
      </c>
    </row>
    <row r="42" spans="1:5" ht="78" customHeight="1" x14ac:dyDescent="0.3">
      <c r="A42" s="40" t="s">
        <v>1099</v>
      </c>
      <c r="B42" s="40" t="s">
        <v>54</v>
      </c>
      <c r="C42" s="40" t="s">
        <v>1085</v>
      </c>
      <c r="D42" s="40" t="str">
        <f t="shared" si="1"/>
        <v>입장·몸|+1</v>
      </c>
      <c r="E42" s="40" t="s">
        <v>1044</v>
      </c>
    </row>
    <row r="43" spans="1:5" ht="78" customHeight="1" x14ac:dyDescent="0.3">
      <c r="A43" s="40" t="s">
        <v>1099</v>
      </c>
      <c r="B43" s="40" t="s">
        <v>55</v>
      </c>
      <c r="C43" s="40" t="s">
        <v>1086</v>
      </c>
      <c r="D43" s="40" t="str">
        <f t="shared" si="1"/>
        <v>입장·몸|+2</v>
      </c>
      <c r="E43" s="40" t="s">
        <v>1044</v>
      </c>
    </row>
    <row r="44" spans="1:5" ht="78" customHeight="1" x14ac:dyDescent="0.3">
      <c r="A44" s="40" t="s">
        <v>1100</v>
      </c>
      <c r="B44" s="40" t="s">
        <v>1074</v>
      </c>
      <c r="C44" s="40" t="s">
        <v>1101</v>
      </c>
      <c r="D44" s="40" t="str">
        <f t="shared" si="1"/>
        <v>동조·확인|-2</v>
      </c>
      <c r="E44" s="40" t="s">
        <v>1044</v>
      </c>
    </row>
    <row r="45" spans="1:5" ht="78" customHeight="1" x14ac:dyDescent="0.3">
      <c r="A45" s="40" t="s">
        <v>1100</v>
      </c>
      <c r="B45" s="40" t="s">
        <v>1076</v>
      </c>
      <c r="C45" s="40" t="s">
        <v>1102</v>
      </c>
      <c r="D45" s="40" t="str">
        <f t="shared" si="1"/>
        <v>동조·확인|-1</v>
      </c>
      <c r="E45" s="40" t="s">
        <v>1044</v>
      </c>
    </row>
    <row r="46" spans="1:5" ht="78" customHeight="1" x14ac:dyDescent="0.3">
      <c r="A46" s="40" t="s">
        <v>1100</v>
      </c>
      <c r="B46" s="40" t="s">
        <v>53</v>
      </c>
      <c r="C46" s="40" t="s">
        <v>1103</v>
      </c>
      <c r="D46" s="40" t="str">
        <f t="shared" si="1"/>
        <v>동조·확인|0</v>
      </c>
      <c r="E46" s="40" t="s">
        <v>1044</v>
      </c>
    </row>
    <row r="47" spans="1:5" ht="78" customHeight="1" x14ac:dyDescent="0.3">
      <c r="A47" s="40" t="s">
        <v>1100</v>
      </c>
      <c r="B47" s="40" t="s">
        <v>54</v>
      </c>
      <c r="C47" s="40" t="s">
        <v>1104</v>
      </c>
      <c r="D47" s="40" t="str">
        <f t="shared" si="1"/>
        <v>동조·확인|+1</v>
      </c>
      <c r="E47" s="40" t="s">
        <v>1044</v>
      </c>
    </row>
    <row r="48" spans="1:5" ht="78" customHeight="1" x14ac:dyDescent="0.3">
      <c r="A48" s="40" t="s">
        <v>1100</v>
      </c>
      <c r="B48" s="40" t="s">
        <v>55</v>
      </c>
      <c r="C48" s="40" t="s">
        <v>1105</v>
      </c>
      <c r="D48" s="40" t="str">
        <f t="shared" si="1"/>
        <v>동조·확인|+2</v>
      </c>
      <c r="E48" s="40" t="s">
        <v>1044</v>
      </c>
    </row>
    <row r="49" spans="1:5" ht="78" customHeight="1" x14ac:dyDescent="0.3">
      <c r="A49" s="40" t="s">
        <v>1106</v>
      </c>
      <c r="B49" s="40" t="s">
        <v>370</v>
      </c>
      <c r="C49" s="40" t="s">
        <v>1107</v>
      </c>
      <c r="D49" s="40" t="str">
        <f t="shared" si="1"/>
        <v>애착유형(잠정)|곁에서 안심하는 사이</v>
      </c>
      <c r="E49" s="40" t="s">
        <v>1108</v>
      </c>
    </row>
    <row r="50" spans="1:5" ht="78" customHeight="1" x14ac:dyDescent="0.3">
      <c r="A50" s="40" t="s">
        <v>1106</v>
      </c>
      <c r="B50" s="40" t="s">
        <v>372</v>
      </c>
      <c r="C50" s="40" t="s">
        <v>1109</v>
      </c>
      <c r="D50" s="40" t="str">
        <f t="shared" si="1"/>
        <v>애착유형(잠정)|가까이 있어도 안심이 어려운 사이</v>
      </c>
      <c r="E50" s="40" t="s">
        <v>1108</v>
      </c>
    </row>
    <row r="51" spans="1:5" ht="78" customHeight="1" x14ac:dyDescent="0.3">
      <c r="A51" s="40" t="s">
        <v>1106</v>
      </c>
      <c r="B51" s="40" t="s">
        <v>374</v>
      </c>
      <c r="C51" s="40" t="s">
        <v>1110</v>
      </c>
      <c r="D51" s="40" t="str">
        <f t="shared" si="1"/>
        <v>애착유형(잠정)|거리를 두고 지내는 사이</v>
      </c>
      <c r="E51" s="40" t="s">
        <v>1108</v>
      </c>
    </row>
    <row r="52" spans="1:5" ht="78" customHeight="1" x14ac:dyDescent="0.3">
      <c r="A52" s="40" t="s">
        <v>1106</v>
      </c>
      <c r="B52" s="40" t="s">
        <v>376</v>
      </c>
      <c r="C52" s="40" t="s">
        <v>1111</v>
      </c>
      <c r="D52" s="40" t="str">
        <f t="shared" si="1"/>
        <v>애착유형(잠정)|다가감과 물러섬이 함께 나오는 사이</v>
      </c>
      <c r="E52" s="40" t="s">
        <v>1108</v>
      </c>
    </row>
    <row r="53" spans="1:5" ht="78" customHeight="1" x14ac:dyDescent="0.3">
      <c r="A53" s="40" t="s">
        <v>1106</v>
      </c>
      <c r="B53" s="40" t="s">
        <v>378</v>
      </c>
      <c r="C53" s="40" t="s">
        <v>1112</v>
      </c>
      <c r="D53" s="40" t="str">
        <f t="shared" si="1"/>
        <v>애착유형(잠정)|판정보류</v>
      </c>
      <c r="E53" s="40" t="s">
        <v>1108</v>
      </c>
    </row>
    <row r="54" spans="1:5" ht="78" customHeight="1" x14ac:dyDescent="0.3">
      <c r="A54" s="40" t="s">
        <v>1041</v>
      </c>
      <c r="B54" s="40" t="s">
        <v>1113</v>
      </c>
      <c r="C54" s="40" t="s">
        <v>1114</v>
      </c>
      <c r="D54" s="40" t="str">
        <f t="shared" si="1"/>
        <v>환경|조건 미확인</v>
      </c>
      <c r="E54" s="40" t="s">
        <v>1044</v>
      </c>
    </row>
    <row r="55" spans="1:5" ht="78" customHeight="1" x14ac:dyDescent="0.3">
      <c r="A55" s="40" t="s">
        <v>1053</v>
      </c>
      <c r="B55" s="40" t="s">
        <v>1113</v>
      </c>
      <c r="C55" s="40" t="s">
        <v>1115</v>
      </c>
      <c r="D55" s="40" t="str">
        <f t="shared" si="1"/>
        <v>사람|조건 미확인</v>
      </c>
      <c r="E55" s="40" t="s">
        <v>1044</v>
      </c>
    </row>
    <row r="56" spans="1:5" x14ac:dyDescent="0.3">
      <c r="A56" s="37"/>
      <c r="B56" s="37"/>
      <c r="C56" s="37"/>
      <c r="D56" s="37"/>
      <c r="E56" s="37"/>
    </row>
    <row r="57" spans="1:5" ht="110.1" customHeight="1" x14ac:dyDescent="0.3">
      <c r="A57" s="38" t="s">
        <v>1116</v>
      </c>
      <c r="B57" s="38" t="s">
        <v>503</v>
      </c>
      <c r="C57" s="38" t="s">
        <v>1117</v>
      </c>
      <c r="D57" s="38" t="s">
        <v>1118</v>
      </c>
      <c r="E57" s="38" t="s">
        <v>1119</v>
      </c>
    </row>
    <row r="58" spans="1:5" ht="110.1" customHeight="1" x14ac:dyDescent="0.3">
      <c r="A58" s="38" t="s">
        <v>1116</v>
      </c>
      <c r="B58" s="38" t="s">
        <v>505</v>
      </c>
      <c r="C58" s="38" t="s">
        <v>1120</v>
      </c>
      <c r="D58" s="38" t="s">
        <v>1121</v>
      </c>
      <c r="E58" s="38" t="s">
        <v>1119</v>
      </c>
    </row>
    <row r="59" spans="1:5" ht="110.1" customHeight="1" x14ac:dyDescent="0.3">
      <c r="A59" s="38" t="s">
        <v>1116</v>
      </c>
      <c r="B59" s="38" t="s">
        <v>507</v>
      </c>
      <c r="C59" s="38" t="s">
        <v>1122</v>
      </c>
      <c r="D59" s="38" t="s">
        <v>1123</v>
      </c>
      <c r="E59" s="38" t="s">
        <v>1119</v>
      </c>
    </row>
    <row r="60" spans="1:5" x14ac:dyDescent="0.3">
      <c r="A60" s="3"/>
      <c r="B60" s="3"/>
      <c r="C60" s="3"/>
      <c r="D60" s="3"/>
      <c r="E60" s="3"/>
    </row>
    <row r="61" spans="1:5" x14ac:dyDescent="0.3">
      <c r="A61" s="3"/>
      <c r="B61" s="3"/>
      <c r="C61" s="3"/>
      <c r="D61" s="3"/>
      <c r="E61" s="3"/>
    </row>
    <row r="62" spans="1:5" x14ac:dyDescent="0.3">
      <c r="A62" s="3"/>
      <c r="B62" s="3"/>
      <c r="C62" s="3"/>
      <c r="D62" s="3"/>
      <c r="E62" s="3"/>
    </row>
    <row r="63" spans="1:5" ht="26.1" customHeight="1" x14ac:dyDescent="0.3">
      <c r="A63" s="68" t="s">
        <v>1124</v>
      </c>
      <c r="B63" s="55"/>
      <c r="C63" s="55"/>
      <c r="D63" s="55"/>
      <c r="E63" s="55"/>
    </row>
    <row r="64" spans="1:5" x14ac:dyDescent="0.3">
      <c r="A64" s="45" t="s">
        <v>1125</v>
      </c>
      <c r="B64" s="45" t="s">
        <v>1126</v>
      </c>
      <c r="C64" s="69" t="s">
        <v>1127</v>
      </c>
      <c r="D64" s="55"/>
      <c r="E64" s="55"/>
    </row>
    <row r="65" spans="1:5" ht="72" customHeight="1" x14ac:dyDescent="0.3">
      <c r="A65" s="53">
        <v>-2</v>
      </c>
      <c r="B65" s="53">
        <v>-2</v>
      </c>
      <c r="C65" s="67" t="s">
        <v>1128</v>
      </c>
      <c r="D65" s="55"/>
      <c r="E65" s="55"/>
    </row>
    <row r="66" spans="1:5" ht="72" customHeight="1" x14ac:dyDescent="0.3">
      <c r="A66" s="53">
        <v>-2</v>
      </c>
      <c r="B66" s="53">
        <v>-1</v>
      </c>
      <c r="C66" s="67" t="s">
        <v>1129</v>
      </c>
      <c r="D66" s="55"/>
      <c r="E66" s="55"/>
    </row>
    <row r="67" spans="1:5" ht="72" customHeight="1" x14ac:dyDescent="0.3">
      <c r="A67" s="53">
        <v>-2</v>
      </c>
      <c r="B67" s="53">
        <v>0</v>
      </c>
      <c r="C67" s="67" t="s">
        <v>1130</v>
      </c>
      <c r="D67" s="55"/>
      <c r="E67" s="55"/>
    </row>
    <row r="68" spans="1:5" ht="72" customHeight="1" x14ac:dyDescent="0.3">
      <c r="A68" s="53">
        <v>-2</v>
      </c>
      <c r="B68" s="53">
        <v>1</v>
      </c>
      <c r="C68" s="67" t="s">
        <v>1131</v>
      </c>
      <c r="D68" s="55"/>
      <c r="E68" s="55"/>
    </row>
    <row r="69" spans="1:5" ht="72" customHeight="1" x14ac:dyDescent="0.3">
      <c r="A69" s="53">
        <v>-2</v>
      </c>
      <c r="B69" s="53">
        <v>2</v>
      </c>
      <c r="C69" s="67" t="s">
        <v>1132</v>
      </c>
      <c r="D69" s="55"/>
      <c r="E69" s="55"/>
    </row>
    <row r="70" spans="1:5" ht="72" customHeight="1" x14ac:dyDescent="0.3">
      <c r="A70" s="53">
        <v>-1</v>
      </c>
      <c r="B70" s="53">
        <v>-2</v>
      </c>
      <c r="C70" s="67" t="s">
        <v>1133</v>
      </c>
      <c r="D70" s="55"/>
      <c r="E70" s="55"/>
    </row>
    <row r="71" spans="1:5" ht="72" customHeight="1" x14ac:dyDescent="0.3">
      <c r="A71" s="53">
        <v>-1</v>
      </c>
      <c r="B71" s="53">
        <v>-1</v>
      </c>
      <c r="C71" s="67" t="s">
        <v>1134</v>
      </c>
      <c r="D71" s="55"/>
      <c r="E71" s="55"/>
    </row>
    <row r="72" spans="1:5" ht="72" customHeight="1" x14ac:dyDescent="0.3">
      <c r="A72" s="53">
        <v>-1</v>
      </c>
      <c r="B72" s="53">
        <v>0</v>
      </c>
      <c r="C72" s="67" t="s">
        <v>1135</v>
      </c>
      <c r="D72" s="55"/>
      <c r="E72" s="55"/>
    </row>
    <row r="73" spans="1:5" ht="72" customHeight="1" x14ac:dyDescent="0.3">
      <c r="A73" s="53">
        <v>-1</v>
      </c>
      <c r="B73" s="53">
        <v>1</v>
      </c>
      <c r="C73" s="67" t="s">
        <v>1136</v>
      </c>
      <c r="D73" s="55"/>
      <c r="E73" s="55"/>
    </row>
    <row r="74" spans="1:5" ht="72" customHeight="1" x14ac:dyDescent="0.3">
      <c r="A74" s="53">
        <v>-1</v>
      </c>
      <c r="B74" s="53">
        <v>2</v>
      </c>
      <c r="C74" s="67" t="s">
        <v>1137</v>
      </c>
      <c r="D74" s="55"/>
      <c r="E74" s="55"/>
    </row>
    <row r="75" spans="1:5" ht="72" customHeight="1" x14ac:dyDescent="0.3">
      <c r="A75" s="53">
        <v>0</v>
      </c>
      <c r="B75" s="53">
        <v>-2</v>
      </c>
      <c r="C75" s="67" t="s">
        <v>1138</v>
      </c>
      <c r="D75" s="55"/>
      <c r="E75" s="55"/>
    </row>
    <row r="76" spans="1:5" ht="72" customHeight="1" x14ac:dyDescent="0.3">
      <c r="A76" s="53">
        <v>0</v>
      </c>
      <c r="B76" s="53">
        <v>-1</v>
      </c>
      <c r="C76" s="67" t="s">
        <v>1139</v>
      </c>
      <c r="D76" s="55"/>
      <c r="E76" s="55"/>
    </row>
    <row r="77" spans="1:5" ht="72" customHeight="1" x14ac:dyDescent="0.3">
      <c r="A77" s="53">
        <v>0</v>
      </c>
      <c r="B77" s="53">
        <v>0</v>
      </c>
      <c r="C77" s="67" t="s">
        <v>1140</v>
      </c>
      <c r="D77" s="55"/>
      <c r="E77" s="55"/>
    </row>
    <row r="78" spans="1:5" ht="72" customHeight="1" x14ac:dyDescent="0.3">
      <c r="A78" s="53">
        <v>0</v>
      </c>
      <c r="B78" s="53">
        <v>1</v>
      </c>
      <c r="C78" s="67" t="s">
        <v>1141</v>
      </c>
      <c r="D78" s="55"/>
      <c r="E78" s="55"/>
    </row>
    <row r="79" spans="1:5" ht="72" customHeight="1" x14ac:dyDescent="0.3">
      <c r="A79" s="53">
        <v>0</v>
      </c>
      <c r="B79" s="53">
        <v>2</v>
      </c>
      <c r="C79" s="67" t="s">
        <v>1142</v>
      </c>
      <c r="D79" s="55"/>
      <c r="E79" s="55"/>
    </row>
    <row r="80" spans="1:5" ht="72" customHeight="1" x14ac:dyDescent="0.3">
      <c r="A80" s="53">
        <v>1</v>
      </c>
      <c r="B80" s="53">
        <v>-2</v>
      </c>
      <c r="C80" s="67" t="s">
        <v>1143</v>
      </c>
      <c r="D80" s="55"/>
      <c r="E80" s="55"/>
    </row>
    <row r="81" spans="1:5" ht="72" customHeight="1" x14ac:dyDescent="0.3">
      <c r="A81" s="53">
        <v>1</v>
      </c>
      <c r="B81" s="53">
        <v>-1</v>
      </c>
      <c r="C81" s="67" t="s">
        <v>1144</v>
      </c>
      <c r="D81" s="55"/>
      <c r="E81" s="55"/>
    </row>
    <row r="82" spans="1:5" ht="72" customHeight="1" x14ac:dyDescent="0.3">
      <c r="A82" s="53">
        <v>1</v>
      </c>
      <c r="B82" s="53">
        <v>0</v>
      </c>
      <c r="C82" s="67" t="s">
        <v>1145</v>
      </c>
      <c r="D82" s="55"/>
      <c r="E82" s="55"/>
    </row>
    <row r="83" spans="1:5" ht="72" customHeight="1" x14ac:dyDescent="0.3">
      <c r="A83" s="53">
        <v>1</v>
      </c>
      <c r="B83" s="53">
        <v>1</v>
      </c>
      <c r="C83" s="67" t="s">
        <v>1146</v>
      </c>
      <c r="D83" s="55"/>
      <c r="E83" s="55"/>
    </row>
    <row r="84" spans="1:5" ht="72" customHeight="1" x14ac:dyDescent="0.3">
      <c r="A84" s="53">
        <v>1</v>
      </c>
      <c r="B84" s="53">
        <v>2</v>
      </c>
      <c r="C84" s="67" t="s">
        <v>1147</v>
      </c>
      <c r="D84" s="55"/>
      <c r="E84" s="55"/>
    </row>
    <row r="85" spans="1:5" ht="72" customHeight="1" x14ac:dyDescent="0.3">
      <c r="A85" s="53">
        <v>2</v>
      </c>
      <c r="B85" s="53">
        <v>-2</v>
      </c>
      <c r="C85" s="67" t="s">
        <v>1148</v>
      </c>
      <c r="D85" s="55"/>
      <c r="E85" s="55"/>
    </row>
    <row r="86" spans="1:5" ht="72" customHeight="1" x14ac:dyDescent="0.3">
      <c r="A86" s="53">
        <v>2</v>
      </c>
      <c r="B86" s="53">
        <v>-1</v>
      </c>
      <c r="C86" s="67" t="s">
        <v>1149</v>
      </c>
      <c r="D86" s="55"/>
      <c r="E86" s="55"/>
    </row>
    <row r="87" spans="1:5" ht="72" customHeight="1" x14ac:dyDescent="0.3">
      <c r="A87" s="53">
        <v>2</v>
      </c>
      <c r="B87" s="53">
        <v>0</v>
      </c>
      <c r="C87" s="67" t="s">
        <v>1150</v>
      </c>
      <c r="D87" s="55"/>
      <c r="E87" s="55"/>
    </row>
    <row r="88" spans="1:5" ht="72" customHeight="1" x14ac:dyDescent="0.3">
      <c r="A88" s="53">
        <v>2</v>
      </c>
      <c r="B88" s="53">
        <v>1</v>
      </c>
      <c r="C88" s="67" t="s">
        <v>1151</v>
      </c>
      <c r="D88" s="55"/>
      <c r="E88" s="55"/>
    </row>
    <row r="89" spans="1:5" ht="72" customHeight="1" x14ac:dyDescent="0.3">
      <c r="A89" s="53">
        <v>2</v>
      </c>
      <c r="B89" s="53">
        <v>2</v>
      </c>
      <c r="C89" s="67" t="s">
        <v>1152</v>
      </c>
      <c r="D89" s="55"/>
      <c r="E89" s="55"/>
    </row>
    <row r="90" spans="1:5" x14ac:dyDescent="0.3">
      <c r="A90" s="46"/>
      <c r="B90" s="46"/>
      <c r="C90" s="46"/>
      <c r="D90" s="46"/>
      <c r="E90" s="46"/>
    </row>
    <row r="91" spans="1:5" x14ac:dyDescent="0.3">
      <c r="A91" s="67" t="s">
        <v>1153</v>
      </c>
      <c r="B91" s="55"/>
      <c r="C91" s="55"/>
      <c r="D91" s="55"/>
      <c r="E91" s="55"/>
    </row>
    <row r="92" spans="1:5" x14ac:dyDescent="0.3">
      <c r="A92" s="55"/>
      <c r="B92" s="55"/>
      <c r="C92" s="55"/>
      <c r="D92" s="55"/>
      <c r="E92" s="55"/>
    </row>
  </sheetData>
  <mergeCells count="28">
    <mergeCell ref="A63:E63"/>
    <mergeCell ref="C64:E64"/>
    <mergeCell ref="C65:E65"/>
    <mergeCell ref="C85:E85"/>
    <mergeCell ref="C66:E66"/>
    <mergeCell ref="C69:E69"/>
    <mergeCell ref="C87:E87"/>
    <mergeCell ref="C78:E78"/>
    <mergeCell ref="C86:E86"/>
    <mergeCell ref="C68:E68"/>
    <mergeCell ref="C77:E77"/>
    <mergeCell ref="C83:E83"/>
    <mergeCell ref="C74:E74"/>
    <mergeCell ref="C79:E79"/>
    <mergeCell ref="C73:E73"/>
    <mergeCell ref="C71:E71"/>
    <mergeCell ref="C70:E70"/>
    <mergeCell ref="C82:E82"/>
    <mergeCell ref="C67:E67"/>
    <mergeCell ref="C81:E81"/>
    <mergeCell ref="C72:E72"/>
    <mergeCell ref="C80:E80"/>
    <mergeCell ref="C75:E75"/>
    <mergeCell ref="C84:E84"/>
    <mergeCell ref="A91:E92"/>
    <mergeCell ref="C76:E76"/>
    <mergeCell ref="C89:E89"/>
    <mergeCell ref="C88:E88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0_안내</vt:lpstr>
      <vt:lpstr>1_바디시그널</vt:lpstr>
      <vt:lpstr>2_개행동</vt:lpstr>
      <vt:lpstr>3_보호자행동</vt:lpstr>
      <vt:lpstr>6_행사전문가의견</vt:lpstr>
      <vt:lpstr>한마리상세</vt:lpstr>
      <vt:lpstr>여러쌍비교</vt:lpstr>
      <vt:lpstr>성향문장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2026-09-29T01:58:42Z</dcterms:created>
  <dcterms:modified xsi:type="dcterms:W3CDTF">2026-09-29T03:48:22Z</dcterms:modified>
</cp:coreProperties>
</file>
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I관련자료\Astra\작업파일\02원본연동_20260929\完成確認\"/>
    </mc:Choice>
  </mc:AlternateContent>
  <bookViews>
    <workbookView xWindow="0" yWindow="0" windowWidth="21570" windowHeight="10095"/>
  </bookViews>
  <sheets>
    <sheet name="0_안내" sheetId="1" r:id="rId1"/>
    <sheet name="1_입장" sheetId="2" r:id="rId2"/>
    <sheet name="2_기준" sheetId="3" r:id="rId3"/>
    <sheet name="3_혼자" sheetId="4" r:id="rId4"/>
    <sheet name="4_재회" sheetId="5" r:id="rId5"/>
    <sheet name="5_무시" sheetId="6" r:id="rId6"/>
    <sheet name="6_걷기" sheetId="7" r:id="rId7"/>
    <sheet name="7_낯선사람" sheetId="8" r:id="rId8"/>
    <sheet name="8_퇴장" sheetId="9" r:id="rId9"/>
  </sheets>
  <externalReferences>
    <externalReference r:id="rId10"/>
  </externalReferences>
  <calcPr calcId="162913" forceFullCalc="1"/>
</workbook>
</file>

<file path=xl/calcChain.xml><?xml version="1.0" encoding="utf-8"?>
<calcChain xmlns="http://schemas.openxmlformats.org/spreadsheetml/2006/main">
  <c r="AC18" i="9" l="1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C17" i="9"/>
  <c r="B17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C16" i="9"/>
  <c r="B16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C15" i="9"/>
  <c r="B15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C30" i="8"/>
  <c r="B30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C29" i="8"/>
  <c r="B29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C28" i="8"/>
  <c r="B28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C22" i="8"/>
  <c r="B22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C10" i="8"/>
  <c r="B10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21" i="7"/>
  <c r="H21" i="7"/>
  <c r="C21" i="7"/>
  <c r="B21" i="7"/>
  <c r="I20" i="7"/>
  <c r="H20" i="7"/>
  <c r="C20" i="7"/>
  <c r="B20" i="7"/>
  <c r="I19" i="7"/>
  <c r="H19" i="7"/>
  <c r="C19" i="7"/>
  <c r="B19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C18" i="7"/>
  <c r="B18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C17" i="7"/>
  <c r="B17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C16" i="7"/>
  <c r="B16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C12" i="7"/>
  <c r="B12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C11" i="7"/>
  <c r="B11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C10" i="7"/>
  <c r="B10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C9" i="7"/>
  <c r="B9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C8" i="7"/>
  <c r="B8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C7" i="7"/>
  <c r="B7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C6" i="7"/>
  <c r="B6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C12" i="6"/>
  <c r="B12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C11" i="6"/>
  <c r="B11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C10" i="6"/>
  <c r="B10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C20" i="5"/>
  <c r="B20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C19" i="5"/>
  <c r="B19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C18" i="5"/>
  <c r="B18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C17" i="5"/>
  <c r="B17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C12" i="5"/>
  <c r="B12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16" i="4"/>
  <c r="H16" i="4"/>
  <c r="C16" i="4"/>
  <c r="B16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C15" i="4"/>
  <c r="B15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C14" i="4"/>
  <c r="B14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C13" i="4"/>
  <c r="B13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C12" i="4"/>
  <c r="B12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C10" i="3"/>
  <c r="B10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C9" i="3"/>
  <c r="B9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C8" i="3"/>
  <c r="B8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C23" i="2"/>
  <c r="B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C22" i="2"/>
  <c r="B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C21" i="2"/>
  <c r="B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C20" i="2"/>
  <c r="B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C17" i="2"/>
  <c r="B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C14" i="2"/>
  <c r="B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J16" i="4" l="1"/>
  <c r="A20" i="4" s="1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1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K21" i="7" l="1"/>
  <c r="W21" i="7"/>
  <c r="S16" i="4"/>
  <c r="L21" i="7"/>
  <c r="X21" i="7"/>
  <c r="T16" i="4"/>
  <c r="N21" i="7"/>
  <c r="Z21" i="7"/>
  <c r="V16" i="4"/>
  <c r="Y21" i="7"/>
  <c r="AA21" i="7"/>
  <c r="K16" i="4"/>
  <c r="W16" i="4"/>
  <c r="P21" i="7"/>
  <c r="AB21" i="7"/>
  <c r="L16" i="4"/>
  <c r="X16" i="4"/>
  <c r="J19" i="7"/>
  <c r="Y16" i="4"/>
  <c r="J20" i="7"/>
  <c r="S21" i="7"/>
  <c r="O16" i="4"/>
  <c r="AA16" i="4"/>
  <c r="M21" i="7"/>
  <c r="Q21" i="7"/>
  <c r="M16" i="4"/>
  <c r="R21" i="7"/>
  <c r="N16" i="4"/>
  <c r="T21" i="7"/>
  <c r="P16" i="4"/>
  <c r="AB16" i="4"/>
  <c r="O21" i="7"/>
  <c r="Z16" i="4"/>
  <c r="U21" i="7"/>
  <c r="Q16" i="4"/>
  <c r="AC16" i="4"/>
  <c r="U16" i="4"/>
  <c r="AC21" i="7"/>
  <c r="V21" i="7"/>
  <c r="R16" i="4"/>
</calcChain>
</file>

<file path=xl/sharedStrings.xml><?xml version="1.0" encoding="utf-8"?>
<sst xmlns="http://schemas.openxmlformats.org/spreadsheetml/2006/main" count="721" uniqueCount="176">
  <si>
    <t>미사용: 개20(바43으로 이동), 개31·33·35(개 모양 물체 제외). 보7·8·19·20·21은 최신 02에 없어 배치하지 않았습니다.</t>
  </si>
  <si>
    <t>관찰 순서와 시간</t>
  </si>
  <si>
    <t>입장 · 약 30초 | 문 → 비닐 바닥 → 새 물건 5초 → 의자·목줄 해제</t>
  </si>
  <si>
    <t>기준 · 20초 | 낯선 실험실의 초기 상태 관찰</t>
  </si>
  <si>
    <t>혼자 · 60초 | 처음 10초 문 반응 → 이후 50초 공간 사용</t>
  </si>
  <si>
    <t>재회 · 30초 | 이동·착석·대기 15초 → 지시에 따른 이름·접촉 15초</t>
  </si>
  <si>
    <t>무시 · 20초 | 접촉 종료 후 보호자 반응 중단</t>
  </si>
  <si>
    <t>걷기 · 약 30초 | S → A → C → S · 각 정지 5초</t>
  </si>
  <si>
    <t>낯선 사람 · 약 30초 | 안전문 밖 → 정지선 → 부름·접촉 → 퇴장</t>
  </si>
  <si>
    <t>퇴장 · 약 30초 | 같은 물건 5초 → 비닐 바닥 → 문</t>
  </si>
  <si>
    <t>걷기 전 이름 1회 후 S로 이동하는 전환 구간은 채점에서 제외합니다. 걷기가 끝나면 의자로 돌아가 앉습니다.</t>
  </si>
  <si>
    <t>낯선 사람: 안전문 밖 10초 → 진입 2초 → 정지선 접근 4초 → 이름 1회·대기 4초 → 접촉3초+대기2초(또는 미접촉 대기5초) → 퇴장5초.</t>
  </si>
  <si>
    <t>보38을 먼저 확인하고 보22(회피), 보39(자발적 접근)를 기록합니다. 낯선 구간 보24는 보40의 관찰 기회가 있을 때 기록합니다.</t>
  </si>
  <si>
    <t>항목</t>
  </si>
  <si>
    <t>02 시트</t>
  </si>
  <si>
    <t>02 행</t>
  </si>
  <si>
    <t>주제별 행</t>
  </si>
  <si>
    <t>개5</t>
  </si>
  <si>
    <t>2_개행동</t>
  </si>
  <si>
    <t>1_입장</t>
  </si>
  <si>
    <t>02c에서 제공</t>
  </si>
  <si>
    <t>개45</t>
  </si>
  <si>
    <t>보5</t>
  </si>
  <si>
    <t>3_보호자행동</t>
  </si>
  <si>
    <t>보6</t>
  </si>
  <si>
    <t>보9</t>
  </si>
  <si>
    <t>바5</t>
  </si>
  <si>
    <t>1_바디시그널</t>
  </si>
  <si>
    <t>바6</t>
  </si>
  <si>
    <t>개6</t>
  </si>
  <si>
    <t>바7</t>
  </si>
  <si>
    <t>바8</t>
  </si>
  <si>
    <t>개7</t>
  </si>
  <si>
    <t>개30</t>
  </si>
  <si>
    <t>개32</t>
  </si>
  <si>
    <t>바44</t>
  </si>
  <si>
    <t>보14</t>
  </si>
  <si>
    <t>바14</t>
  </si>
  <si>
    <t>바15</t>
  </si>
  <si>
    <t>바16</t>
  </si>
  <si>
    <t>개59</t>
  </si>
  <si>
    <t>개31</t>
  </si>
  <si>
    <t>개33</t>
  </si>
  <si>
    <t>바38</t>
  </si>
  <si>
    <t>2_기준</t>
  </si>
  <si>
    <t>바40</t>
  </si>
  <si>
    <t>개8</t>
  </si>
  <si>
    <t>바17</t>
  </si>
  <si>
    <t>바18</t>
  </si>
  <si>
    <t>바19</t>
  </si>
  <si>
    <t>보10</t>
  </si>
  <si>
    <t>3_혼자</t>
  </si>
  <si>
    <t>개9</t>
  </si>
  <si>
    <t>개10</t>
  </si>
  <si>
    <t>개58</t>
  </si>
  <si>
    <t>개11</t>
  </si>
  <si>
    <t>개12</t>
  </si>
  <si>
    <t>바9</t>
  </si>
  <si>
    <t>바10</t>
  </si>
  <si>
    <t>바20</t>
  </si>
  <si>
    <t>바21</t>
  </si>
  <si>
    <t>바22</t>
  </si>
  <si>
    <t>개60</t>
  </si>
  <si>
    <t>개17</t>
  </si>
  <si>
    <t>4_재회</t>
  </si>
  <si>
    <t>개18</t>
  </si>
  <si>
    <t>개19</t>
  </si>
  <si>
    <t>개44</t>
  </si>
  <si>
    <t>보11</t>
  </si>
  <si>
    <t>보38</t>
  </si>
  <si>
    <t>보22</t>
  </si>
  <si>
    <t>보25</t>
  </si>
  <si>
    <t>보39</t>
  </si>
  <si>
    <t>바42</t>
  </si>
  <si>
    <t>바43</t>
  </si>
  <si>
    <t>개47</t>
  </si>
  <si>
    <t>개21</t>
  </si>
  <si>
    <t>바26</t>
  </si>
  <si>
    <t>바27</t>
  </si>
  <si>
    <t>바28</t>
  </si>
  <si>
    <t>개20</t>
  </si>
  <si>
    <t>보12</t>
  </si>
  <si>
    <t>5_무시</t>
  </si>
  <si>
    <t>개22</t>
  </si>
  <si>
    <t>개23</t>
  </si>
  <si>
    <t>개48</t>
  </si>
  <si>
    <t>바39</t>
  </si>
  <si>
    <t>바29</t>
  </si>
  <si>
    <t>바30</t>
  </si>
  <si>
    <t>바31</t>
  </si>
  <si>
    <t>보13</t>
  </si>
  <si>
    <t>6_걷기</t>
  </si>
  <si>
    <t>개37</t>
  </si>
  <si>
    <t>개38</t>
  </si>
  <si>
    <t>개39</t>
  </si>
  <si>
    <t>개40</t>
  </si>
  <si>
    <t>개41</t>
  </si>
  <si>
    <t>개42</t>
  </si>
  <si>
    <t>개43</t>
  </si>
  <si>
    <t>개24</t>
  </si>
  <si>
    <t>개25</t>
  </si>
  <si>
    <t>바12</t>
  </si>
  <si>
    <t>바32</t>
  </si>
  <si>
    <t>바33</t>
  </si>
  <si>
    <t>바34</t>
  </si>
  <si>
    <t>개26</t>
  </si>
  <si>
    <t>개36</t>
  </si>
  <si>
    <t>개27</t>
  </si>
  <si>
    <t>보18</t>
  </si>
  <si>
    <t>7_낯선사람</t>
  </si>
  <si>
    <t>개13</t>
  </si>
  <si>
    <t>개56</t>
  </si>
  <si>
    <t>보16</t>
  </si>
  <si>
    <t>보23</t>
  </si>
  <si>
    <t>보26</t>
  </si>
  <si>
    <t>개55</t>
  </si>
  <si>
    <t>개15</t>
  </si>
  <si>
    <t>개53</t>
  </si>
  <si>
    <t>개51</t>
  </si>
  <si>
    <t>개52</t>
  </si>
  <si>
    <t>바45</t>
  </si>
  <si>
    <t>개54</t>
  </si>
  <si>
    <t>개57</t>
  </si>
  <si>
    <t>보17</t>
  </si>
  <si>
    <t>보40</t>
  </si>
  <si>
    <t>보24</t>
  </si>
  <si>
    <t>보27</t>
  </si>
  <si>
    <t>개14</t>
  </si>
  <si>
    <t>개16</t>
  </si>
  <si>
    <t>바11</t>
  </si>
  <si>
    <t>바41</t>
  </si>
  <si>
    <t>개49</t>
  </si>
  <si>
    <t>바23</t>
  </si>
  <si>
    <t>바24</t>
  </si>
  <si>
    <t>바25</t>
  </si>
  <si>
    <t>개34</t>
  </si>
  <si>
    <t>8_퇴장</t>
  </si>
  <si>
    <t>개28</t>
  </si>
  <si>
    <t>개29</t>
  </si>
  <si>
    <t>개46</t>
  </si>
  <si>
    <t>개50</t>
  </si>
  <si>
    <t>바13</t>
  </si>
  <si>
    <t>바35</t>
  </si>
  <si>
    <t>바36</t>
  </si>
  <si>
    <t>바37</t>
  </si>
  <si>
    <t>개35</t>
  </si>
  <si>
    <t>번호</t>
  </si>
  <si>
    <t>관찰 항목</t>
  </si>
  <si>
    <t>−2</t>
  </si>
  <si>
    <t>−1</t>
  </si>
  <si>
    <t>0</t>
  </si>
  <si>
    <t>+1</t>
  </si>
  <si>
    <t>+2</t>
  </si>
  <si>
    <t>영역</t>
  </si>
  <si>
    <t>척도·축</t>
  </si>
  <si>
    <t>개60 자세히 볼 대상 번호</t>
  </si>
  <si>
    <t>1~20번 중 선택 · 해당 번호의 분리 관찰 기록</t>
  </si>
  <si>
    <t>행동채점표 · 구간순 보기</t>
  </si>
  <si>
    <t>채점 원본: 아스트라_02_개_행동채점표_최종정리_20260929.xlsx · 이 파일은 원본을 읽는 보기용입니다.</t>
  </si>
  <si>
    <t>AI 채점·사람의 수정은 02에서만 합니다. 02b·02c에는 점수나 관찰 메모를 직접 입력하지 않습니다. 회색 값은 02에서 연결된 값입니다.</t>
  </si>
  <si>
    <t>세 파일을 같은 폴더에 두고 02를 먼저 열면 함께 열린 보기 파일에 변경이 반영됩니다. 02가 닫혀 있으면 저장된 값을 연결 업데이트로 읽습니다.</t>
  </si>
  <si>
    <t>보기 파일을 열 때 통합 문서 연결 업데이트를 허용하세요. 허용하지 않으면 이전에 저장된 값이 보일 수 있습니다. 편집은 02에서 합니다.</t>
  </si>
  <si>
    <t>열 머리 −2~+2는 양쪽 항목에만 적용합니다. 각 행의 별도 코드·횟수·초를 따릅니다. 0과 빈칸은 구분해서 표시됩니다.</t>
  </si>
  <si>
    <t>바·개·보 번호는 02의 항목 번호입니다. 아래 표의 02 시트·행을 찾아 수정합니다. 구간·주제별 행은 보기 위치이며 추가 채점 칸이 아닙니다.</t>
  </si>
  <si>
    <t>원본 117행 대응: 채점·기록 109행, 원본 자동 계산 4행, 미사용 번호 4행. 이 보기 파일에서는 모두 원본의 값을 읽습니다.</t>
  </si>
  <si>
    <t>성향문장·유형별 피드백은 별도로 만듭니다. 이 파일에는 성향문장 사전·새 유형 계산·묶음 집계를 만들지 않습니다.</t>
  </si>
  <si>
    <t>개26·36·27·60도 02의 계산 결과를 그대로 표시합니다. 분리 관찰 조합의 기준과 계산은 02에만 있으며, 아래 대상 번호 선택으로 긴 결과를 읽습니다.</t>
  </si>
  <si>
    <t>애착 유형 선택·보호자 유형·행사 관찰 의견·리포트 결과는 02에서 관리합니다. 02b·02c는 원항목을 다른 순서로 보여 주는 화면입니다.</t>
  </si>
  <si>
    <t>보5·보6·보9는 입장·퇴장 종합값 하나입니다. 입장·퇴장에 같은 02 값이 보이며 중복 합산하지 않습니다. 보14도 같은 원본 조건값을 표시합니다.</t>
  </si>
  <si>
    <t>수정은 02에서 한 번만 합니다. 개59는 02의 공통 관찰 메모입니다. 폴더를 옮길 때 세 파일을 함께 옮기고 파일명은 유지하세요.</t>
  </si>
  <si>
    <t>항목 대응표 · 02 원본 위치와 보기 위치</t>
  </si>
  <si>
    <t>구간 보기</t>
  </si>
  <si>
    <t>보기 행</t>
  </si>
  <si>
    <t>주제별 보기</t>
  </si>
  <si>
    <t>02 원본의 점수·메모·기준·계산 결과를 자동 표시합니다. 채점과 수정은 02에서만 합니다. 이 파일의 회색 값은 입력 칸이 아닙니다.</t>
  </si>
  <si>
    <t>보호자 행동도 해당 장면·주제 안에서 함께 봅니다. 입장·퇴장의 보5·보6·보9는 동일한 종합값입니다. 별도 점수로 합산하지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</si>
</sst>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;0;0;&quot;아래 보기&quot;"/>
  </numFmts>
  <fonts count="6">
    <font>
      <sz val="11"/>
      <color rgb="FF000000"/>
      <name val="Carlito"/>
    </font>
    <font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8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0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Alignment="1">
      <alignment vertical="center" wrapText="1"/>
    </xf>
    <xf numFmtId="0" fontId="2" fillId="3" borderId="0" xfId="1" applyNumberFormat="1" applyFont="1" applyFill="1" applyBorder="1" applyAlignment="1">
      <alignment vertical="center" wrapText="1"/>
    </xf>
    <xf numFmtId="0" fontId="3" fillId="3" borderId="1" xfId="1" applyNumberFormat="1" applyFont="1" applyFill="1" applyBorder="1" applyAlignment="1">
      <alignment vertical="center" wrapText="1"/>
    </xf>
    <xf numFmtId="0" fontId="1" fillId="3" borderId="1" xfId="1" applyNumberFormat="1" applyFont="1" applyFill="1" applyBorder="1" applyAlignment="1">
      <alignment vertical="top" wrapText="1"/>
    </xf>
    <xf numFmtId="0" fontId="3" fillId="2" borderId="1" xfId="1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>
      <alignment vertical="top" wrapText="1"/>
    </xf>
    <xf numFmtId="1" fontId="1" fillId="5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Protection="1">
      <protection locked="0"/>
    </xf>
    <xf numFmtId="0" fontId="1" fillId="0" borderId="0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3" borderId="1" xfId="1" applyNumberFormat="1" applyFont="1" applyFill="1" applyBorder="1" applyAlignment="1">
      <alignment vertical="top" wrapText="1"/>
    </xf>
    <xf numFmtId="0" fontId="2" fillId="3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44060;_&#54665;&#46041;&#52292;&#51216;&#54364;_&#52572;&#51333;&#51221;&#47532;_202609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안내"/>
      <sheetName val="1_바디시그널"/>
      <sheetName val="2_개행동"/>
      <sheetName val="3_보호자행동"/>
      <sheetName val="6_행사전문가의견"/>
      <sheetName val="한마리상세"/>
      <sheetName val="여러쌍비교"/>
      <sheetName val="성향문장"/>
    </sheetNames>
    <sheetDataSet>
      <sheetData sheetId="0"/>
      <sheetData sheetId="1">
        <row r="4">
          <cell r="J4" t="str">
            <v>1번</v>
          </cell>
          <cell r="K4" t="str">
            <v>2번</v>
          </cell>
          <cell r="L4" t="str">
            <v>3번</v>
          </cell>
          <cell r="M4" t="str">
            <v>4번</v>
          </cell>
          <cell r="N4" t="str">
            <v>5번</v>
          </cell>
          <cell r="O4" t="str">
            <v>6번</v>
          </cell>
          <cell r="P4" t="str">
            <v>7번</v>
          </cell>
          <cell r="Q4" t="str">
            <v>8번</v>
          </cell>
          <cell r="R4" t="str">
            <v>9번</v>
          </cell>
          <cell r="S4" t="str">
            <v>10번</v>
          </cell>
          <cell r="T4" t="str">
            <v>11번</v>
          </cell>
          <cell r="U4" t="str">
            <v>12번</v>
          </cell>
          <cell r="V4" t="str">
            <v>13번</v>
          </cell>
          <cell r="W4" t="str">
            <v>14번</v>
          </cell>
          <cell r="X4" t="str">
            <v>15번</v>
          </cell>
          <cell r="Y4" t="str">
            <v>16번</v>
          </cell>
          <cell r="Z4" t="str">
            <v>17번</v>
          </cell>
          <cell r="AA4" t="str">
            <v>18번</v>
          </cell>
          <cell r="AB4" t="str">
            <v>19번</v>
          </cell>
          <cell r="AC4" t="str">
            <v>20번</v>
          </cell>
        </row>
        <row r="5">
          <cell r="B5" t="str">
            <v>[입장] 꼬리 — 위치 ※형태 관찰. 기준 20초(바38)와 원값을 나란히 봄. 기준도 낯선 장소에서의 상태이며 평소 꼬리가 아님. 가림·단미 등 판독 불가면 빈칸.</v>
          </cell>
          <cell r="C5" t="str">
            <v>다리 사이로 말아 넣음</v>
          </cell>
          <cell r="D5" t="str">
            <v>등선보다 아래로 늘어뜨림 — 꼬리끝이 바닥을 가리킴</v>
          </cell>
          <cell r="E5" t="str">
            <v>등선 높이 — 꼬리끝이 바닥보다 위</v>
          </cell>
          <cell r="F5" t="str">
            <v>등선보다 높이 올라옴</v>
          </cell>
          <cell r="G5" t="str">
            <v>등 위로 높이 세우거나 말아 올림</v>
          </cell>
          <cell r="H5" t="str">
            <v>별도 관찰 · 꼬리 형태</v>
          </cell>
          <cell r="I5" t="str">
            <v>양쪽·위치</v>
          </cell>
        </row>
        <row r="6">
          <cell r="B6" t="str">
            <v>[입장] 발성량 ※0~3 시간 비중 · 입장 전체. 못 들으면 빈칸; 0은 들었으나 없음. 종류·시각·관찰 초는 메모. 꼬리로 소리 의미를 정하지 않음.</v>
          </cell>
          <cell r="C6" t="str">
            <v>0 — 발성 없음</v>
          </cell>
          <cell r="D6" t="str">
            <v>1 — 발성 누적 비중 0 초과~1/3 이하</v>
          </cell>
          <cell r="E6" t="str">
            <v>2 — 1/3 초과~2/3 이하</v>
          </cell>
          <cell r="F6" t="str">
            <v>3 — 2/3 초과</v>
          </cell>
          <cell r="H6" t="str">
            <v>별도 관찰 · 발성</v>
          </cell>
          <cell r="I6" t="str">
            <v>한쪽·발성량</v>
          </cell>
        </row>
        <row r="7">
          <cell r="B7" t="str">
            <v>[입장] 낯선 바닥 — 꼬리 위치 ※형태 관찰. 기준 20초(바38)와 원값을 나란히 봄. 기준도 낯선 장소에서의 상태이며 평소 꼬리가 아님. 가림·단미 등 판독 불가면 빈칸.</v>
          </cell>
          <cell r="C7" t="str">
            <v>다리 사이로 말아 넣음</v>
          </cell>
          <cell r="D7" t="str">
            <v>등선보다 아래로 늘어뜨림 — 꼬리끝이 바닥을 가리킴</v>
          </cell>
          <cell r="E7" t="str">
            <v>등선 높이 — 꼬리끝이 바닥보다 위</v>
          </cell>
          <cell r="F7" t="str">
            <v>등선보다 높이 올라옴</v>
          </cell>
          <cell r="G7" t="str">
            <v>등 위로 높이 세우거나 말아 올림</v>
          </cell>
          <cell r="H7" t="str">
            <v>별도 관찰 · 꼬리 형태</v>
          </cell>
          <cell r="I7" t="str">
            <v>양쪽·위치</v>
          </cell>
        </row>
        <row r="8">
          <cell r="B8" t="str">
            <v>낯선 바닥 — 몸 털기  ※횟수 · 점수가 아닙니다</v>
          </cell>
          <cell r="C8" t="str">
            <v>바닥을 처음 밟은 순간부터 5초 안에 개가 몸을 턴 횟수를 셉니다. 물기를 털듯 온몸을 흔드는 동작입니다. 하품 · 코 핥기는 여기서 세지 않고 아래 구간별 횟수 칸(14~37행)에 적습니다.</v>
          </cell>
          <cell r="H8" t="str">
            <v>— 참고 · 횟수</v>
          </cell>
          <cell r="I8" t="str">
            <v>참고</v>
          </cell>
        </row>
        <row r="9">
          <cell r="B9" t="str">
            <v>[혼자] 꼬리 — 위치 ※형태 관찰. 기준 20초(바38)와 원값을 나란히 봄. 기준도 낯선 장소에서의 상태이며 평소 꼬리가 아님. 가림·단미 등 판독 불가면 빈칸.</v>
          </cell>
          <cell r="C9" t="str">
            <v>다리 사이로 말아 넣음</v>
          </cell>
          <cell r="D9" t="str">
            <v>등선보다 아래로 늘어뜨림 — 꼬리끝이 바닥을 가리킴</v>
          </cell>
          <cell r="E9" t="str">
            <v>등선 높이 — 꼬리끝이 바닥보다 위</v>
          </cell>
          <cell r="F9" t="str">
            <v>등선보다 높이 올라옴</v>
          </cell>
          <cell r="G9" t="str">
            <v>등 위로 높이 세우거나 말아 올림</v>
          </cell>
          <cell r="H9" t="str">
            <v>별도 관찰 · 꼬리 형태</v>
          </cell>
          <cell r="I9" t="str">
            <v>양쪽·위치</v>
          </cell>
        </row>
        <row r="10">
          <cell r="B10" t="str">
            <v>분리 — 몸 털기  ※횟수 · 점수가 아닙니다</v>
          </cell>
          <cell r="C10" t="str">
            <v>보호자가 나간 순간부터 5초 안에 개가 몸을 턴 횟수를 셉니다. 물기를 털듯 온몸을 흔드는 동작입니다. 하품 · 코 핥기는 여기서 세지 않고 아래 구간별 횟수 칸(14~37행)에 적습니다.</v>
          </cell>
          <cell r="H10" t="str">
            <v>— 참고 · 횟수</v>
          </cell>
          <cell r="I10" t="str">
            <v>참고</v>
          </cell>
        </row>
        <row r="11">
          <cell r="B11" t="str">
            <v>[낯선] 꼬리 — 위치 ※형태 관찰. 기준 20초(바38)와 원값을 나란히 봄. 기준도 낯선 장소에서의 상태이며 평소 꼬리가 아님. 가림·단미 등 판독 불가면 빈칸.</v>
          </cell>
          <cell r="C11" t="str">
            <v>다리 사이로 말아 넣음</v>
          </cell>
          <cell r="D11" t="str">
            <v>등선보다 아래로 늘어뜨림 — 꼬리끝이 바닥을 가리킴</v>
          </cell>
          <cell r="E11" t="str">
            <v>등선 높이 — 꼬리끝이 바닥보다 위</v>
          </cell>
          <cell r="F11" t="str">
            <v>등선보다 높이 올라옴</v>
          </cell>
          <cell r="G11" t="str">
            <v>등 위로 높이 세우거나 말아 올림</v>
          </cell>
          <cell r="H11" t="str">
            <v>별도 관찰 · 꼬리 형태</v>
          </cell>
          <cell r="I11" t="str">
            <v>양쪽·위치</v>
          </cell>
        </row>
        <row r="12">
          <cell r="B12" t="str">
            <v>[걷기] 꼬리 — 위치 ※형태 관찰. 기준 20초(바38)와 원값을 나란히 봄. 기준도 낯선 장소에서의 상태이며 평소 꼬리가 아님. 가림·단미 등 판독 불가면 빈칸.</v>
          </cell>
          <cell r="C12" t="str">
            <v>다리 사이로 말아 넣음</v>
          </cell>
          <cell r="D12" t="str">
            <v>등선보다 아래로 늘어뜨림 — 꼬리끝이 바닥을 가리킴</v>
          </cell>
          <cell r="E12" t="str">
            <v>등선 높이 — 꼬리끝이 바닥보다 위</v>
          </cell>
          <cell r="F12" t="str">
            <v>등선보다 높이 올라옴</v>
          </cell>
          <cell r="G12" t="str">
            <v>등 위로 높이 세우거나 말아 올림</v>
          </cell>
          <cell r="H12" t="str">
            <v>별도 관찰 · 꼬리 형태</v>
          </cell>
          <cell r="I12" t="str">
            <v>양쪽·위치</v>
          </cell>
        </row>
        <row r="13">
          <cell r="B13" t="str">
            <v>[퇴장] 꼬리 — 위치 ※형태 관찰. 기준 20초(바38)와 원값을 나란히 봄. 기준도 낯선 장소에서의 상태이며 평소 꼬리가 아님. 가림·단미 등 판독 불가면 빈칸.</v>
          </cell>
          <cell r="C13" t="str">
            <v>다리 사이로 말아 넣음</v>
          </cell>
          <cell r="D13" t="str">
            <v>등선보다 아래로 늘어뜨림 — 꼬리끝이 바닥을 가리킴</v>
          </cell>
          <cell r="E13" t="str">
            <v>등선 높이 — 꼬리끝이 바닥보다 위</v>
          </cell>
          <cell r="F13" t="str">
            <v>등선보다 높이 올라옴</v>
          </cell>
          <cell r="G13" t="str">
            <v>등 위로 높이 세우거나 말아 올림</v>
          </cell>
          <cell r="H13" t="str">
            <v>별도 관찰 · 꼬리 형태</v>
          </cell>
          <cell r="I13" t="str">
            <v>양쪽·위치</v>
          </cell>
        </row>
        <row r="14">
          <cell r="B14" t="str">
            <v>[입장] 몸 털기 횟수  ※구간 전체 ~30초 · 참고</v>
          </cell>
          <cell r="C14" t="str">
            <v>온몸을 좌우로 빠르게 턴 횟수를 셉니다. 머리만 흔든 것은 빼고, 몸이 안 보인 구간이면 빈칸(0 과 다름).</v>
          </cell>
          <cell r="H14" t="str">
            <v>별도 관찰 · 행동 횟수</v>
          </cell>
          <cell r="I14" t="str">
            <v>참고</v>
          </cell>
        </row>
        <row r="15">
          <cell r="B15" t="str">
            <v>[입장] 하품 횟수  ※구간 전체 ~30초 · 참고</v>
          </cell>
          <cell r="C15" t="str">
            <v>입을 크게 벌렸다 닫은 횟수를 셉니다. 짖음 · 헐떡임과 구분하고, 얼굴이 안 보인 구간이면 빈칸(0 과 다름).</v>
          </cell>
          <cell r="H15" t="str">
            <v>별도 관찰 · 행동 횟수</v>
          </cell>
          <cell r="I15" t="str">
            <v>참고</v>
          </cell>
        </row>
        <row r="16">
          <cell r="B16" t="str">
            <v>[입장] 코 핥기 횟수  ※구간 전체 ~30초 · 참고</v>
          </cell>
          <cell r="C16" t="str">
            <v>혀가 나와 코나 윗입술을 스친 횟수를 셉니다. 1초 이상 떨어져야 따로 세고, 먹이를 먹은 뒤 30초는 세지 않습니다. 얼굴이 안 보이면 빈칸.</v>
          </cell>
          <cell r="H16" t="str">
            <v>별도 관찰 · 행동 횟수</v>
          </cell>
          <cell r="I16" t="str">
            <v>참고</v>
          </cell>
        </row>
        <row r="17">
          <cell r="B17" t="str">
            <v>[기준] 몸 털기 횟수  ※구간 전체 20초 · 참고</v>
          </cell>
          <cell r="C17" t="str">
            <v>온몸을 좌우로 빠르게 턴 횟수를 셉니다. 머리만 흔든 것은 빼고, 몸이 안 보인 구간이면 빈칸(0 과 다름).</v>
          </cell>
          <cell r="H17" t="str">
            <v>별도 관찰 · 행동 횟수</v>
          </cell>
          <cell r="I17" t="str">
            <v>참고</v>
          </cell>
        </row>
        <row r="18">
          <cell r="B18" t="str">
            <v>[기준] 하품 횟수  ※구간 전체 20초 · 참고</v>
          </cell>
          <cell r="C18" t="str">
            <v>입을 크게 벌렸다 닫은 횟수를 셉니다. 짖음 · 헐떡임과 구분하고, 얼굴이 안 보인 구간이면 빈칸(0 과 다름).</v>
          </cell>
          <cell r="H18" t="str">
            <v>별도 관찰 · 행동 횟수</v>
          </cell>
          <cell r="I18" t="str">
            <v>참고</v>
          </cell>
        </row>
        <row r="19">
          <cell r="B19" t="str">
            <v>[기준] 코 핥기 횟수  ※구간 전체 20초 · 참고</v>
          </cell>
          <cell r="C19" t="str">
            <v>혀가 나와 코나 윗입술을 스친 횟수를 셉니다. 1초 이상 떨어져야 따로 세고, 먹이를 먹은 뒤 30초는 세지 않습니다. 얼굴이 안 보이면 빈칸.</v>
          </cell>
          <cell r="H19" t="str">
            <v>별도 관찰 · 행동 횟수</v>
          </cell>
          <cell r="I19" t="str">
            <v>참고</v>
          </cell>
        </row>
        <row r="20">
          <cell r="B20" t="str">
            <v>[혼자] 몸 털기 횟수  ※구간 전체 1분 · 참고</v>
          </cell>
          <cell r="C20" t="str">
            <v>온몸을 좌우로 빠르게 턴 횟수를 셉니다. 머리만 흔든 것은 빼고, 몸이 안 보인 구간이면 빈칸(0 과 다름).</v>
          </cell>
          <cell r="H20" t="str">
            <v>별도 관찰 · 행동 횟수</v>
          </cell>
          <cell r="I20" t="str">
            <v>참고</v>
          </cell>
        </row>
        <row r="21">
          <cell r="B21" t="str">
            <v>[혼자] 하품 횟수  ※구간 전체 1분 · 참고</v>
          </cell>
          <cell r="C21" t="str">
            <v>입을 크게 벌렸다 닫은 횟수를 셉니다. 짖음 · 헐떡임과 구분하고, 얼굴이 안 보인 구간이면 빈칸(0 과 다름).</v>
          </cell>
          <cell r="H21" t="str">
            <v>별도 관찰 · 행동 횟수</v>
          </cell>
          <cell r="I21" t="str">
            <v>참고</v>
          </cell>
        </row>
        <row r="22">
          <cell r="B22" t="str">
            <v>[혼자] 코 핥기 횟수  ※구간 전체 1분 · 참고</v>
          </cell>
          <cell r="C22" t="str">
            <v>혀가 나와 코나 윗입술을 스친 횟수를 셉니다. 1초 이상 떨어져야 따로 세고, 먹이를 먹은 뒤 30초는 세지 않습니다. 얼굴이 안 보이면 빈칸.</v>
          </cell>
          <cell r="H22" t="str">
            <v>별도 관찰 · 행동 횟수</v>
          </cell>
          <cell r="I22" t="str">
            <v>참고</v>
          </cell>
        </row>
        <row r="23">
          <cell r="B23" t="str">
            <v>[낯선 사람] 몸 털기 횟수  ※구간 전체 30초 · 참고</v>
          </cell>
          <cell r="C23" t="str">
            <v>온몸을 좌우로 빠르게 턴 횟수를 셉니다. 머리만 흔든 것은 빼고, 몸이 안 보인 구간이면 빈칸(0 과 다름).</v>
          </cell>
          <cell r="H23" t="str">
            <v>별도 관찰 · 행동 횟수</v>
          </cell>
          <cell r="I23" t="str">
            <v>참고</v>
          </cell>
        </row>
        <row r="24">
          <cell r="B24" t="str">
            <v>[낯선 사람] 하품 횟수  ※구간 전체 30초 · 참고</v>
          </cell>
          <cell r="C24" t="str">
            <v>입을 크게 벌렸다 닫은 횟수를 셉니다. 짖음 · 헐떡임과 구분하고, 얼굴이 안 보인 구간이면 빈칸(0 과 다름).</v>
          </cell>
          <cell r="H24" t="str">
            <v>별도 관찰 · 행동 횟수</v>
          </cell>
          <cell r="I24" t="str">
            <v>참고</v>
          </cell>
        </row>
        <row r="25">
          <cell r="B25" t="str">
            <v>[낯선 사람] 코 핥기 횟수  ※구간 전체 30초 · 참고</v>
          </cell>
          <cell r="C25" t="str">
            <v>혀가 나와 코나 윗입술을 스친 횟수를 셉니다. 1초 이상 떨어져야 따로 세고, 먹이를 먹은 뒤 30초는 세지 않습니다. 얼굴이 안 보이면 빈칸.</v>
          </cell>
          <cell r="H25" t="str">
            <v>별도 관찰 · 행동 횟수</v>
          </cell>
          <cell r="I25" t="str">
            <v>참고</v>
          </cell>
        </row>
        <row r="26">
          <cell r="B26" t="str">
            <v>[재회] 몸 털기 횟수  ※구간 전체 30초 · 참고</v>
          </cell>
          <cell r="C26" t="str">
            <v>온몸을 좌우로 빠르게 턴 횟수를 셉니다. 머리만 흔든 것은 빼고, 몸이 안 보인 구간이면 빈칸(0 과 다름).</v>
          </cell>
          <cell r="H26" t="str">
            <v>별도 관찰 · 행동 횟수</v>
          </cell>
          <cell r="I26" t="str">
            <v>참고</v>
          </cell>
        </row>
        <row r="27">
          <cell r="B27" t="str">
            <v>[재회] 하품 횟수  ※구간 전체 30초 · 참고</v>
          </cell>
          <cell r="C27" t="str">
            <v>입을 크게 벌렸다 닫은 횟수를 셉니다. 짖음 · 헐떡임과 구분하고, 얼굴이 안 보인 구간이면 빈칸(0 과 다름).</v>
          </cell>
          <cell r="H27" t="str">
            <v>별도 관찰 · 행동 횟수</v>
          </cell>
          <cell r="I27" t="str">
            <v>참고</v>
          </cell>
        </row>
        <row r="28">
          <cell r="B28" t="str">
            <v>[재회] 코 핥기 횟수  ※구간 전체 30초 · 참고</v>
          </cell>
          <cell r="C28" t="str">
            <v>혀가 나와 코나 윗입술을 스친 횟수를 셉니다. 1초 이상 떨어져야 따로 세고, 먹이를 먹은 뒤 30초는 세지 않습니다. 얼굴이 안 보이면 빈칸.</v>
          </cell>
          <cell r="H28" t="str">
            <v>별도 관찰 · 행동 횟수</v>
          </cell>
          <cell r="I28" t="str">
            <v>참고</v>
          </cell>
        </row>
        <row r="29">
          <cell r="B29" t="str">
            <v>[무시] 몸 털기 횟수  ※구간 전체 20초 · 참고</v>
          </cell>
          <cell r="C29" t="str">
            <v>온몸을 좌우로 빠르게 턴 횟수를 셉니다. 머리만 흔든 것은 빼고, 몸이 안 보인 구간이면 빈칸(0 과 다름).</v>
          </cell>
          <cell r="H29" t="str">
            <v>별도 관찰 · 행동 횟수</v>
          </cell>
          <cell r="I29" t="str">
            <v>참고</v>
          </cell>
        </row>
        <row r="30">
          <cell r="B30" t="str">
            <v>[무시] 하품 횟수  ※구간 전체 20초 · 참고</v>
          </cell>
          <cell r="C30" t="str">
            <v>입을 크게 벌렸다 닫은 횟수를 셉니다. 짖음 · 헐떡임과 구분하고, 얼굴이 안 보인 구간이면 빈칸(0 과 다름).</v>
          </cell>
          <cell r="H30" t="str">
            <v>별도 관찰 · 행동 횟수</v>
          </cell>
          <cell r="I30" t="str">
            <v>참고</v>
          </cell>
        </row>
        <row r="31">
          <cell r="B31" t="str">
            <v>[무시] 코 핥기 횟수  ※구간 전체 20초 · 참고</v>
          </cell>
          <cell r="C31" t="str">
            <v>혀가 나와 코나 윗입술을 스친 횟수를 셉니다. 1초 이상 떨어져야 따로 세고, 먹이를 먹은 뒤 30초는 세지 않습니다. 얼굴이 안 보이면 빈칸.</v>
          </cell>
          <cell r="H31" t="str">
            <v>별도 관찰 · 행동 횟수</v>
          </cell>
          <cell r="I31" t="str">
            <v>참고</v>
          </cell>
        </row>
        <row r="32">
          <cell r="B32" t="str">
            <v>[걷기] 몸 털기 횟수  ※구간 전체 약 30초 · 참고</v>
          </cell>
          <cell r="C32" t="str">
            <v>온몸을 좌우로 빠르게 턴 횟수를 셉니다. 머리만 흔든 것은 빼고, 몸이 안 보인 구간이면 빈칸(0 과 다름).</v>
          </cell>
          <cell r="H32" t="str">
            <v>별도 관찰 · 행동 횟수</v>
          </cell>
          <cell r="I32" t="str">
            <v>참고</v>
          </cell>
        </row>
        <row r="33">
          <cell r="B33" t="str">
            <v>[걷기] 하품 횟수  ※구간 전체 약 30초 · 참고</v>
          </cell>
          <cell r="C33" t="str">
            <v>입을 크게 벌렸다 닫은 횟수를 셉니다. 짖음 · 헐떡임과 구분하고, 얼굴이 안 보인 구간이면 빈칸(0 과 다름).</v>
          </cell>
          <cell r="H33" t="str">
            <v>별도 관찰 · 행동 횟수</v>
          </cell>
          <cell r="I33" t="str">
            <v>참고</v>
          </cell>
        </row>
        <row r="34">
          <cell r="B34" t="str">
            <v>[걷기] 코 핥기 횟수  ※구간 전체 약 30초 · 참고</v>
          </cell>
          <cell r="C34" t="str">
            <v>혀가 나와 코나 윗입술을 스친 횟수를 셉니다. 1초 이상 떨어져야 따로 세고, 먹이를 먹은 뒤 30초는 세지 않습니다. 얼굴이 안 보이면 빈칸.</v>
          </cell>
          <cell r="H34" t="str">
            <v>별도 관찰 · 행동 횟수</v>
          </cell>
          <cell r="I34" t="str">
            <v>참고</v>
          </cell>
        </row>
        <row r="35">
          <cell r="B35" t="str">
            <v>[퇴장] 몸 털기 횟수  ※구간 전체 ~30초 · 참고</v>
          </cell>
          <cell r="C35" t="str">
            <v>온몸을 좌우로 빠르게 턴 횟수를 셉니다. 머리만 흔든 것은 빼고, 몸이 안 보인 구간이면 빈칸(0 과 다름).</v>
          </cell>
          <cell r="H35" t="str">
            <v>별도 관찰 · 행동 횟수</v>
          </cell>
          <cell r="I35" t="str">
            <v>참고</v>
          </cell>
        </row>
        <row r="36">
          <cell r="B36" t="str">
            <v>[퇴장] 하품 횟수  ※구간 전체 ~30초 · 참고</v>
          </cell>
          <cell r="C36" t="str">
            <v>입을 크게 벌렸다 닫은 횟수를 셉니다. 짖음 · 헐떡임과 구분하고, 얼굴이 안 보인 구간이면 빈칸(0 과 다름).</v>
          </cell>
          <cell r="H36" t="str">
            <v>별도 관찰 · 행동 횟수</v>
          </cell>
          <cell r="I36" t="str">
            <v>참고</v>
          </cell>
        </row>
        <row r="37">
          <cell r="B37" t="str">
            <v>[퇴장] 코 핥기 횟수  ※구간 전체 ~30초 · 참고</v>
          </cell>
          <cell r="C37" t="str">
            <v>혀가 나와 코나 윗입술을 스친 횟수를 셉니다. 1초 이상 떨어져야 따로 세고, 먹이를 먹은 뒤 30초는 세지 않습니다. 얼굴이 안 보이면 빈칸.</v>
          </cell>
          <cell r="H37" t="str">
            <v>별도 관찰 · 행동 횟수</v>
          </cell>
          <cell r="I37" t="str">
            <v>참고</v>
          </cell>
        </row>
        <row r="38">
          <cell r="B38" t="str">
            <v>[기준] 꼬리 위치 ※낯선 장소의 기준 20초. 평소 꼬리의 대표값이 아님. 다른 구간과 형태만 비교하며 꼬리 형태·단미·가림은 메모.</v>
          </cell>
          <cell r="C38" t="str">
            <v>다리 사이로 말아 넣음</v>
          </cell>
          <cell r="D38" t="str">
            <v>등선보다 아래로 늘어뜨림 — 꼬리끝이 바닥을 가리킴</v>
          </cell>
          <cell r="E38" t="str">
            <v>등선 높이 — 꼬리끝이 바닥보다 위</v>
          </cell>
          <cell r="F38" t="str">
            <v>등선보다 높이 올라옴</v>
          </cell>
          <cell r="G38" t="str">
            <v>등 위로 높이 세우거나 말아 올림</v>
          </cell>
          <cell r="H38" t="str">
            <v>별도 관찰 · 꼬리 형태</v>
          </cell>
          <cell r="I38" t="str">
            <v>양쪽·위치</v>
          </cell>
        </row>
        <row r="39">
          <cell r="B39" t="str">
            <v>[무시] 꼬리 — 위치 ※형태 관찰. 기준 20초(바38)와 원값을 나란히 봄. 기준도 낯선 장소에서의 상태이며 평소 꼬리가 아님. 가림·단미 등 판독 불가면 빈칸.</v>
          </cell>
          <cell r="C39" t="str">
            <v>다리 사이로 말아 넣음</v>
          </cell>
          <cell r="D39" t="str">
            <v>등선보다 아래로 늘어뜨림 — 꼬리끝이 바닥을 가리킴</v>
          </cell>
          <cell r="E39" t="str">
            <v>등선 높이 — 꼬리끝이 바닥보다 위</v>
          </cell>
          <cell r="F39" t="str">
            <v>등선보다 높이 올라옴</v>
          </cell>
          <cell r="G39" t="str">
            <v>등 위로 높이 세우거나 말아 올림</v>
          </cell>
          <cell r="H39" t="str">
            <v>별도 관찰 · 꼬리 형태</v>
          </cell>
          <cell r="I39" t="str">
            <v>양쪽·위치</v>
          </cell>
        </row>
        <row r="40">
          <cell r="B40" t="str">
            <v>[기준] 꼬리 움직임 ※낯선 장소의 기준 20초. 원속도 연속 영상으로 관찰. 평소 흔들림·감정의 확정값이 아님.</v>
          </cell>
          <cell r="C40" t="str">
            <v>몸도 굳고 꼬리 움직임도 멎은 상태가 주된 모습</v>
          </cell>
          <cell r="D40" t="str">
            <v>몸은 굳지 않았으나 작은 꼬리 움직임만 간헐적으로 보임</v>
          </cell>
          <cell r="E40" t="str">
            <v>편안한 자세로 꼬리가 멈춰 있거나 느리고 넓게 움직임</v>
          </cell>
          <cell r="F40" t="str">
            <v>빠른 좌우 움직임이 주된 모습</v>
          </cell>
          <cell r="G40" t="str">
            <v>짧은 진폭으로 떨듯 빠른 움직임이 주된 모습</v>
          </cell>
          <cell r="H40" t="str">
            <v>별도 관찰 · 꼬리 움직임</v>
          </cell>
          <cell r="I40" t="str">
            <v>양쪽·움직임</v>
          </cell>
        </row>
        <row r="41">
          <cell r="B41" t="str">
            <v>[낯선] 꼬리 — 흔들림 ※원속도 영상에서 관찰. 빠르기는 영상의 연속 움직임으로 확인하며 초당 5장 추출만으로 판단하지 않음. 감정 확정 금지.</v>
          </cell>
          <cell r="C41" t="str">
            <v>몸도 굳고 꼬리 움직임도 멎은 상태가 주된 모습</v>
          </cell>
          <cell r="D41" t="str">
            <v>몸은 굳지 않았으나 작은 꼬리 움직임만 간헐적으로 보임</v>
          </cell>
          <cell r="E41" t="str">
            <v>편안한 자세로 꼬리가 멈춰 있거나 느리고 넓게 움직임</v>
          </cell>
          <cell r="F41" t="str">
            <v>빠른 좌우 움직임이 주된 모습</v>
          </cell>
          <cell r="G41" t="str">
            <v>짧은 진폭으로 떨듯 빠른 움직임이 주된 모습</v>
          </cell>
          <cell r="H41" t="str">
            <v>별도 관찰 · 꼬리 움직임</v>
          </cell>
          <cell r="I41" t="str">
            <v>양쪽·움직임</v>
          </cell>
        </row>
        <row r="42">
          <cell r="B42" t="str">
            <v>[재회 접촉] 꼬리 — 흔들림 ※원속도 영상에서 관찰. 빠르기는 영상의 연속 움직임으로 확인하며 초당 5장 추출만으로 판단하지 않음. 감정 확정 금지.</v>
          </cell>
          <cell r="C42" t="str">
            <v>몸도 굳고 꼬리 움직임도 멎은 상태가 주된 모습</v>
          </cell>
          <cell r="D42" t="str">
            <v>몸은 굳지 않았으나 작은 꼬리 움직임만 간헐적으로 보임</v>
          </cell>
          <cell r="E42" t="str">
            <v>편안한 자세로 꼬리가 멈춰 있거나 느리고 넓게 움직임</v>
          </cell>
          <cell r="F42" t="str">
            <v>빠른 좌우 움직임이 주된 모습</v>
          </cell>
          <cell r="G42" t="str">
            <v>짧은 진폭으로 떨듯 빠른 움직임이 주된 모습</v>
          </cell>
          <cell r="H42" t="str">
            <v>별도 관찰 · 꼬리 움직임</v>
          </cell>
          <cell r="I42" t="str">
            <v>양쪽·움직임</v>
          </cell>
        </row>
        <row r="43">
          <cell r="B43" t="str">
            <v>[재회 접촉] 꼬리 — 위치 ※형태 관찰. 기준 20초(바38)와 원값을 나란히 봄. 기준도 낯선 장소에서의 상태이며 평소 꼬리가 아님. 가림·단미 등 판독 불가면 빈칸.</v>
          </cell>
          <cell r="C43" t="str">
            <v>다리 사이로 말아 넣음</v>
          </cell>
          <cell r="D43" t="str">
            <v>등선보다 아래로 늘어뜨림 — 꼬리끝이 바닥을 가리킴</v>
          </cell>
          <cell r="E43" t="str">
            <v>등선 높이 — 꼬리끝이 바닥보다 위</v>
          </cell>
          <cell r="F43" t="str">
            <v>등선보다 높이 올라옴</v>
          </cell>
          <cell r="G43" t="str">
            <v>등 위로 높이 세우거나 말아 올림</v>
          </cell>
          <cell r="H43" t="str">
            <v>별도 관찰 · 꼬리 형태</v>
          </cell>
          <cell r="I43" t="str">
            <v>양쪽·위치</v>
          </cell>
        </row>
        <row r="44">
          <cell r="B44" t="str">
            <v>[입장] 새 물건 곁 — 꼬리 위치 ※형태 관찰. 기준 20초(바38)와 원값을 나란히 봄. 기준도 낯선 장소에서의 상태이며 평소 꼬리가 아님. 가림·단미 등 판독 불가면 빈칸.</v>
          </cell>
          <cell r="C44" t="str">
            <v>다리 사이로 말아 넣음</v>
          </cell>
          <cell r="D44" t="str">
            <v>등선보다 아래로 늘어뜨림 — 꼬리끝이 바닥을 가리킴</v>
          </cell>
          <cell r="E44" t="str">
            <v>등선 높이 — 꼬리끝이 바닥보다 위</v>
          </cell>
          <cell r="F44" t="str">
            <v>등선보다 높이 올라옴</v>
          </cell>
          <cell r="G44" t="str">
            <v>등 위로 높이 세우거나 말아 올림</v>
          </cell>
          <cell r="H44" t="str">
            <v>별도 관찰 · 꼬리 형태</v>
          </cell>
          <cell r="I44" t="str">
            <v>양쪽·위치</v>
          </cell>
        </row>
        <row r="45">
          <cell r="B45" t="str">
            <v>[낯선 접촉] 꼬리 — 위치 ※형태 관찰. 기준 20초(바38)와 원값을 나란히 봄. 기준도 낯선 장소에서의 상태이며 평소 꼬리가 아님. 가림·단미 등 판독 불가면 빈칸.</v>
          </cell>
          <cell r="C45" t="str">
            <v>다리 사이로 말아 넣음</v>
          </cell>
          <cell r="D45" t="str">
            <v>등선보다 아래로 늘어뜨림 — 꼬리끝이 바닥을 가리킴</v>
          </cell>
          <cell r="E45" t="str">
            <v>등선 높이 — 꼬리끝이 바닥보다 위</v>
          </cell>
          <cell r="F45" t="str">
            <v>등선보다 높이 올라옴</v>
          </cell>
          <cell r="G45" t="str">
            <v>등 위로 높이 세우거나 말아 올림</v>
          </cell>
          <cell r="H45" t="str">
            <v>별도 관찰 · 꼬리 형태</v>
          </cell>
          <cell r="I45" t="str">
            <v>양쪽·위치</v>
          </cell>
        </row>
      </sheetData>
      <sheetData sheetId="2">
        <row r="5">
          <cell r="B5" t="str">
            <v>[입장] 방 문 통과 — 보호자보다 앞서는가</v>
          </cell>
          <cell r="C5" t="str">
            <v>문턱 앞 버팀·두번 이상의 유도 및 안기, ·당김은 별도 기록</v>
          </cell>
          <cell r="D5" t="str">
            <v>1회 이상의 유도. 자발 통과했으나 보호자 뒤에서 문턱을 넘음</v>
          </cell>
          <cell r="E5" t="str">
            <v>보호자와 나란히 문턱을 넘음. 보호자와 약간 뒤나 앞에 있음</v>
          </cell>
          <cell r="F5" t="str">
            <v>보호자보다 앞서 걸어 문턱을 넘음</v>
          </cell>
          <cell r="G5" t="str">
            <v>앞서 뛰거나 줄이 당겨진 채 문턱을 넘음</v>
          </cell>
          <cell r="H5" t="str">
            <v>환경 관찰</v>
          </cell>
          <cell r="I5" t="str">
            <v>양쪽·통과</v>
          </cell>
        </row>
        <row r="6">
          <cell r="B6" t="str">
            <v>[입장] 비닐 바닥 통과 ※눈에 보인 움직임만 기록. 뛰어서 지난 이유·바닥을 인식했는지는 단정하지 않음.</v>
          </cell>
          <cell r="C6" t="str">
            <v>바닥 앞 버팀, 두번 이상의 유도 및 안기</v>
          </cell>
          <cell r="D6" t="str">
            <v>멈춰 머뭇거린 뒤 천천히 밟음</v>
          </cell>
          <cell r="E6" t="str">
            <v>바닥을 살핀 뒤 멈춤 없이 스스로 걸어감</v>
          </cell>
          <cell r="F6" t="str">
            <v>바닥을 살피는 모습 없이 걸어감</v>
          </cell>
          <cell r="G6" t="str">
            <v>달리거나 뛰어 바닥을 통과</v>
          </cell>
          <cell r="H6" t="str">
            <v>환경 관찰</v>
          </cell>
          <cell r="I6" t="str">
            <v>양쪽·살핌</v>
          </cell>
        </row>
        <row r="7">
          <cell r="B7" t="str">
            <v>[입장] 냄새 — 코를 쓰는가</v>
          </cell>
          <cell r="C7" t="str">
            <v>0 — 냄새 맡는 모습 관찰</v>
          </cell>
          <cell r="D7" t="str">
            <v>1 — 구간을 볼 수 있었으나 냄새 맡는 모습 없음</v>
          </cell>
          <cell r="H7" t="str">
            <v>— 참고 · 입장↔퇴장 비교용</v>
          </cell>
          <cell r="I7" t="str">
            <v>범주 0/1</v>
          </cell>
        </row>
        <row r="8">
          <cell r="B8" t="str">
            <v>[기준] 몸 상태 ※목줄을 푼 뒤 20초. 낯선 실험실의 초기 상태이며 평소 안정 상태로 간주하지 않음.</v>
          </cell>
          <cell r="C8" t="str">
            <v>관찰 가능 시간의 절반 초과 동안 움직임이 멎고 몸이 뻣뻣함</v>
          </cell>
          <cell r="D8" t="str">
            <v>절반 초과 동안 낮춘 자세·조심스러운 움직임, 지속 굳음은 없음</v>
          </cell>
          <cell r="E8" t="str">
            <v>어느 극단도 절반을 넘지 않음; 주로 자연스러운 자세·이동. 반대 반응 혼재는 메모</v>
          </cell>
          <cell r="F8" t="str">
            <v>절반 초과 동안 같은 경로를 반복 이동하거나 자세를 자주 바꿈; 지속 뛰기 수준은 아님</v>
          </cell>
          <cell r="G8" t="str">
            <v>절반 초과 동안 뛰기·몸 부딪치기·급한 반복 이동이 이어짐</v>
          </cell>
          <cell r="H8" t="str">
            <v>— 참고 (기준선)</v>
          </cell>
          <cell r="I8" t="str">
            <v>양쪽·몸상태</v>
          </cell>
        </row>
        <row r="9">
          <cell r="B9" t="str">
            <v>[혼자 초기] 나간 문 쪽 반응 · 보호자의 몸이 완전히 문밖으로 나간 순간부터 처음 10초. C→G 순으로 먼저 해당하는 범주를 선택. 문 지향 반응이며 불안의 단독 증거가 아님.</v>
          </cell>
          <cell r="C9" t="str">
            <v>문·안전문을 향해 뛰거나 앞발을 걸어 올림</v>
          </cell>
          <cell r="D9" t="str">
            <v>위 행동 없이 문을 코·앞발로 건드림</v>
          </cell>
          <cell r="E9" t="str">
            <v>접촉 없이 문 앞 몸길이 1개 이내에서 처음 10초 중 합계 5초 초과 머묾</v>
          </cell>
          <cell r="F9" t="str">
            <v>문 쪽을 향하거나 다가갔으나 위 행동은 없음</v>
          </cell>
          <cell r="G9" t="str">
            <v>문 쪽 방향 전환·접근이 관찰되지 않음</v>
          </cell>
          <cell r="H9" t="str">
            <v>분리·재회 · 문 지향</v>
          </cell>
          <cell r="I9" t="str">
            <v>양쪽·거리</v>
          </cell>
        </row>
        <row r="10">
          <cell r="B10" t="str">
            <v>[혼자 이후] 공간 사용 양상 · 처음 10초 이후~60초까지 50초. C→G 순으로 먼저 해당하는 범주를 선택. 아래 초는 이후 50초 안에서 셈. 해당 없음·관찰 불가·구간 단축은 빈칸과 개59 메모.</v>
          </cell>
          <cell r="C10" t="str">
            <v>문을 긁거나 문·안전문을 넘으려 지속적 시도함</v>
          </cell>
          <cell r="D10" t="str">
            <v>가끔씩 코나 앞발로 문을 건들음</v>
          </cell>
          <cell r="E10" t="str">
            <v>안전문 앞에 20초 이상 있다가 다른 곳을 둘러봄,  그 뒤 위 두 행동 없이 주로 머물다가 둘러보거나 위치를 바꿈</v>
          </cell>
          <cell r="F10" t="str">
            <v>앞선 범주에 해당하지 않고, 안전문 앞에 5초 이상~20초 미만 있다가 다른 곳으로 감.</v>
          </cell>
          <cell r="G10" t="str">
            <v>위 행동 없이 다른 곳을 살피며 문 쪽으로 돌아오지 않음</v>
          </cell>
          <cell r="H10" t="str">
            <v>분리·재회 · 개별</v>
          </cell>
          <cell r="I10" t="str">
            <v>범주 · 이후 50초</v>
          </cell>
        </row>
        <row r="11">
          <cell r="B11" t="str">
            <v>[혼자] 발성량 ※0~3 시간 비중 · 혼자 실제 구간. 못 들으면 빈칸; 0은 들었으나 없음. 종류·시각·관찰 초는 메모. 꼬리로 소리 의미를 정하지 않음.</v>
          </cell>
          <cell r="C11" t="str">
            <v>0 — 발성 없음</v>
          </cell>
          <cell r="D11" t="str">
            <v>1 — 발성 누적 비중 0 초과~1/3 이하</v>
          </cell>
          <cell r="E11" t="str">
            <v>2 — 1/3 초과~2/3 이하</v>
          </cell>
          <cell r="F11" t="str">
            <v>3 — 2/3 초과</v>
          </cell>
          <cell r="H11" t="str">
            <v>별도 관찰 · 발성</v>
          </cell>
          <cell r="I11" t="str">
            <v>한쪽·발성량</v>
          </cell>
        </row>
        <row r="12">
          <cell r="B12" t="str">
            <v>[혼자] 탐색 변화 ※보호자 유무의 균형·반복 비교가 아니므로 안전기지 효과의 단독 판정 제외. 실제 탐색 초와 기준·혼자 관찰 가능 초를 개59에 기록. 아래는 참고 범주.</v>
          </cell>
          <cell r="C12" t="str">
            <v>보호자가 있을 때도 탐색이 거의 없다</v>
          </cell>
          <cell r="D12" t="str">
            <v>멀리 떨어지지 않고 탐색한다</v>
          </cell>
          <cell r="E12" t="str">
            <v>있을 때 탐색하고 나간 뒤 눈에 띄게 줄어든다</v>
          </cell>
          <cell r="F12" t="str">
            <v>잠시 신경 쓰고 탐색한다</v>
          </cell>
          <cell r="G12" t="str">
            <v>없어져도 있을 때와 마찬가지로 탐색</v>
          </cell>
          <cell r="H12" t="str">
            <v>— 참고 (Rehn 2013 · 순서효과)</v>
          </cell>
          <cell r="I12" t="str">
            <v>참고</v>
          </cell>
        </row>
        <row r="13">
          <cell r="B13" t="str">
            <v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v>
          </cell>
          <cell r="C13" t="str">
            <v>요원 쪽에서 멀어지거나 뒤로 피하는 반응이 나타남</v>
          </cell>
          <cell r="D13" t="str">
            <v>접근하지 않고 시작 위치 부근에서 지켜봄</v>
          </cell>
          <cell r="E13" t="str">
            <v>안전문 쪽으로 접근·머묾, 앞발을 걸거나 뛰지 않음</v>
          </cell>
          <cell r="F13" t="str">
            <v>안전문에 앞발을 걸거나 1~2회 뛰어오름</v>
          </cell>
          <cell r="G13" t="str">
            <v>안전문을 향해 3회 이상 뛰어오름</v>
          </cell>
          <cell r="H13" t="str">
            <v>사회성 — 사람</v>
          </cell>
          <cell r="I13" t="str">
            <v>양쪽·인사</v>
          </cell>
        </row>
        <row r="14">
          <cell r="B14" t="str">
            <v>[낯선] 몸 상태 ※요원 등장~퇴장 전체의 주된 모습. 접근·접촉·퇴장 단계에서 반대 반응이 있었으면 메모.</v>
          </cell>
          <cell r="C14" t="str">
            <v>관찰 가능 시간의 절반 초과 동안 움직임이 멎고 몸이 뻣뻣함</v>
          </cell>
          <cell r="D14" t="str">
            <v>절반 초과 동안 낮춘 자세·조심스러운 움직임, 지속 굳음은 없음</v>
          </cell>
          <cell r="E14" t="str">
            <v>어느 극단도 절반을 넘지 않음; 주로 자연스러운 자세·이동. 반대 반응 혼재는 메모</v>
          </cell>
          <cell r="F14" t="str">
            <v>절반 초과 동안 같은 경로를 반복 이동하거나 자세를 자주 바꿈; 지속 뛰기 수준은 아님</v>
          </cell>
          <cell r="G14" t="str">
            <v>절반 초과 동안 뛰기·몸 부딪치기·급한 반복 이동이 이어짐</v>
          </cell>
          <cell r="H14" t="str">
            <v>사회성 — 사람</v>
          </cell>
          <cell r="I14" t="str">
            <v>양쪽·몸상태</v>
          </cell>
        </row>
        <row r="15">
          <cell r="B15" t="str">
            <v>[낯선] 부름 뒤 반응 ※정지선에서 이름 1회 후 4초. 요원은 움직이지 않음. 접근했다면 +1/+2, 접근하지 않았다면 반응 잠재기로 −2/−1/0. 부르기 전 이미 곁에 있으면 접근 변화는 메모.</v>
          </cell>
          <cell r="C15" t="str">
            <v>4초 안에 고개·몸 방향 전환이나 접근이 없음</v>
          </cell>
          <cell r="D15" t="str">
            <v>접근 없이, 부름 후 3초 초과~4초 이내에 처음 고개·몸을 돌림</v>
          </cell>
          <cell r="E15" t="str">
            <v>접근 없이, 3초 이내 고개·몸을 돌림</v>
          </cell>
          <cell r="F15" t="str">
            <v>요원 쪽으로 다가오되 뛰어오르거나 매달리지 않음</v>
          </cell>
          <cell r="G15" t="str">
            <v>다가와 뛰어오르거나 몸·앞발을 올림</v>
          </cell>
          <cell r="H15" t="str">
            <v>사회성 — 사람</v>
          </cell>
          <cell r="I15" t="str">
            <v>양쪽·인사</v>
          </cell>
        </row>
        <row r="16">
          <cell r="B16" t="str">
            <v>[낯선] 거리 확보·위협 관련 신호 ※0~4 범주. 여러 신호는 가장 큰 코드와 나머지 시각을 기록. 강도의 등간 척도·합산값으로 사용하지 않음. 단독 고개 돌림을 두려움으로 확정하지 않음.</v>
          </cell>
          <cell r="C16" t="str">
            <v>0 — 아래 신호가 관찰되지 않음; 편안함의 확정은 아님</v>
          </cell>
          <cell r="D16" t="str">
            <v>1 — 고개를 돌림</v>
          </cell>
          <cell r="E16" t="str">
            <v>2 — 몸을 빼거나 뒤로 물러남</v>
          </cell>
          <cell r="F16" t="str">
            <v>3 — 돌아서서 벗어남 · 보호자 뒤나 구석으로 감</v>
          </cell>
          <cell r="G16" t="str">
            <v>4 — 으르렁거림 또는 굳은 채 노려봄</v>
          </cell>
          <cell r="H16" t="str">
            <v>사회성 — 사람</v>
          </cell>
          <cell r="I16" t="str">
            <v>범주 · 신호</v>
          </cell>
        </row>
        <row r="17">
          <cell r="B17" t="str">
            <v>[재회] 접근·거리 ※문 열림 0~15초, 보호자 이동·착석·대기 중 먼저 부르거나 만지지 않음. 앉는 시점과 관계없이 15초로 고정.</v>
          </cell>
          <cell r="C17" t="str">
            <v>걸어가는 내내 매달려 떨어지지 않음</v>
          </cell>
          <cell r="D17" t="str">
            <v>바로 다가와 몸을 붙임</v>
          </cell>
          <cell r="E17" t="str">
            <v>다가와 같이 의자로 걸어감</v>
          </cell>
          <cell r="F17" t="str">
            <v>한 번 쳐다보고 만다</v>
          </cell>
          <cell r="G17" t="str">
            <v>본체만체 · 오지 않음</v>
          </cell>
          <cell r="H17" t="str">
            <v>애착·관계 관찰</v>
          </cell>
          <cell r="I17" t="str">
            <v>양쪽·거리</v>
          </cell>
        </row>
        <row r="18">
          <cell r="B18" t="str">
            <v>[재회] 후반 몸 상태 ※문 열림 15~30초, 접촉 지시 구간 전체. 실제 접촉 여부를 별도 기록. 개58과 같은 눈금의 기술적 변화만 계산.</v>
          </cell>
          <cell r="C18" t="str">
            <v>관찰 가능 시간의 절반 초과 동안 움직임이 멎고 몸이 뻣뻣함</v>
          </cell>
          <cell r="D18" t="str">
            <v>절반 초과 동안 낮춘 자세·조심스러운 움직임, 지속 굳음은 없음</v>
          </cell>
          <cell r="E18" t="str">
            <v>어느 극단도 절반을 넘지 않음; 주로 자연스러운 자세·이동. 반대 반응 혼재는 메모</v>
          </cell>
          <cell r="F18" t="str">
            <v>절반 초과 동안 같은 경로를 반복 이동하거나 자세를 자주 바꿈; 지속 뛰기 수준은 아님</v>
          </cell>
          <cell r="G18" t="str">
            <v>절반 초과 동안 뛰기·몸 부딪치기·급한 반복 이동이 이어짐</v>
          </cell>
          <cell r="H18" t="str">
            <v>애착·관계 관찰</v>
          </cell>
          <cell r="I18" t="str">
            <v>양쪽·몸상태</v>
          </cell>
        </row>
        <row r="19">
          <cell r="B19" t="str">
            <v>[재회 접촉] 몸의 중심 ※15~30초 실제 접촉이 이루어진 시간만. 미접촉이면 빈칸. 낯선 접촉과 부호 방향은 반대이며 시간·자세도 달라 직접 점수 차이를 애착으로 해석하지 않음.</v>
          </cell>
          <cell r="C19" t="str">
            <v>몸을 얹거나 무릎에 올라감 · 기대어 떨어지지 않음</v>
          </cell>
          <cell r="D19" t="str">
            <v>몸이 닿을 만큼 앞으로 붙임</v>
          </cell>
          <cell r="E19" t="str">
            <v>앞으로 살짝 기울여 손을 받음</v>
          </cell>
          <cell r="F19" t="str">
            <v>선 자리를 지킴 · 몸을 앞으로 옮기지 않음</v>
          </cell>
          <cell r="G19" t="str">
            <v>뒤로 물러남 · 옆으로 피함 · 등을 돌림</v>
          </cell>
          <cell r="H19" t="str">
            <v>애착·관계 관찰</v>
          </cell>
          <cell r="I19" t="str">
            <v>양쪽·거리</v>
          </cell>
        </row>
        <row r="20">
          <cell r="B20" t="str">
            <v>[재회 접촉] 꼬리  ※사용하지 않습니다 (2026-09-22) — 바43(재회 꼬리 — 위치)으로 옮겼습니다</v>
          </cell>
          <cell r="H20" t="str">
            <v>— 사용 안 함</v>
          </cell>
          <cell r="I20" t="str">
            <v>미사용</v>
          </cell>
        </row>
        <row r="21">
          <cell r="B21" t="str">
            <v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v>
          </cell>
          <cell r="C21" t="str">
            <v>0은 관찰 가능했으나 해당 사건 없음. 빈칸은 판독 불가. 횟수는 개별 검토 근거이며 애착 혼란의 진단 기준이 아님.</v>
          </cell>
          <cell r="H21" t="str">
            <v>별도 관찰 · 사건 횟수</v>
          </cell>
          <cell r="I21" t="str">
            <v>참고</v>
          </cell>
        </row>
        <row r="22">
          <cell r="B22" t="str">
            <v>[무시] 보호자와의 거리·확인 ※접촉 종료 뒤 20초. 보12 조건을 함께 확인. 거리 유지와 시선이 함께 든 기존 범주이며 단일 친밀감·애착 강도는 아님.</v>
          </cell>
          <cell r="C22" t="str">
            <v>무릎에 올라감 · 몸을 얹고 떨어지지 않음</v>
          </cell>
          <cell r="D22" t="str">
            <v>몸이 닿는 거리로 붙어 있음</v>
          </cell>
          <cell r="E22" t="str">
            <v>주변 1 m 안에 있으며 가끔 확인</v>
          </cell>
          <cell r="F22" t="str">
            <v>떨어져 있고 가끔만 쳐다봄</v>
          </cell>
          <cell r="G22" t="str">
            <v>한 번도 쳐다보지 않음 · 혼자 다님</v>
          </cell>
          <cell r="H22" t="str">
            <v>애착·관계 관찰</v>
          </cell>
          <cell r="I22" t="str">
            <v>양쪽·거리</v>
          </cell>
        </row>
        <row r="23">
          <cell r="B23" t="str">
            <v>[무시] 몸 상태 ※접촉 종료 뒤 20초. 개8과 같은 눈금. 실험 이력·무시 지시의 영향이 함께 포함됨.</v>
          </cell>
          <cell r="C23" t="str">
            <v>관찰 가능 시간의 절반 초과 동안 움직임이 멎고 몸이 뻣뻣함</v>
          </cell>
          <cell r="D23" t="str">
            <v>절반 초과 동안 낮춘 자세·조심스러운 움직임, 지속 굳음은 없음</v>
          </cell>
          <cell r="E23" t="str">
            <v>어느 극단도 절반을 넘지 않음; 주로 자연스러운 자세·이동. 반대 반응 혼재는 메모</v>
          </cell>
          <cell r="F23" t="str">
            <v>절반 초과 동안 같은 경로를 반복 이동하거나 자세를 자주 바꿈; 지속 뛰기 수준은 아님</v>
          </cell>
          <cell r="G23" t="str">
            <v>절반 초과 동안 뛰기·몸 부딪치기·급한 반복 이동이 이어짐</v>
          </cell>
          <cell r="H23" t="str">
            <v>애착·관계 관찰</v>
          </cell>
          <cell r="I23" t="str">
            <v>양쪽·몸상태</v>
          </cell>
        </row>
        <row r="24">
          <cell r="B24" t="str">
            <v>[걷기] 주된 거리 ※구간 시간 절반 초과를 차지한 범주. 한 번 멀어진 것만으로 전체 +1로 정하지 않음. 동률이면 시작 범주·혼재 사유 기록.</v>
          </cell>
          <cell r="C24" t="str">
            <v>접촉하며 다리에 매달리거나 몸을 얹은 상태가 주됨</v>
          </cell>
          <cell r="D24" t="str">
            <v>비접촉이나 몸길이 1개 미만으로 붙어 이동</v>
          </cell>
          <cell r="E24" t="str">
            <v>몸길이 1개 이상~2개 이내</v>
          </cell>
          <cell r="F24" t="str">
            <v>몸길이 2개 초과~5개 이내</v>
          </cell>
          <cell r="G24" t="str">
            <v>몸길이 5개 초과</v>
          </cell>
          <cell r="H24" t="str">
            <v>행동 동조</v>
          </cell>
          <cell r="I24" t="str">
            <v>양쪽·거리</v>
          </cell>
        </row>
        <row r="25">
          <cell r="B25" t="str">
            <v>[걷기] 보호자 확인 ※시선 관찰만. 개24·근접 비율에 합산하지 않음. 친밀감·의존의 직접 판정으로 사용하지 않음.</v>
          </cell>
          <cell r="C25" t="str">
            <v>계속 올려다봄 · 앞을 보지 않음</v>
          </cell>
          <cell r="D25" t="str">
            <v>자주 올려다보며 걸음</v>
          </cell>
          <cell r="E25" t="str">
            <v>이동 중 여러 번 확인하고 다시 앞을 봄</v>
          </cell>
          <cell r="F25" t="str">
            <v>한두 번 힐끗</v>
          </cell>
          <cell r="G25" t="str">
            <v>한 번도 쳐다보지 않음</v>
          </cell>
          <cell r="H25" t="str">
            <v>행동 동조 — 참고</v>
          </cell>
          <cell r="I25" t="str">
            <v>양쪽·살핌</v>
          </cell>
        </row>
        <row r="26">
          <cell r="B26" t="str">
            <v>[걷기] 이동 — 곁에 있던 국면 수  ※자동 계산 · 입력하지 마세요</v>
          </cell>
          <cell r="C26" t="str">
            <v>이동 3국면(38 · 40 · 42행) 가운데 거리 등급이 1 이하였던 국면 수(0~3). 몸길이 2개 안에서 함께 이동한 국면입니다.</v>
          </cell>
          <cell r="H26" t="str">
            <v>— 참고 (영역 집계 제외)</v>
          </cell>
          <cell r="I26" t="str">
            <v>참고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</row>
        <row r="27">
          <cell r="B27" t="str">
            <v>[걷기] 근접 국면 비율 ※자동. 사람·AI 공통 항목으로 사용 가능. 상태 전환 동조율과 다름.</v>
          </cell>
          <cell r="C27" t="str">
            <v>이동·정지 6국면 중 거리 등급 0/1인 국면 ÷ 6. 6칸 모두 관찰되고 보13이 1/2일 때 산출. 보13=3이면 무효, 미입력이면 보류.</v>
          </cell>
          <cell r="H27" t="str">
            <v>— 참고 (영역 집계 제외)</v>
          </cell>
          <cell r="I27" t="str">
            <v>참고</v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</row>
        <row r="28">
          <cell r="B28" t="str">
            <v>[퇴장] 문 통과 ※입장 개5와 같은 관찰 기준. 앞서 나감의 이유나 환경 적응을 이 한 항목으로 정하지 않음.</v>
          </cell>
          <cell r="C28" t="str">
            <v>문턱 앞 버팀·우회로 자발 통과하지 못함; 유도·안기·당김은 별도 기록</v>
          </cell>
          <cell r="D28" t="str">
            <v>자발 통과했으나 보호자 뒤에서 문턱을 넘음</v>
          </cell>
          <cell r="E28" t="str">
            <v>보호자와 나란히 문턱을 넘음</v>
          </cell>
          <cell r="F28" t="str">
            <v>보호자보다 앞서 걸어 문턱을 넘음</v>
          </cell>
          <cell r="G28" t="str">
            <v>앞서 뛰거나 줄이 당겨진 채 문턱을 넘음</v>
          </cell>
          <cell r="H28" t="str">
            <v>퇴장 — 환경 적응</v>
          </cell>
          <cell r="I28" t="str">
            <v>양쪽·통과</v>
          </cell>
        </row>
        <row r="29">
          <cell r="B29" t="str">
            <v>[퇴장] 냄새 — 나가면서 코를 쓰는가</v>
          </cell>
          <cell r="C29" t="str">
            <v>0 — 냄새 맡는 모습 관찰</v>
          </cell>
          <cell r="D29" t="str">
            <v>1 — 구간을 볼 수 있었으나 냄새 맡는 모습 없음</v>
          </cell>
          <cell r="H29" t="str">
            <v>— 참고 · 입장↔퇴장 비교용</v>
          </cell>
          <cell r="I29" t="str">
            <v>범주 0/1</v>
          </cell>
        </row>
        <row r="30">
          <cell r="B30" t="str">
            <v>[입장] 새 물건 반응 ※5초 정지+통과. +2→−2→−1→0→+1 순으로 확인. 여러 반응이면 순서·시각 기록. 정지 신호와 목줄 유도 조건은 보14 확인.</v>
          </cell>
          <cell r="C30" t="str">
            <v>버티거나 뒷걸음·큰 우회로 물건에서 거리를 벌림</v>
          </cell>
          <cell r="D30" t="str">
            <v>위 행동 없이 목을 길게 빼 살피거나 머뭇거리지만 코 접촉 없음</v>
          </cell>
          <cell r="E30" t="str">
            <v>위 행동 없이 살피거나 코 접촉 후 정지 시간을 함께 보내고 보호자가 이동하면 따라감</v>
          </cell>
          <cell r="F30" t="str">
            <v>위 행동 없이 곧장 코 접촉하고 정지 시간 중 물건을 지나쳐 이동함</v>
          </cell>
          <cell r="G30" t="str">
            <v>물건을 향해 뛰거나 당겨 발·몸·입으로 강하게 접촉함</v>
          </cell>
          <cell r="H30" t="str">
            <v>환경 관찰</v>
          </cell>
          <cell r="I30" t="str">
            <v>양쪽·살핌</v>
          </cell>
        </row>
        <row r="31">
          <cell r="B31" t="str">
            <v>[입장] 개 모양 물체 곁 지나감  ※장면 1-3 · 낯선 개 반응이 아닙니다  ※사용하지 않습니다 (2026-09-22) — 개 모양 물체를 절차에서 뺐습니다</v>
          </cell>
          <cell r="H31" t="str">
            <v>— 사용 안 함</v>
          </cell>
          <cell r="I31" t="str">
            <v>미사용</v>
          </cell>
        </row>
        <row r="32">
          <cell r="B32" t="str">
            <v>[입장] 새 물건 — 첫 코 접촉  ※초 · 참고</v>
          </cell>
          <cell r="C32" t="str">
            <v>물건 1 m 앞에 들어선 순간부터 코가 처음 닿기까지 걸린 초를 적습니다. 멈춘 5초가 끝날 때까지 닿지 않으면 99.</v>
          </cell>
          <cell r="H32" t="str">
            <v>— 참고 (영역 집계 제외)</v>
          </cell>
          <cell r="I32" t="str">
            <v>참고</v>
          </cell>
        </row>
        <row r="33">
          <cell r="B33" t="str">
            <v>[입장] 개 모양 물체 — 첫 코 접촉  ※초 · 참고  ※사용하지 않습니다 (2026-09-22) — 개 모양 물체를 절차에서 뺐습니다</v>
          </cell>
          <cell r="H33" t="str">
            <v>— 사용 안 함</v>
          </cell>
          <cell r="I33" t="str">
            <v>미사용</v>
          </cell>
        </row>
        <row r="34">
          <cell r="B34" t="str">
            <v>[퇴장] 새 물건 반응 ※5초 정지+통과. +2→−2→−1→0→+1 순으로 확인. 여러 반응이면 순서·시각 기록. 정지 신호와 목줄 유도 조건은 보14 확인.</v>
          </cell>
          <cell r="C34" t="str">
            <v>버티거나 뒷걸음·큰 우회로 물건에서 거리를 벌림</v>
          </cell>
          <cell r="D34" t="str">
            <v>위 행동 없이 목을 길게 빼 살피거나 머뭇거리지만 코 접촉 없음</v>
          </cell>
          <cell r="E34" t="str">
            <v>위 행동 없이 살피거나 코 접촉 후 정지 시간을 함께 보내고 보호자가 이동하면 따라감</v>
          </cell>
          <cell r="F34" t="str">
            <v>위 행동 없이 곧장 코 접촉하고 정지 시간 중 물건을 지나쳐 이동함</v>
          </cell>
          <cell r="G34" t="str">
            <v>물건을 향해 뛰거나 당겨 발·몸·입으로 강하게 접촉함</v>
          </cell>
          <cell r="H34" t="str">
            <v>퇴장 — 환경 적응</v>
          </cell>
          <cell r="I34" t="str">
            <v>양쪽·살핌</v>
          </cell>
        </row>
        <row r="35">
          <cell r="B35" t="str">
            <v>[퇴장] 개 모양 물체 — 두 번째 곁 지나감  ※입장과 같게 5초 멈춤  ※사용하지 않습니다 (2026-09-22) — 개 모양 물체를 절차에서 뺐습니다</v>
          </cell>
          <cell r="H35" t="str">
            <v>— 사용 안 함</v>
          </cell>
          <cell r="I35" t="str">
            <v>미사용</v>
          </cell>
        </row>
        <row r="36">
          <cell r="B36" t="str">
            <v>[걷기] 정지 — 곁에 있던 국면 수  ※자동 계산 · 입력하지 마세요</v>
          </cell>
          <cell r="C36" t="str">
            <v>정지 3국면(39 · 41 · 43행) 가운데 거리 등급이 1 이하였던 국면 수(0~3). 보호자가 멈춘 동안 곁에 있던 국면입니다.</v>
          </cell>
          <cell r="H36" t="str">
            <v>— 참고 (영역 집계 제외)</v>
          </cell>
          <cell r="I36" t="str">
            <v>참고</v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</row>
        <row r="37">
          <cell r="B37" t="str">
            <v>[걷기] 0 시작 — 첫 걸음 직전  ※거리 등급 0~3</v>
          </cell>
          <cell r="C37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37" t="str">
            <v>— 참고 (영역 집계 제외)</v>
          </cell>
          <cell r="I37" t="str">
            <v>참고</v>
          </cell>
        </row>
        <row r="38">
          <cell r="B38" t="str">
            <v>[걷기] 1 이동 S→A (오른쪽 4걸음)  ※거리 등급 0~3</v>
          </cell>
          <cell r="C38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38" t="str">
            <v>— 참고 (영역 집계 제외)</v>
          </cell>
          <cell r="I38" t="str">
            <v>참고</v>
          </cell>
        </row>
        <row r="39">
          <cell r="B39" t="str">
            <v>[걷기] 2 정지 A — 다시 걷기 전까지  ※거리 등급 0~3</v>
          </cell>
          <cell r="C39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39" t="str">
            <v>— 참고 (영역 집계 제외)</v>
          </cell>
          <cell r="I39" t="str">
            <v>참고</v>
          </cell>
        </row>
        <row r="40">
          <cell r="B40" t="str">
            <v>[걷기] 3 이동 A→C (왼쪽 8걸음 · S 지나감)  ※거리 등급 0~3</v>
          </cell>
          <cell r="C40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0" t="str">
            <v>— 참고 (영역 집계 제외)</v>
          </cell>
          <cell r="I40" t="str">
            <v>참고</v>
          </cell>
        </row>
        <row r="41">
          <cell r="B41" t="str">
            <v>[걷기] 4 정지 C — 다시 걷기 전까지  ※거리 등급 0~3</v>
          </cell>
          <cell r="C41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1" t="str">
            <v>— 참고 (영역 집계 제외)</v>
          </cell>
          <cell r="I41" t="str">
            <v>참고</v>
          </cell>
        </row>
        <row r="42">
          <cell r="B42" t="str">
            <v>[걷기] 5 이동 C→S (4걸음)  ※거리 등급 0~3</v>
          </cell>
          <cell r="C42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2" t="str">
            <v>— 참고 (영역 집계 제외)</v>
          </cell>
          <cell r="I42" t="str">
            <v>참고</v>
          </cell>
        </row>
        <row r="43">
          <cell r="B43" t="str">
            <v>[걷기] 6 정지 S — 구간이 끝날 때까지  ※거리 등급 0~3</v>
          </cell>
          <cell r="C43" t="str">
    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    </cell>
          <cell r="H43" t="str">
            <v>— 참고 (영역 집계 제외)</v>
          </cell>
          <cell r="I43" t="str">
            <v>참고</v>
          </cell>
        </row>
        <row r="44">
          <cell r="B44" t="str">
            <v>[재회 접촉] 몸의 움직임 · 실제 접촉 시간 ※몸통 자세·자발적 움직임을 함께 봄. 엉덩이 흔들림이나 C자 자세가 없다는 이유만으로 긴장 판정하지 않음. 미접촉은 빈칸.</v>
          </cell>
          <cell r="C44" t="str">
            <v>몸통·다리가 굳고 자세 변화 없이 버티는 모습</v>
          </cell>
          <cell r="D44" t="str">
            <v>몸을 낮추거나 긴장된 자세로 움직임이 제한됨</v>
          </cell>
          <cell r="E44" t="str">
            <v>뻣뻣한 버팀 없이 자연스러운 자세를 유지·변경함; 엉덩이 흔들림은 필수 아님</v>
          </cell>
          <cell r="F44" t="str">
            <v>몸을 크게 흔들거나 발 구르기·회전 움직임이 주됨</v>
          </cell>
          <cell r="G44" t="str">
            <v>반복 뛰어오름·몸 부딪치기 때문에 접촉 유지가 어려움</v>
          </cell>
          <cell r="H44" t="str">
            <v>애착·관계 관찰</v>
          </cell>
          <cell r="I44" t="str">
            <v>양쪽·몸상태</v>
          </cell>
        </row>
        <row r="45">
          <cell r="B45" t="str">
            <v>[입장] 리드줄 상태 — 줄당김 체크  ※참고 · 방 문부터 의자까지 대체로 어느 쪽이었는지(물건 앞 5초 멈춤은 빼고) — 보6 · 보9 는 이 값과 따로, 당긴 장면 · 버틴 장면이 있었는지로 매깁니다</v>
          </cell>
          <cell r="C45" t="str">
            <v>뒤에서 버텨 줄이 뒤로 팽팽함</v>
          </cell>
          <cell r="D45" t="str">
            <v>뒤처져 따라옴 · 줄은 느슨함</v>
          </cell>
          <cell r="E45" t="str">
            <v>옆에서 잘 감 · 줄이 느슨함</v>
          </cell>
          <cell r="F45" t="str">
            <v>앞에서 팽팽했다 느슨했다를 반복</v>
          </cell>
          <cell r="G45" t="str">
            <v>앞에서 계속 당겨 줄이 팽팽함</v>
          </cell>
          <cell r="H45" t="str">
            <v>— 참고 (보6 · 보9 조건 확인)</v>
          </cell>
          <cell r="I45" t="str">
            <v>참고</v>
          </cell>
        </row>
        <row r="46">
          <cell r="B46" t="str">
            <v>[퇴장] 리드줄 상태 — 줄당김 체크  ※참고 · 목줄을 채운 뒤 문을 나갈 때까지 대체로 어느 쪽이었는지(물건 앞 5초 멈춤은 빼고) — 보6 · 보9 는 이 값과 따로, 당긴 장면 · 버틴 장면이 있었는지로 매깁니다</v>
          </cell>
          <cell r="C46" t="str">
            <v>뒤에서 버텨 줄이 뒤로 팽팽함</v>
          </cell>
          <cell r="D46" t="str">
            <v>뒤처져 따라옴 · 줄은 느슨함</v>
          </cell>
          <cell r="E46" t="str">
            <v>옆에서 잘 감 · 줄이 느슨함</v>
          </cell>
          <cell r="F46" t="str">
            <v>앞에서 팽팽했다 느슨했다를 반복</v>
          </cell>
          <cell r="G46" t="str">
            <v>앞에서 계속 당겨 줄이 팽팽함</v>
          </cell>
          <cell r="H46" t="str">
            <v>— 참고 (보6 · 보9 조건 확인)</v>
          </cell>
          <cell r="I46" t="str">
            <v>참고</v>
          </cell>
        </row>
        <row r="47">
          <cell r="B47" t="str">
            <v>[재회] 발성량 ※0~3 시간 비중 · 문 열림부터 30초 전체. 못 들으면 빈칸; 0은 들었으나 없음. 종류·시각·관찰 초는 메모. 꼬리로 소리 의미를 정하지 않음.</v>
          </cell>
          <cell r="C47" t="str">
            <v>0 — 발성 없음</v>
          </cell>
          <cell r="D47" t="str">
            <v>1 — 발성 누적 비중 0 초과~1/3 이하</v>
          </cell>
          <cell r="E47" t="str">
            <v>2 — 1/3 초과~2/3 이하</v>
          </cell>
          <cell r="F47" t="str">
            <v>3 — 2/3 초과</v>
          </cell>
          <cell r="H47" t="str">
            <v>별도 관찰 · 발성</v>
          </cell>
          <cell r="I47" t="str">
            <v>한쪽·발성량</v>
          </cell>
        </row>
        <row r="48">
          <cell r="B48" t="str">
            <v>[무시] 발성량 ※0~3 시간 비중 · 접촉 종료 뒤 20초. 못 들으면 빈칸; 0은 들었으나 없음. 종류·시각·관찰 초는 메모. 꼬리로 소리 의미를 정하지 않음.</v>
          </cell>
          <cell r="C48" t="str">
            <v>0 — 발성 없음</v>
          </cell>
          <cell r="D48" t="str">
            <v>1 — 발성 누적 비중 0 초과~1/3 이하</v>
          </cell>
          <cell r="E48" t="str">
            <v>2 — 1/3 초과~2/3 이하</v>
          </cell>
          <cell r="F48" t="str">
            <v>3 — 2/3 초과</v>
          </cell>
          <cell r="H48" t="str">
            <v>별도 관찰 · 발성</v>
          </cell>
          <cell r="I48" t="str">
            <v>한쪽·발성량</v>
          </cell>
        </row>
        <row r="49">
          <cell r="B49" t="str">
            <v>[낯선] 발성량 ※0~3 시간 비중 · 요원 등장~퇴장. 못 들으면 빈칸; 0은 들었으나 없음. 종류·시각·관찰 초는 메모. 꼬리로 소리 의미를 정하지 않음.</v>
          </cell>
          <cell r="C49" t="str">
            <v>0 — 발성 없음</v>
          </cell>
          <cell r="D49" t="str">
            <v>1 — 발성 누적 비중 0 초과~1/3 이하</v>
          </cell>
          <cell r="E49" t="str">
            <v>2 — 1/3 초과~2/3 이하</v>
          </cell>
          <cell r="F49" t="str">
            <v>3 — 2/3 초과</v>
          </cell>
          <cell r="H49" t="str">
            <v>별도 관찰 · 발성</v>
          </cell>
          <cell r="I49" t="str">
            <v>한쪽·발성량</v>
          </cell>
        </row>
        <row r="50">
          <cell r="B50" t="str">
            <v>[퇴장] 발성량 ※0~3 시간 비중 · 퇴장 전체. 못 들으면 빈칸; 0은 들었으나 없음. 종류·시각·관찰 초는 메모. 꼬리로 소리 의미를 정하지 않음.</v>
          </cell>
          <cell r="C50" t="str">
            <v>0 — 발성 없음</v>
          </cell>
          <cell r="D50" t="str">
            <v>1 — 발성 누적 비중 0 초과~1/3 이하</v>
          </cell>
          <cell r="E50" t="str">
            <v>2 — 1/3 초과~2/3 이하</v>
          </cell>
          <cell r="F50" t="str">
            <v>3 — 2/3 초과</v>
          </cell>
          <cell r="H50" t="str">
            <v>별도 관찰 · 발성</v>
          </cell>
          <cell r="I50" t="str">
            <v>한쪽·발성량</v>
          </cell>
        </row>
        <row r="51">
          <cell r="B51" t="str">
            <v>[낯선 접촉] 몸의 중심 ※정지선에서 자발적으로 손 닿는 곳에 있고 회피하지 않을 때 최대 3초. 안 왔거나 접촉 전 중단이면 빈칸·개53 경로 기록. 보호자 접촉과 반대 부호·다른 조건임.</v>
          </cell>
          <cell r="C51" t="str">
            <v>뒤로 물러남 · 옆으로 피함 · 등을 돌림</v>
          </cell>
          <cell r="D51" t="str">
            <v>선 자리를 지킴 · 몸을 앞으로 옮기지 않음</v>
          </cell>
          <cell r="E51" t="str">
            <v>앞으로 살짝 기울여 손을 받음</v>
          </cell>
          <cell r="F51" t="str">
            <v>몸이 닿을 만큼 앞으로 붙임</v>
          </cell>
          <cell r="G51" t="str">
            <v>몸을 얹거나 올라탐 · 뛰어오름 · 떨어지지 않음</v>
          </cell>
          <cell r="H51" t="str">
            <v>사회성 — 사람</v>
          </cell>
          <cell r="I51" t="str">
            <v>양쪽·인사</v>
          </cell>
        </row>
        <row r="52">
          <cell r="B52" t="str">
            <v>[낯선 접촉] 몸의 움직임 · 최대 3초 ※몸통 자세·자발적 움직임을 함께 봄. 엉덩이 흔들림이나 C자 자세가 없다는 이유만으로 긴장 판정하지 않음. 미접촉은 빈칸.</v>
          </cell>
          <cell r="C52" t="str">
            <v>몸통·다리가 굳고 자세 변화 없이 버티는 모습</v>
          </cell>
          <cell r="D52" t="str">
            <v>몸을 낮추거나 긴장된 자세로 움직임이 제한됨</v>
          </cell>
          <cell r="E52" t="str">
            <v>뻣뻣한 버팀 없이 자연스러운 자세를 유지·변경함; 엉덩이 흔들림은 필수 아님</v>
          </cell>
          <cell r="F52" t="str">
            <v>몸을 크게 흔들거나 발 구르기·회전 움직임이 주됨</v>
          </cell>
          <cell r="G52" t="str">
            <v>반복 뛰어오름·몸 부딪치기 때문에 접촉 유지가 어려움</v>
          </cell>
          <cell r="H52" t="str">
            <v>사회성 — 사람</v>
          </cell>
          <cell r="I52" t="str">
            <v>양쪽·몸상태</v>
          </cell>
        </row>
        <row r="53">
          <cell r="B53" t="str">
            <v>[낯선] 접촉 경로 ※0~3 범주. 최초 접근 경로와 실제 접촉 성립을 기록. 요원은 20초 전에는 만지지 않음. 미접촉은 0이 아님.</v>
          </cell>
          <cell r="C53" t="str">
            <v>0 — 부름 전 스스로 접근했고 정해진 접촉 시간에 접촉 성립</v>
          </cell>
          <cell r="D53" t="str">
            <v>1 — 부름 후 접근하여 정해진 접촉 시간에 접촉 성립</v>
          </cell>
          <cell r="E53" t="str">
            <v>2 — 접촉 시간까지 손 닿는 곳에 오지 않아 미접촉</v>
          </cell>
          <cell r="F53" t="str">
            <v>3 — 회피·굳음·으르렁 등으로 접촉 전/중 복지 중단</v>
          </cell>
          <cell r="H53" t="str">
            <v>— 참고 (영역 집계 제외)</v>
          </cell>
          <cell r="I53" t="str">
            <v>참고</v>
          </cell>
        </row>
        <row r="54">
          <cell r="B54" t="str">
            <v>[낯선] 퇴장 시 따라가기 ※요원이 정지선에서 돌아 첫걸음을 뗀 순간~안전문 통과. 추가 부름·손짓 없음. 회피 후 조기 중단이면 정상 시행과 구분해 비우고 메모.</v>
          </cell>
          <cell r="C54" t="str">
            <v>요원 퇴장 시작 뒤 반대쪽으로 이동하거나 뒤로 피함</v>
          </cell>
          <cell r="D54" t="str">
            <v>요원 방향으로 움직이지 않음</v>
          </cell>
          <cell r="E54" t="str">
            <v>요원 방향으로 1~2걸음 움직인 뒤 멈추거나 다른 행동</v>
          </cell>
          <cell r="F54" t="str">
            <v>3걸음 이상 요원 방향으로 이동, 아래 +2 행동 없음</v>
          </cell>
          <cell r="G54" t="str">
            <v>따라가며 앞을 가로막거나 뛰어오름·앞발 올림</v>
          </cell>
          <cell r="H54" t="str">
            <v>사회성 — 사람</v>
          </cell>
          <cell r="I54" t="str">
            <v>양쪽·인사</v>
          </cell>
        </row>
        <row r="55">
          <cell r="B55" t="str">
            <v>[낯선] 정지선 접근 반응 ※이름 부르기 전, 안전문 안으로 들어와 정지선까지 이동하는 동안. 정지선은 상한이며 회피·굳음·으르렁이면 그 전에 중단.</v>
          </cell>
          <cell r="C55" t="str">
            <v>뒤로 물러나거나 달아남 · 몸이 굳어 움직이지 못함</v>
          </cell>
          <cell r="D55" t="str">
            <v>자리에서 몸을 낮추거나 고개를 돌림</v>
          </cell>
          <cell r="E55" t="str">
            <v>선 자리에서 맞이하거나 한두 걸음 다가감</v>
          </cell>
          <cell r="F55" t="str">
            <v>곧장 마주 나아감</v>
          </cell>
          <cell r="G55" t="str">
            <v>뛰어오르거나 앞발을 올림</v>
          </cell>
          <cell r="H55" t="str">
            <v>사회성 — 사람</v>
          </cell>
          <cell r="I55" t="str">
            <v>양쪽·인사</v>
          </cell>
        </row>
        <row r="56">
          <cell r="B56" t="str">
            <v>[낯선] 보호자 확인 ※관찰된 시선 방향. 사회적 참조 기능을 시선만으로 확정하지 않음. 보호자 반응 시각과 연결해 검토.</v>
          </cell>
          <cell r="C56" t="str">
            <v>요원을 거의 보지 않고 보호자만 쳐다봄</v>
          </cell>
          <cell r="D56" t="str">
            <v>자주 보호자를 쳐다봄</v>
          </cell>
          <cell r="E56" t="str">
            <v>요원을 보다가 몇 번 보호자를 확인하고 다시 요원을 봄</v>
          </cell>
          <cell r="F56" t="str">
            <v>한두 번 힐끗 봄</v>
          </cell>
          <cell r="G56" t="str">
            <v>한 번도 쳐다보지 않음</v>
          </cell>
          <cell r="H56" t="str">
            <v>— 참고 (영역 집계 제외)</v>
          </cell>
          <cell r="I56" t="str">
            <v>참고</v>
          </cell>
        </row>
        <row r="57">
          <cell r="B57" t="str">
            <v>[낯선] 보호자 왕복 경로 ※0~3 범주. 갔다가 다시 나온 사실만 기록. 안전기지 효과의 직접 검증·애착 유형 판정에 단독 사용하지 않음.</v>
          </cell>
          <cell r="C57" t="str">
            <v>0 — 보호자에게 가지 않았다</v>
          </cell>
          <cell r="D57" t="str">
            <v>1 — 보호자에게 갔고 그대로 머물렀다</v>
          </cell>
          <cell r="E57" t="str">
            <v>2 — 보호자에게 갔다가 다시 나와 요원 쪽을 살폈다</v>
          </cell>
          <cell r="F57" t="str">
            <v>3 — 갔다 나오기를 두 번 이상 되풀이했다</v>
          </cell>
          <cell r="H57" t="str">
            <v>— 참고 (영역 집계 제외)</v>
          </cell>
          <cell r="I57" t="str">
            <v>참고</v>
          </cell>
        </row>
        <row r="58">
          <cell r="B58" t="str">
            <v>[혼자] 몸 상태 ※실제 분리 구간 전체의 주된 상태. 개8·18·23과 같은 눈금. 복지 중단·구간 길이는 메모.</v>
          </cell>
          <cell r="C58" t="str">
            <v>관찰 가능 시간의 절반 초과 동안 움직임이 멎고 몸이 뻣뻣함</v>
          </cell>
          <cell r="D58" t="str">
            <v>절반 초과 동안 낮춘 자세·조심스러운 움직임, 지속 굳음은 없음</v>
          </cell>
          <cell r="E58" t="str">
            <v>어느 극단도 절반을 넘지 않음; 주로 자연스러운 자세·이동. 반대 반응 혼재는 메모</v>
          </cell>
          <cell r="F58" t="str">
            <v>절반 초과 동안 같은 경로를 반복 이동하거나 자세를 자주 바꿈; 지속 뛰기 수준은 아님</v>
          </cell>
          <cell r="G58" t="str">
            <v>절반 초과 동안 뛰기·몸 부딪치기·급한 반복 이동이 이어짐</v>
          </cell>
          <cell r="H58" t="str">
            <v>몸 상태 변화용</v>
          </cell>
          <cell r="I58" t="str">
            <v>양쪽·몸상태</v>
          </cell>
        </row>
        <row r="59">
          <cell r="B59" t="str">
            <v>실제 시각·기회·가림·복지 중단 메모 ※문 열림/착석/접촉 시작·끝/무시/걷기/요원 진입·부름·접촉·퇴장 시각, 관찰 가능한 초, 개21 사건, 접촉 미성립을 적습니다.</v>
          </cell>
          <cell r="C59" t="str">
            <v>각 개체 J~AC 칸에 자유롭게 기록합니다.</v>
          </cell>
          <cell r="H59" t="str">
            <v>기록</v>
          </cell>
          <cell r="I59" t="str">
            <v>기록</v>
          </cell>
        </row>
        <row r="60">
          <cell r="B60" t="str">
            <v>개9 → 개10 조합 + 개58 · 개11 · 자동</v>
          </cell>
          <cell r="C60" t="str">
            <v>초기 10초(개9)와 이후 50초(개10)의 실제 행동을 순서대로 연결합니다. 25개 조합 문장은 성향문장 65~89행에서 관리합니다. 몸 상태(개58)와 발성(개11)은 분리 구간 전체의 기록입니다. 서로 다른 시간창의 값으로 동시 행동이나 감정의 원인을 추정하지 않습니다.</v>
          </cell>
          <cell r="J60" t="str">
            <v>미채점</v>
          </cell>
          <cell r="K60" t="str">
            <v>미채점</v>
          </cell>
          <cell r="L60" t="str">
            <v>미채점</v>
          </cell>
          <cell r="M60" t="str">
            <v>미채점</v>
          </cell>
          <cell r="N60" t="str">
            <v>미채점</v>
          </cell>
          <cell r="O60" t="str">
            <v>미채점</v>
          </cell>
          <cell r="P60" t="str">
            <v>미채점</v>
          </cell>
          <cell r="Q60" t="str">
            <v>미채점</v>
          </cell>
          <cell r="R60" t="str">
            <v>미채점</v>
          </cell>
          <cell r="S60" t="str">
            <v>미채점</v>
          </cell>
          <cell r="T60" t="str">
            <v>미채점</v>
          </cell>
          <cell r="U60" t="str">
            <v>미채점</v>
          </cell>
          <cell r="V60" t="str">
            <v>미채점</v>
          </cell>
          <cell r="W60" t="str">
            <v>미채점</v>
          </cell>
          <cell r="X60" t="str">
            <v>미채점</v>
          </cell>
          <cell r="Y60" t="str">
            <v>미채점</v>
          </cell>
          <cell r="Z60" t="str">
            <v>미채점</v>
          </cell>
          <cell r="AA60" t="str">
            <v>미채점</v>
          </cell>
          <cell r="AB60" t="str">
            <v>미채점</v>
          </cell>
          <cell r="AC60" t="str">
            <v>미채점</v>
          </cell>
        </row>
      </sheetData>
      <sheetData sheetId="3">
        <row r="5">
          <cell r="B5" t="str">
            <v>앞에서 줄을 당길 때의 요청 표현. 실제 발화로 −1/0/+1 분류. 음량·어조·반복은 별도 메모. 발화 없음·요청 없음·판독 불가·기회 없음은 빈칸+사유. 여러 사건의 건수·시각은 개59에 기록.</v>
          </cell>
          <cell r="C5" t="str">
            <v>−2 미사용</v>
          </cell>
          <cell r="D5" t="str">
            <v>−1 부탁·제안: 질문·청유·부탁으로 행동 요청. 예: “와 줄래?”, “같이 가자”. 같은 사건에서 직접 지시 없음.</v>
          </cell>
          <cell r="E5" t="str">
            <v>0 혼합: 같은 당김 사건에서 부탁·제안과 직접 지시가 모두 확인됨. 순서 기록. 미발화·모호함을 0으로 넣지 않음.</v>
          </cell>
          <cell r="F5" t="str">
            <v>+1 직접 지시: 할 행동·멈출 행동을 직접 말함. 예: “기다려”, “이리 와”, “당기지 마”. 같은 사건에서 부탁·제안 없음.</v>
          </cell>
          <cell r="G5" t="str">
            <v>+2 미사용</v>
          </cell>
          <cell r="H5" t="str">
            <v>보호자 상호작용 · 보조 근거</v>
          </cell>
          <cell r="I5" t="str">
            <v>범주 · 요청 표현</v>
          </cell>
        </row>
        <row r="6">
          <cell r="B6" t="str">
            <v>앞에서 당기는 개에 대한 줄 대처 ※당김이 발생한 사건. 줄 팽팽함의 원인을 보호자 힘으로 추정하지 않음. 복수 사건은 개59 또는 보25~27에 시각·상반 반응 기록.</v>
          </cell>
          <cell r="C6" t="str">
            <v>개가 가는 쪽으로 보호자가 이동해 줄 길이·거리를 맞춤</v>
          </cell>
          <cell r="D6" t="str">
            <v>현 위치에서 멈추어 기다림; 보호자가 줄을 당겨 이동시키지 않음</v>
          </cell>
          <cell r="E6" t="str">
            <v>멈추어 부르거나 유도한 뒤 개가 돌아오면 이동</v>
          </cell>
          <cell r="F6" t="str">
            <v>줄을 짧게 당긴 뒤 즉시 풀어 줌</v>
          </cell>
          <cell r="G6" t="str">
            <v>당긴 줄을 유지하거나 반복 당겨 개 몸을 이동시킴</v>
          </cell>
          <cell r="H6" t="str">
            <v>보호자 상호작용 · 개별</v>
          </cell>
          <cell r="I6" t="str">
            <v>양쪽 · 개입 정도</v>
          </cell>
        </row>
        <row r="9">
          <cell r="B9" t="str">
            <v>뒤처지거나 버티는 개에 대한 줄 대처 ※버팀 사건이 있을 때. 안아 옮김은 이 축과 별도 메모. 복수 반응은 사건별 시각을 남기고 주된 반응을 선택.</v>
          </cell>
          <cell r="C9" t="str">
            <v>개 쪽으로 되돌아가 줄을 느슨하게 함</v>
          </cell>
          <cell r="D9" t="str">
            <v>현 위치에서 줄을 느슨하게 두고 기다림</v>
          </cell>
          <cell r="E9" t="str">
            <v>줄이 느슨한 상태에서 말·허용된 유도 수단으로 이동을 요청</v>
          </cell>
          <cell r="F9" t="str">
            <v>줄을 짧게 당겼다 풀어 이동을 요청</v>
          </cell>
          <cell r="G9" t="str">
            <v>줄을 당긴 상태로 유지해 개 몸을 이동시킴</v>
          </cell>
          <cell r="H9" t="str">
            <v>보호자 상호작용 · 개별</v>
          </cell>
          <cell r="I9" t="str">
            <v>양쪽 · 개입 정도</v>
          </cell>
        </row>
        <row r="10">
          <cell r="B10" t="str">
            <v>[분리] 출입문으로 나가기 전 상호작용 · G→C 순으로 먼저 해당하는 범주 선택. 말·접촉 동시 또는 연속 상호작용은 1회, 멈췄다가 다시 시작하면 새 1회. 횟수·시각은 개59 메모. 숫자는 행동 종류 코드임.</v>
          </cell>
          <cell r="C10" t="str">
            <v>-2 (범주): 개를 바라보거나 말·접촉을 하지 않고 나감</v>
          </cell>
          <cell r="D10" t="str">
            <v>-1 (범주): 개를 바라보지만 말·접촉 없이 나감</v>
          </cell>
          <cell r="E10" t="str">
            <v>0 (범주): 말 또는 접촉을 1회 하고 나감</v>
          </cell>
          <cell r="F10" t="str">
            <v>+1 (범주): 말 또는 접촉을 2회 하고 나감</v>
          </cell>
          <cell r="G10" t="str">
            <v>+2 (범주): 말 또는 접촉을 3회 이상 하거나, 이동 중 멈추거나 되돌아와 다시 상호작용함</v>
          </cell>
          <cell r="H10" t="str">
            <v>보호자 유형 판정 근거
(점수 합계 제외)</v>
          </cell>
          <cell r="I10" t="str">
            <v>범주 · 유형 근거</v>
          </cell>
        </row>
        <row r="11">
          <cell r="B11" t="str">
            <v>[재회] 신체접촉 방식 · 후반 15초. G→C 순으로 먼저 해당하는 범주 선택. 칭찬 톤·횟수, 밀어 내려보냄, 접촉이 없었던 이유는 개59 메모. 보22 회피 후 대응과 함께 유형 판단에 사용. 숫자는 행동 종류 코드임.</v>
          </cell>
          <cell r="C11" t="str">
            <v>-2 (범주): 손으로 만지거나 몸을 밀착하는 인사 접촉이 관찰되지 않음</v>
          </cell>
          <cell r="D11" t="str">
            <v>-1 (범주): 상체를 크게 기울이지 않고 손으로 만짐</v>
          </cell>
          <cell r="E11" t="str">
            <v>0 (범주): 개 쪽으로 상체를 기울여 가까이에서 만짐</v>
          </cell>
          <cell r="F11" t="str">
            <v>+1 (범주): 개가 먼저 몸을 기대거나 앞발을 올리는 등 밀착을 시도하면 받아주거나 받쳐 줌</v>
          </cell>
          <cell r="G11" t="str">
            <v>+2 (범주): 개의 밀착 시도 전에 보호자가 먼저 안아 올리거나 끌어안아 몸·얼굴을 밀착함</v>
          </cell>
          <cell r="H11" t="str">
            <v>보호자 유형 판정 근거
(점수 합계 제외)</v>
          </cell>
          <cell r="I11" t="str">
            <v>범주 · 유형 근거</v>
          </cell>
        </row>
        <row r="12">
          <cell r="B12" t="str">
            <v>[무시] 지시 준수  ※참고 · 조건 준수 확인 · 이 칸만 1~3 입니다</v>
          </cell>
          <cell r="C12" t="str">
            <v>20초 동안 말·시선·접촉 없음 — 유효</v>
          </cell>
          <cell r="D12" t="str">
            <v>한 번 보거나 말함 — 유효(주의)</v>
          </cell>
          <cell r="E12" t="str">
            <v>두 번 이상 · 만짐 — 이 시행의 무시 항목 무효</v>
          </cell>
          <cell r="H12" t="str">
            <v>— 참고 (영역 집계 제외)</v>
          </cell>
          <cell r="I12" t="str">
            <v>참고</v>
          </cell>
        </row>
        <row r="13">
          <cell r="B13" t="str">
            <v>[걷기] 시행 유효성  ※참고 · 조건 준수 확인 · 이 칸만 1~3 입니다</v>
          </cell>
          <cell r="C13" t="str">
            <v>걷기 구간(약 30초) 동안 말·손짓 없음 — 유효</v>
          </cell>
          <cell r="D13" t="str">
            <v>한 번 부르거나 손짓함 — 유효(주의)</v>
          </cell>
          <cell r="E13" t="str">
            <v>두 번 이상 — 이 시행의 걷기 항목과 동조율 무효</v>
          </cell>
          <cell r="H13" t="str">
            <v>— 참고 (영역 집계 제외)</v>
          </cell>
          <cell r="I13" t="str">
            <v>참고</v>
          </cell>
        </row>
        <row r="14">
          <cell r="B14" t="str">
            <v>[물건] 조건 준수 ※입장·퇴장 각 5초. 복지 중단과 단순 지시 이탈은 메모로 구분. 코드3이면 물건 비교 보류. 제외된 개 모양 물체 항목은 채점하지 않음.</v>
          </cell>
          <cell r="C14" t="str">
            <v>입장·퇴장 모두 물건 앞에서 5초 · 말·손짓·끌기 없이 멈춤 — 유효</v>
          </cell>
          <cell r="D14" t="str">
            <v>한 번 말하거나 짧게 멈춤 — 유효(주의)</v>
          </cell>
          <cell r="E14" t="str">
            <v>멈춤 미실시·유도/끌기 등 조건 이탈 — 개30·32·34 비교 보류</v>
          </cell>
          <cell r="H14" t="str">
            <v>— 참고 (영역 집계 제외)</v>
          </cell>
          <cell r="I14" t="str">
            <v>참고</v>
          </cell>
        </row>
        <row r="16">
          <cell r="B16" t="str">
            <v>[낯선] 보호자 — 개에게 말을 걸거나 이름을 불렀다  ※0 또는 1 · 발생 기록 · 해당하면 1</v>
          </cell>
          <cell r="C16" t="str">
            <v>0 — 하지 않았다</v>
          </cell>
          <cell r="D16" t="str">
            <v>1 — 했다</v>
          </cell>
          <cell r="H16" t="str">
            <v>발생 기록 · 보23·24의 근거</v>
          </cell>
          <cell r="I16" t="str">
            <v>참고</v>
          </cell>
        </row>
        <row r="17">
          <cell r="B17" t="str">
            <v>[낯선] 보호자 — 개를 붙잡거나 안아 올렸다  ※0 또는 1 · 발생 기록 · 해당하면 1</v>
          </cell>
          <cell r="C17" t="str">
            <v>0 — 하지 않았다</v>
          </cell>
          <cell r="D17" t="str">
            <v>1 — 했다</v>
          </cell>
          <cell r="H17" t="str">
            <v>발생 기록 · 보23·24의 근거</v>
          </cell>
          <cell r="I17" t="str">
            <v>참고</v>
          </cell>
        </row>
        <row r="18">
          <cell r="B18" t="str">
            <v>[낯선] 보호자 — 일어서거나 자리를 옮겼다 (개 앞으로 몸을 옮긴 것 포함)  ※0 또는 1 · 발생 기록 · 해당하면 1</v>
          </cell>
          <cell r="C18" t="str">
            <v>0 — 하지 않았다</v>
          </cell>
          <cell r="D18" t="str">
            <v>1 — 했다</v>
          </cell>
          <cell r="H18" t="str">
            <v>발생 기록 · 착석 상태 확인</v>
          </cell>
          <cell r="I18" t="str">
            <v>조건 기록</v>
          </cell>
        </row>
        <row r="22">
          <cell r="B22" t="str">
            <v>[재회] 회피 뒤 접촉 변화 ※후반 15초 중 개가 고개·몸을 돌리거나 물러난 첫 명확한 사건 뒤 대응. 보38=2/3일 때만. 접근만 있었다면 채점하지 않음.</v>
          </cell>
          <cell r="C22" t="str">
            <v>손을 완전히 거두고 상체도 뒤로 옮겨 거리를 넓힘</v>
          </cell>
          <cell r="D22" t="str">
            <v>손 움직임·접촉을 멈추거나 손을 떼되 상체 위치 유지</v>
          </cell>
          <cell r="E22" t="str">
            <v>손을 기존 위치에 둔 채 접촉 방식을 바꾸지 않음</v>
          </cell>
          <cell r="F22" t="str">
            <v>물러나는 개를 따라 손을 뻗어 접촉을 이어감</v>
          </cell>
          <cell r="G22" t="str">
            <v>개 몸을 붙잡거나 안아 움직임을 제한하며 접촉 지속</v>
          </cell>
          <cell r="H22" t="str">
            <v>상호작용 · 시범 핵심</v>
          </cell>
          <cell r="I22" t="str">
            <v>양쪽 · 개입 정도</v>
          </cell>
        </row>
        <row r="23">
          <cell r="B23" t="str">
            <v>[낯선] 앉은 상태의 지시 방식. 말·손짓으로 행동을 요청한 정도. G→C 순으로 선택. 반복은 같은 행동을 다시 요청한 횟수. 전 구간 관찰 시만 무지시 선택. 직원 지시·안전 조치는 별도 메모.</v>
          </cell>
          <cell r="C23" t="str">
            <v>−2: 개에게 행동을 요청하는 말·손짓 없이 개의 행동을 지켜봄</v>
          </cell>
          <cell r="D23" t="str">
            <v>−1: 말·손짓으로 한 번 요청한 뒤 같은 요청을 반복하지 않음</v>
          </cell>
          <cell r="E23" t="str">
            <v>0: 같은 행동을 두 번 요청함. 목소리·손짓의 강도를 높이지 않음</v>
          </cell>
          <cell r="F23" t="str">
            <v>+1: 같은 행동을 세 번 이상 요청함. 목소리·손짓의 강도를 높이지 않음</v>
          </cell>
          <cell r="G23" t="str">
            <v>+2: 요청을 반복하면서 목소리를 높이거나 손짓을 더 크게·급하게 함</v>
          </cell>
          <cell r="H23" t="str">
            <v>보호자 유형 판정 근거
(점수 합계 제외)</v>
          </cell>
          <cell r="I23" t="str">
            <v>양쪽 · 지시 정도</v>
          </cell>
        </row>
        <row r="24">
          <cell r="B24" t="str">
            <v>[낯선] 찾아온 개에 대한 접촉 대응 v0.2. 보40=1/2일 때. 개가 먼저 시작한 접촉·움직임을 따르는지, 이후 접근·회피 신호에 따라 대응을 바꾸는지 구분. 해당 근거가 없으면 빈칸+사유.</v>
          </cell>
          <cell r="C24" t="str">
            <v>-2 (범주): 다가온 개를 밀어내거나 몸을 옮겨 접촉을 피함</v>
          </cell>
          <cell r="D24" t="str">
            <v>−1: 개가 먼저 기대거나 앞발을 올리는 접촉을 받아 주고, 개가 움직이는 대로 몸·손 위치를 맞춤. 보호자가 새 접촉 형태·방향을 요구하지 않음.</v>
          </cell>
          <cell r="E24" t="str">
            <v>0: 개의 추가 접근·회피·멈춤을 확인한 뒤 접촉을 시작·멈추거나 방법을 바꿈. 변화 전후의 개 신호와 대응을 보27에 기록.</v>
          </cell>
          <cell r="F24" t="str">
            <v>+1 (범주): 개가 머무는 동안 보호자가 반복해서 쓰다듬거나 접촉 유지</v>
          </cell>
          <cell r="G24" t="str">
            <v>+2 (범주): 개를 붙잡거나 안아 올려 보호자 곁에 머물게 함</v>
          </cell>
          <cell r="H24" t="str">
            <v>보호자 유형 판정 근거
(점수 합계 제외)</v>
          </cell>
          <cell r="I24" t="str">
            <v>범주 · 유형 근거</v>
          </cell>
        </row>
        <row r="25">
          <cell r="B25" t="str">
            <v>보22 사유・시각</v>
          </cell>
          <cell r="C25" t="str">
            <v>재회 회피·접근 사건 시각 / 개 신호 → 보호자 대응. 보39=1·2를 가른 근거와 보22와 같은 사건인지 기록. 접근 기회·판독 불가 사유.</v>
          </cell>
        </row>
        <row r="26">
          <cell r="B26" t="str">
            <v>보23 사유・시각</v>
          </cell>
          <cell r="C26" t="str">
            <v>실제 말·손짓, 요청 횟수·시각, 직전 개 행동과 반응 후 지시를 멈추거나 바꿨는지 기록. 지시가 필요할 상황이 없었는지도 구분. 관찰 불가면 보23 빈칸.</v>
          </cell>
        </row>
        <row r="27">
          <cell r="B27" t="str">
            <v>보24 사유・시각</v>
          </cell>
          <cell r="C27" t="str">
            <v>첫 접근 시각 / 개가 요구한 접촉 / 보호자가 그대로 맞춘 행동 / 이후 신호에 따라 바꾼 행동. 단순 접촉 수용을 조율로 간주하지 않음. −1과 0이 함께 있으면 신호와 대응 변화가 확인된 0을 우선.</v>
          </cell>
        </row>
        <row r="38">
          <cell r="B38" t="str">
            <v>보22 관찰 기회 ※0~3. 개가 보인 사건, 보호자의 좋고 나쁨 아님.</v>
          </cell>
          <cell r="C38" t="str">
            <v>0 — 접근·회피 모두 없음</v>
          </cell>
          <cell r="D38" t="str">
            <v>1 — 접근만 있었음</v>
          </cell>
          <cell r="E38" t="str">
            <v>2 — 회피만 있었음</v>
          </cell>
          <cell r="F38" t="str">
            <v>3 — 접근·회피 모두 있었음</v>
          </cell>
          <cell r="H38" t="str">
            <v>조건 기록</v>
          </cell>
          <cell r="I38" t="str">
            <v>기회</v>
          </cell>
        </row>
        <row r="39">
          <cell r="B39" t="str">
            <v>[재회] 자발적 접근 뒤 접촉 대응 v0.2. 보38=1/3일 때. 개가 먼저 시작한 접촉에 맞춤과 이후 신호에 따른 대응 변화를 구분. 보22와 같은 사건이면 같은 재회 장면 안에서 평균.</v>
          </cell>
          <cell r="C39" t="str">
            <v>0 — 접근을 막거나 피함</v>
          </cell>
          <cell r="D39" t="str">
            <v>1 — 개가 기대거나 올라오는 접촉을 받아 주고, 개 움직임에 몸·손 위치를 맞춤. 보호자가 다른 접촉 형태·방향을 요구하지 않음</v>
          </cell>
          <cell r="E39" t="str">
            <v>2 — 개의 추가 접근·회피·멈춤 신호를 확인한 뒤 접촉을 시작·멈추거나 방법을 바꿈. 신호와 대응 변화 기록</v>
          </cell>
          <cell r="F39" t="str">
            <v>3 — 붙잡거나 안아 올림</v>
          </cell>
          <cell r="H39" t="str">
            <v>보호자 유형 배점 근거</v>
          </cell>
          <cell r="I39" t="str">
            <v>범주</v>
          </cell>
        </row>
        <row r="40">
          <cell r="B40" t="str">
            <v>보24 관찰 기회 ※0~3. 찾아온 뒤 개의 반응을 먼저 기록.</v>
          </cell>
          <cell r="C40" t="str">
            <v>0 — 보호자에게 찾아오지 않음</v>
          </cell>
          <cell r="D40" t="str">
            <v>1 — 찾아와 머물며 접촉 회피 없음</v>
          </cell>
          <cell r="E40" t="str">
            <v>2 — 찾아온 뒤 접촉 중 회피가 있었음</v>
          </cell>
          <cell r="F40" t="str">
            <v>3 — 개의 반응 판독 불가</v>
          </cell>
          <cell r="H40" t="str">
            <v>조건 기록</v>
          </cell>
          <cell r="I40" t="str">
            <v>기회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showGridLines="0" tabSelected="1" workbookViewId="0">
      <pane ySplit="2" topLeftCell="A3" activePane="bottomLeft" state="frozen"/>
      <selection pane="bottomLeft" sqref="A1:G1"/>
    </sheetView>
  </sheetViews>
  <sheetFormatPr defaultRowHeight="14.25"/>
  <cols>
    <col min="1" max="1" width="12" customWidth="1"/>
    <col min="2" max="2" width="26" customWidth="1"/>
    <col min="3" max="3" width="12" customWidth="1"/>
    <col min="4" max="4" width="24" customWidth="1"/>
    <col min="5" max="5" width="12" customWidth="1"/>
    <col min="6" max="6" width="26" customWidth="1"/>
    <col min="7" max="7" width="12" customWidth="1"/>
  </cols>
  <sheetData>
    <row r="1" spans="1:7" ht="32.1" customHeight="1">
      <c r="A1" s="17" t="s">
        <v>157</v>
      </c>
      <c r="B1" s="17"/>
      <c r="C1" s="17"/>
      <c r="D1" s="17"/>
      <c r="E1" s="17"/>
      <c r="F1" s="17"/>
      <c r="G1" s="17"/>
    </row>
    <row r="2" spans="1:7" ht="24" customHeight="1">
      <c r="A2" s="1"/>
      <c r="B2" s="1"/>
      <c r="C2" s="1"/>
      <c r="D2" s="1"/>
      <c r="E2" s="1"/>
      <c r="F2" s="1"/>
      <c r="G2" s="1"/>
    </row>
    <row r="3" spans="1:7" ht="44.1" customHeight="1">
      <c r="A3" s="15" t="s">
        <v>158</v>
      </c>
      <c r="B3" s="15"/>
      <c r="C3" s="15"/>
      <c r="D3" s="15"/>
      <c r="E3" s="15"/>
      <c r="F3" s="15"/>
      <c r="G3" s="15"/>
    </row>
    <row r="4" spans="1:7" ht="44.1" customHeight="1">
      <c r="A4" s="15" t="s">
        <v>159</v>
      </c>
      <c r="B4" s="15"/>
      <c r="C4" s="15"/>
      <c r="D4" s="15"/>
      <c r="E4" s="15"/>
      <c r="F4" s="15"/>
      <c r="G4" s="15"/>
    </row>
    <row r="5" spans="1:7" ht="24" customHeight="1">
      <c r="A5" s="1"/>
      <c r="B5" s="1"/>
      <c r="C5" s="1"/>
      <c r="D5" s="1"/>
      <c r="E5" s="1"/>
      <c r="F5" s="1"/>
      <c r="G5" s="1"/>
    </row>
    <row r="6" spans="1:7" ht="44.1" customHeight="1">
      <c r="A6" s="15" t="s">
        <v>160</v>
      </c>
      <c r="B6" s="15"/>
      <c r="C6" s="15"/>
      <c r="D6" s="15"/>
      <c r="E6" s="15"/>
      <c r="F6" s="15"/>
      <c r="G6" s="15"/>
    </row>
    <row r="7" spans="1:7" ht="44.1" customHeight="1">
      <c r="A7" s="15" t="s">
        <v>161</v>
      </c>
      <c r="B7" s="15"/>
      <c r="C7" s="15"/>
      <c r="D7" s="15"/>
      <c r="E7" s="15"/>
      <c r="F7" s="15"/>
      <c r="G7" s="15"/>
    </row>
    <row r="8" spans="1:7" ht="44.1" customHeight="1">
      <c r="A8" s="15" t="s">
        <v>162</v>
      </c>
      <c r="B8" s="15"/>
      <c r="C8" s="15"/>
      <c r="D8" s="15"/>
      <c r="E8" s="15"/>
      <c r="F8" s="15"/>
      <c r="G8" s="15"/>
    </row>
    <row r="9" spans="1:7" ht="44.1" customHeight="1">
      <c r="A9" s="15" t="s">
        <v>163</v>
      </c>
      <c r="B9" s="15"/>
      <c r="C9" s="15"/>
      <c r="D9" s="15"/>
      <c r="E9" s="15"/>
      <c r="F9" s="15"/>
      <c r="G9" s="15"/>
    </row>
    <row r="10" spans="1:7" ht="44.1" customHeight="1">
      <c r="A10" s="15" t="s">
        <v>164</v>
      </c>
      <c r="B10" s="15"/>
      <c r="C10" s="15"/>
      <c r="D10" s="15"/>
      <c r="E10" s="15"/>
      <c r="F10" s="15"/>
      <c r="G10" s="15"/>
    </row>
    <row r="11" spans="1:7" ht="42" customHeight="1">
      <c r="A11" s="15" t="s">
        <v>0</v>
      </c>
      <c r="B11" s="15"/>
      <c r="C11" s="15"/>
      <c r="D11" s="15"/>
      <c r="E11" s="15"/>
      <c r="F11" s="15"/>
      <c r="G11" s="15"/>
    </row>
    <row r="12" spans="1:7" ht="44.1" customHeight="1">
      <c r="A12" s="15" t="s">
        <v>165</v>
      </c>
      <c r="B12" s="15"/>
      <c r="C12" s="15"/>
      <c r="D12" s="15"/>
      <c r="E12" s="15"/>
      <c r="F12" s="15"/>
      <c r="G12" s="15"/>
    </row>
    <row r="13" spans="1:7" ht="44.1" customHeight="1">
      <c r="A13" s="15" t="s">
        <v>166</v>
      </c>
      <c r="B13" s="15"/>
      <c r="C13" s="15"/>
      <c r="D13" s="15"/>
      <c r="E13" s="15"/>
      <c r="F13" s="15"/>
      <c r="G13" s="15"/>
    </row>
    <row r="14" spans="1:7" ht="44.1" customHeight="1">
      <c r="A14" s="15" t="s">
        <v>167</v>
      </c>
      <c r="B14" s="15"/>
      <c r="C14" s="15"/>
      <c r="D14" s="15"/>
      <c r="E14" s="15"/>
      <c r="F14" s="15"/>
      <c r="G14" s="15"/>
    </row>
    <row r="15" spans="1:7" ht="44.1" customHeight="1">
      <c r="A15" s="15" t="s">
        <v>168</v>
      </c>
      <c r="B15" s="15"/>
      <c r="C15" s="15"/>
      <c r="D15" s="15"/>
      <c r="E15" s="15"/>
      <c r="F15" s="15"/>
      <c r="G15" s="15"/>
    </row>
    <row r="16" spans="1:7" ht="30" customHeight="1">
      <c r="A16" s="16" t="s">
        <v>1</v>
      </c>
      <c r="B16" s="16"/>
      <c r="C16" s="16"/>
      <c r="D16" s="16"/>
      <c r="E16" s="16"/>
      <c r="F16" s="16"/>
      <c r="G16" s="16"/>
    </row>
    <row r="17" spans="1:7" ht="30" customHeight="1">
      <c r="A17" s="15" t="s">
        <v>2</v>
      </c>
      <c r="B17" s="15"/>
      <c r="C17" s="15"/>
      <c r="D17" s="15"/>
      <c r="E17" s="15"/>
      <c r="F17" s="15"/>
      <c r="G17" s="15"/>
    </row>
    <row r="18" spans="1:7" ht="30" customHeight="1">
      <c r="A18" s="15" t="s">
        <v>3</v>
      </c>
      <c r="B18" s="15"/>
      <c r="C18" s="15"/>
      <c r="D18" s="15"/>
      <c r="E18" s="15"/>
      <c r="F18" s="15"/>
      <c r="G18" s="15"/>
    </row>
    <row r="19" spans="1:7" ht="30" customHeight="1">
      <c r="A19" s="15" t="s">
        <v>4</v>
      </c>
      <c r="B19" s="15"/>
      <c r="C19" s="15"/>
      <c r="D19" s="15"/>
      <c r="E19" s="15"/>
      <c r="F19" s="15"/>
      <c r="G19" s="15"/>
    </row>
    <row r="20" spans="1:7" ht="30" customHeight="1">
      <c r="A20" s="15" t="s">
        <v>5</v>
      </c>
      <c r="B20" s="15"/>
      <c r="C20" s="15"/>
      <c r="D20" s="15"/>
      <c r="E20" s="15"/>
      <c r="F20" s="15"/>
      <c r="G20" s="15"/>
    </row>
    <row r="21" spans="1:7" ht="30" customHeight="1">
      <c r="A21" s="15" t="s">
        <v>6</v>
      </c>
      <c r="B21" s="15"/>
      <c r="C21" s="15"/>
      <c r="D21" s="15"/>
      <c r="E21" s="15"/>
      <c r="F21" s="15"/>
      <c r="G21" s="15"/>
    </row>
    <row r="22" spans="1:7" ht="30" customHeight="1">
      <c r="A22" s="15" t="s">
        <v>7</v>
      </c>
      <c r="B22" s="15"/>
      <c r="C22" s="15"/>
      <c r="D22" s="15"/>
      <c r="E22" s="15"/>
      <c r="F22" s="15"/>
      <c r="G22" s="15"/>
    </row>
    <row r="23" spans="1:7" ht="30" customHeight="1">
      <c r="A23" s="15" t="s">
        <v>8</v>
      </c>
      <c r="B23" s="15"/>
      <c r="C23" s="15"/>
      <c r="D23" s="15"/>
      <c r="E23" s="15"/>
      <c r="F23" s="15"/>
      <c r="G23" s="15"/>
    </row>
    <row r="24" spans="1:7" ht="30" customHeight="1">
      <c r="A24" s="15" t="s">
        <v>9</v>
      </c>
      <c r="B24" s="15"/>
      <c r="C24" s="15"/>
      <c r="D24" s="15"/>
      <c r="E24" s="15"/>
      <c r="F24" s="15"/>
      <c r="G24" s="15"/>
    </row>
    <row r="25" spans="1:7" ht="42" customHeight="1">
      <c r="A25" s="15" t="s">
        <v>10</v>
      </c>
      <c r="B25" s="15"/>
      <c r="C25" s="15"/>
      <c r="D25" s="15"/>
      <c r="E25" s="15"/>
      <c r="F25" s="15"/>
      <c r="G25" s="15"/>
    </row>
    <row r="26" spans="1:7" ht="42" customHeight="1">
      <c r="A26" s="15" t="s">
        <v>11</v>
      </c>
      <c r="B26" s="15"/>
      <c r="C26" s="15"/>
      <c r="D26" s="15"/>
      <c r="E26" s="15"/>
      <c r="F26" s="15"/>
      <c r="G26" s="15"/>
    </row>
    <row r="27" spans="1:7" ht="42" customHeight="1">
      <c r="A27" s="15" t="s">
        <v>12</v>
      </c>
      <c r="B27" s="15"/>
      <c r="C27" s="15"/>
      <c r="D27" s="15"/>
      <c r="E27" s="15"/>
      <c r="F27" s="15"/>
      <c r="G27" s="15"/>
    </row>
    <row r="28" spans="1:7" ht="44.1" customHeight="1">
      <c r="A28" s="15" t="s">
        <v>169</v>
      </c>
      <c r="B28" s="15"/>
      <c r="C28" s="15"/>
      <c r="D28" s="15"/>
      <c r="E28" s="15"/>
      <c r="F28" s="15"/>
      <c r="G28" s="15"/>
    </row>
    <row r="29" spans="1:7" ht="30" customHeight="1">
      <c r="A29" s="16" t="s">
        <v>170</v>
      </c>
      <c r="B29" s="16"/>
      <c r="C29" s="16"/>
      <c r="D29" s="16"/>
      <c r="E29" s="16"/>
      <c r="F29" s="16"/>
      <c r="G29" s="16"/>
    </row>
    <row r="30" spans="1:7" ht="24" customHeight="1">
      <c r="A30" s="2" t="s">
        <v>13</v>
      </c>
      <c r="B30" s="2" t="s">
        <v>14</v>
      </c>
      <c r="C30" s="2" t="s">
        <v>15</v>
      </c>
      <c r="D30" s="2" t="s">
        <v>171</v>
      </c>
      <c r="E30" s="2" t="s">
        <v>172</v>
      </c>
      <c r="F30" s="2" t="s">
        <v>173</v>
      </c>
      <c r="G30" s="2" t="s">
        <v>16</v>
      </c>
    </row>
    <row r="31" spans="1:7" ht="24.95" customHeight="1">
      <c r="A31" s="1" t="s">
        <v>17</v>
      </c>
      <c r="B31" s="1" t="s">
        <v>18</v>
      </c>
      <c r="C31" s="1">
        <v>5</v>
      </c>
      <c r="D31" s="1" t="s">
        <v>19</v>
      </c>
      <c r="E31" s="1">
        <v>5</v>
      </c>
      <c r="F31" s="1" t="s">
        <v>20</v>
      </c>
      <c r="G31" s="1"/>
    </row>
    <row r="32" spans="1:7" ht="24.95" customHeight="1">
      <c r="A32" s="1" t="s">
        <v>21</v>
      </c>
      <c r="B32" s="1" t="s">
        <v>18</v>
      </c>
      <c r="C32" s="1">
        <v>45</v>
      </c>
      <c r="D32" s="1" t="s">
        <v>19</v>
      </c>
      <c r="E32" s="1">
        <v>6</v>
      </c>
      <c r="F32" s="1" t="s">
        <v>20</v>
      </c>
      <c r="G32" s="1"/>
    </row>
    <row r="33" spans="1:7" ht="24.95" customHeight="1">
      <c r="A33" s="1" t="s">
        <v>22</v>
      </c>
      <c r="B33" s="1" t="s">
        <v>23</v>
      </c>
      <c r="C33" s="1">
        <v>5</v>
      </c>
      <c r="D33" s="1" t="s">
        <v>19</v>
      </c>
      <c r="E33" s="1">
        <v>7</v>
      </c>
      <c r="F33" s="1" t="s">
        <v>20</v>
      </c>
      <c r="G33" s="1"/>
    </row>
    <row r="34" spans="1:7" ht="24.95" customHeight="1">
      <c r="A34" s="1" t="s">
        <v>24</v>
      </c>
      <c r="B34" s="1" t="s">
        <v>23</v>
      </c>
      <c r="C34" s="1">
        <v>6</v>
      </c>
      <c r="D34" s="1" t="s">
        <v>19</v>
      </c>
      <c r="E34" s="1">
        <v>8</v>
      </c>
      <c r="F34" s="1" t="s">
        <v>20</v>
      </c>
      <c r="G34" s="1"/>
    </row>
    <row r="35" spans="1:7" ht="24.95" customHeight="1">
      <c r="A35" s="1" t="s">
        <v>25</v>
      </c>
      <c r="B35" s="1" t="s">
        <v>23</v>
      </c>
      <c r="C35" s="1">
        <v>9</v>
      </c>
      <c r="D35" s="1" t="s">
        <v>19</v>
      </c>
      <c r="E35" s="1">
        <v>9</v>
      </c>
      <c r="F35" s="1" t="s">
        <v>20</v>
      </c>
      <c r="G35" s="1"/>
    </row>
    <row r="36" spans="1:7" ht="24.95" customHeight="1">
      <c r="A36" s="1" t="s">
        <v>26</v>
      </c>
      <c r="B36" s="1" t="s">
        <v>27</v>
      </c>
      <c r="C36" s="1">
        <v>5</v>
      </c>
      <c r="D36" s="1" t="s">
        <v>19</v>
      </c>
      <c r="E36" s="1">
        <v>10</v>
      </c>
      <c r="F36" s="1" t="s">
        <v>20</v>
      </c>
      <c r="G36" s="1"/>
    </row>
    <row r="37" spans="1:7" ht="24.95" customHeight="1">
      <c r="A37" s="1" t="s">
        <v>28</v>
      </c>
      <c r="B37" s="1" t="s">
        <v>27</v>
      </c>
      <c r="C37" s="1">
        <v>6</v>
      </c>
      <c r="D37" s="1" t="s">
        <v>19</v>
      </c>
      <c r="E37" s="1">
        <v>11</v>
      </c>
      <c r="F37" s="1" t="s">
        <v>20</v>
      </c>
      <c r="G37" s="1"/>
    </row>
    <row r="38" spans="1:7" ht="24.95" customHeight="1">
      <c r="A38" s="1" t="s">
        <v>29</v>
      </c>
      <c r="B38" s="1" t="s">
        <v>18</v>
      </c>
      <c r="C38" s="1">
        <v>6</v>
      </c>
      <c r="D38" s="1" t="s">
        <v>19</v>
      </c>
      <c r="E38" s="1">
        <v>12</v>
      </c>
      <c r="F38" s="1" t="s">
        <v>20</v>
      </c>
      <c r="G38" s="1"/>
    </row>
    <row r="39" spans="1:7" ht="24.95" customHeight="1">
      <c r="A39" s="1" t="s">
        <v>30</v>
      </c>
      <c r="B39" s="1" t="s">
        <v>27</v>
      </c>
      <c r="C39" s="1">
        <v>7</v>
      </c>
      <c r="D39" s="1" t="s">
        <v>19</v>
      </c>
      <c r="E39" s="1">
        <v>13</v>
      </c>
      <c r="F39" s="1" t="s">
        <v>20</v>
      </c>
      <c r="G39" s="1"/>
    </row>
    <row r="40" spans="1:7" ht="24.95" customHeight="1">
      <c r="A40" s="1" t="s">
        <v>31</v>
      </c>
      <c r="B40" s="1" t="s">
        <v>27</v>
      </c>
      <c r="C40" s="1">
        <v>8</v>
      </c>
      <c r="D40" s="1" t="s">
        <v>19</v>
      </c>
      <c r="E40" s="1">
        <v>14</v>
      </c>
      <c r="F40" s="1" t="s">
        <v>20</v>
      </c>
      <c r="G40" s="1"/>
    </row>
    <row r="41" spans="1:7" ht="24.95" customHeight="1">
      <c r="A41" s="1" t="s">
        <v>32</v>
      </c>
      <c r="B41" s="1" t="s">
        <v>18</v>
      </c>
      <c r="C41" s="1">
        <v>7</v>
      </c>
      <c r="D41" s="1" t="s">
        <v>19</v>
      </c>
      <c r="E41" s="1">
        <v>15</v>
      </c>
      <c r="F41" s="1" t="s">
        <v>20</v>
      </c>
      <c r="G41" s="1"/>
    </row>
    <row r="42" spans="1:7" ht="24.95" customHeight="1">
      <c r="A42" s="1" t="s">
        <v>33</v>
      </c>
      <c r="B42" s="1" t="s">
        <v>18</v>
      </c>
      <c r="C42" s="1">
        <v>30</v>
      </c>
      <c r="D42" s="1" t="s">
        <v>19</v>
      </c>
      <c r="E42" s="1">
        <v>16</v>
      </c>
      <c r="F42" s="1" t="s">
        <v>20</v>
      </c>
      <c r="G42" s="1"/>
    </row>
    <row r="43" spans="1:7" ht="24.95" customHeight="1">
      <c r="A43" s="1" t="s">
        <v>34</v>
      </c>
      <c r="B43" s="1" t="s">
        <v>18</v>
      </c>
      <c r="C43" s="1">
        <v>32</v>
      </c>
      <c r="D43" s="1" t="s">
        <v>19</v>
      </c>
      <c r="E43" s="1">
        <v>17</v>
      </c>
      <c r="F43" s="1" t="s">
        <v>20</v>
      </c>
      <c r="G43" s="1"/>
    </row>
    <row r="44" spans="1:7" ht="24.95" customHeight="1">
      <c r="A44" s="1" t="s">
        <v>35</v>
      </c>
      <c r="B44" s="1" t="s">
        <v>27</v>
      </c>
      <c r="C44" s="1">
        <v>44</v>
      </c>
      <c r="D44" s="1" t="s">
        <v>19</v>
      </c>
      <c r="E44" s="1">
        <v>18</v>
      </c>
      <c r="F44" s="1" t="s">
        <v>20</v>
      </c>
      <c r="G44" s="1"/>
    </row>
    <row r="45" spans="1:7" ht="24.95" customHeight="1">
      <c r="A45" s="1" t="s">
        <v>36</v>
      </c>
      <c r="B45" s="1" t="s">
        <v>23</v>
      </c>
      <c r="C45" s="1">
        <v>14</v>
      </c>
      <c r="D45" s="1" t="s">
        <v>19</v>
      </c>
      <c r="E45" s="1">
        <v>19</v>
      </c>
      <c r="F45" s="1" t="s">
        <v>20</v>
      </c>
      <c r="G45" s="1"/>
    </row>
    <row r="46" spans="1:7" ht="24.95" customHeight="1">
      <c r="A46" s="1" t="s">
        <v>37</v>
      </c>
      <c r="B46" s="1" t="s">
        <v>27</v>
      </c>
      <c r="C46" s="1">
        <v>14</v>
      </c>
      <c r="D46" s="1" t="s">
        <v>19</v>
      </c>
      <c r="E46" s="1">
        <v>20</v>
      </c>
      <c r="F46" s="1" t="s">
        <v>20</v>
      </c>
      <c r="G46" s="1"/>
    </row>
    <row r="47" spans="1:7" ht="24.95" customHeight="1">
      <c r="A47" s="1" t="s">
        <v>38</v>
      </c>
      <c r="B47" s="1" t="s">
        <v>27</v>
      </c>
      <c r="C47" s="1">
        <v>15</v>
      </c>
      <c r="D47" s="1" t="s">
        <v>19</v>
      </c>
      <c r="E47" s="1">
        <v>21</v>
      </c>
      <c r="F47" s="1" t="s">
        <v>20</v>
      </c>
      <c r="G47" s="1"/>
    </row>
    <row r="48" spans="1:7" ht="24.95" customHeight="1">
      <c r="A48" s="1" t="s">
        <v>39</v>
      </c>
      <c r="B48" s="1" t="s">
        <v>27</v>
      </c>
      <c r="C48" s="1">
        <v>16</v>
      </c>
      <c r="D48" s="1" t="s">
        <v>19</v>
      </c>
      <c r="E48" s="1">
        <v>22</v>
      </c>
      <c r="F48" s="1" t="s">
        <v>20</v>
      </c>
      <c r="G48" s="1"/>
    </row>
    <row r="49" spans="1:7" ht="24.95" customHeight="1">
      <c r="A49" s="1" t="s">
        <v>40</v>
      </c>
      <c r="B49" s="1" t="s">
        <v>18</v>
      </c>
      <c r="C49" s="1">
        <v>59</v>
      </c>
      <c r="D49" s="1" t="s">
        <v>19</v>
      </c>
      <c r="E49" s="1">
        <v>23</v>
      </c>
      <c r="F49" s="1" t="s">
        <v>20</v>
      </c>
      <c r="G49" s="1"/>
    </row>
    <row r="50" spans="1:7" ht="24.95" customHeight="1">
      <c r="A50" s="1" t="s">
        <v>41</v>
      </c>
      <c r="B50" s="1" t="s">
        <v>18</v>
      </c>
      <c r="C50" s="1">
        <v>31</v>
      </c>
      <c r="D50" s="1" t="s">
        <v>19</v>
      </c>
      <c r="E50" s="1">
        <v>24</v>
      </c>
      <c r="F50" s="1" t="s">
        <v>20</v>
      </c>
      <c r="G50" s="1"/>
    </row>
    <row r="51" spans="1:7" ht="24.95" customHeight="1">
      <c r="A51" s="1" t="s">
        <v>42</v>
      </c>
      <c r="B51" s="1" t="s">
        <v>18</v>
      </c>
      <c r="C51" s="1">
        <v>33</v>
      </c>
      <c r="D51" s="1" t="s">
        <v>19</v>
      </c>
      <c r="E51" s="1">
        <v>25</v>
      </c>
      <c r="F51" s="1" t="s">
        <v>20</v>
      </c>
      <c r="G51" s="1"/>
    </row>
    <row r="52" spans="1:7" ht="24.95" customHeight="1">
      <c r="A52" s="1" t="s">
        <v>43</v>
      </c>
      <c r="B52" s="1" t="s">
        <v>27</v>
      </c>
      <c r="C52" s="1">
        <v>38</v>
      </c>
      <c r="D52" s="1" t="s">
        <v>44</v>
      </c>
      <c r="E52" s="1">
        <v>5</v>
      </c>
      <c r="F52" s="1" t="s">
        <v>20</v>
      </c>
      <c r="G52" s="1"/>
    </row>
    <row r="53" spans="1:7" ht="24.95" customHeight="1">
      <c r="A53" s="1" t="s">
        <v>45</v>
      </c>
      <c r="B53" s="1" t="s">
        <v>27</v>
      </c>
      <c r="C53" s="1">
        <v>40</v>
      </c>
      <c r="D53" s="1" t="s">
        <v>44</v>
      </c>
      <c r="E53" s="1">
        <v>6</v>
      </c>
      <c r="F53" s="1" t="s">
        <v>20</v>
      </c>
      <c r="G53" s="1"/>
    </row>
    <row r="54" spans="1:7" ht="24.95" customHeight="1">
      <c r="A54" s="1" t="s">
        <v>46</v>
      </c>
      <c r="B54" s="1" t="s">
        <v>18</v>
      </c>
      <c r="C54" s="1">
        <v>8</v>
      </c>
      <c r="D54" s="1" t="s">
        <v>44</v>
      </c>
      <c r="E54" s="1">
        <v>7</v>
      </c>
      <c r="F54" s="1" t="s">
        <v>20</v>
      </c>
      <c r="G54" s="1"/>
    </row>
    <row r="55" spans="1:7" ht="24.95" customHeight="1">
      <c r="A55" s="1" t="s">
        <v>47</v>
      </c>
      <c r="B55" s="1" t="s">
        <v>27</v>
      </c>
      <c r="C55" s="1">
        <v>17</v>
      </c>
      <c r="D55" s="1" t="s">
        <v>44</v>
      </c>
      <c r="E55" s="1">
        <v>8</v>
      </c>
      <c r="F55" s="1" t="s">
        <v>20</v>
      </c>
      <c r="G55" s="1"/>
    </row>
    <row r="56" spans="1:7" ht="24.95" customHeight="1">
      <c r="A56" s="1" t="s">
        <v>48</v>
      </c>
      <c r="B56" s="1" t="s">
        <v>27</v>
      </c>
      <c r="C56" s="1">
        <v>18</v>
      </c>
      <c r="D56" s="1" t="s">
        <v>44</v>
      </c>
      <c r="E56" s="1">
        <v>9</v>
      </c>
      <c r="F56" s="1" t="s">
        <v>20</v>
      </c>
      <c r="G56" s="1"/>
    </row>
    <row r="57" spans="1:7" ht="24.95" customHeight="1">
      <c r="A57" s="1" t="s">
        <v>49</v>
      </c>
      <c r="B57" s="1" t="s">
        <v>27</v>
      </c>
      <c r="C57" s="1">
        <v>19</v>
      </c>
      <c r="D57" s="1" t="s">
        <v>44</v>
      </c>
      <c r="E57" s="1">
        <v>10</v>
      </c>
      <c r="F57" s="1" t="s">
        <v>20</v>
      </c>
      <c r="G57" s="1"/>
    </row>
    <row r="58" spans="1:7" ht="24.95" customHeight="1">
      <c r="A58" s="1" t="s">
        <v>50</v>
      </c>
      <c r="B58" s="1" t="s">
        <v>23</v>
      </c>
      <c r="C58" s="1">
        <v>10</v>
      </c>
      <c r="D58" s="1" t="s">
        <v>51</v>
      </c>
      <c r="E58" s="1">
        <v>5</v>
      </c>
      <c r="F58" s="1" t="s">
        <v>20</v>
      </c>
      <c r="G58" s="1"/>
    </row>
    <row r="59" spans="1:7" ht="24.95" customHeight="1">
      <c r="A59" s="1" t="s">
        <v>52</v>
      </c>
      <c r="B59" s="1" t="s">
        <v>18</v>
      </c>
      <c r="C59" s="1">
        <v>9</v>
      </c>
      <c r="D59" s="1" t="s">
        <v>51</v>
      </c>
      <c r="E59" s="1">
        <v>6</v>
      </c>
      <c r="F59" s="1" t="s">
        <v>20</v>
      </c>
      <c r="G59" s="1"/>
    </row>
    <row r="60" spans="1:7" ht="24.95" customHeight="1">
      <c r="A60" s="1" t="s">
        <v>53</v>
      </c>
      <c r="B60" s="1" t="s">
        <v>18</v>
      </c>
      <c r="C60" s="1">
        <v>10</v>
      </c>
      <c r="D60" s="1" t="s">
        <v>51</v>
      </c>
      <c r="E60" s="1">
        <v>7</v>
      </c>
      <c r="F60" s="1" t="s">
        <v>20</v>
      </c>
      <c r="G60" s="1"/>
    </row>
    <row r="61" spans="1:7" ht="24.95" customHeight="1">
      <c r="A61" s="1" t="s">
        <v>54</v>
      </c>
      <c r="B61" s="1" t="s">
        <v>18</v>
      </c>
      <c r="C61" s="1">
        <v>58</v>
      </c>
      <c r="D61" s="1" t="s">
        <v>51</v>
      </c>
      <c r="E61" s="1">
        <v>8</v>
      </c>
      <c r="F61" s="1" t="s">
        <v>20</v>
      </c>
      <c r="G61" s="1"/>
    </row>
    <row r="62" spans="1:7" ht="24.95" customHeight="1">
      <c r="A62" s="1" t="s">
        <v>55</v>
      </c>
      <c r="B62" s="1" t="s">
        <v>18</v>
      </c>
      <c r="C62" s="1">
        <v>11</v>
      </c>
      <c r="D62" s="1" t="s">
        <v>51</v>
      </c>
      <c r="E62" s="1">
        <v>9</v>
      </c>
      <c r="F62" s="1" t="s">
        <v>20</v>
      </c>
      <c r="G62" s="1"/>
    </row>
    <row r="63" spans="1:7" ht="24.95" customHeight="1">
      <c r="A63" s="1" t="s">
        <v>56</v>
      </c>
      <c r="B63" s="1" t="s">
        <v>18</v>
      </c>
      <c r="C63" s="1">
        <v>12</v>
      </c>
      <c r="D63" s="1" t="s">
        <v>51</v>
      </c>
      <c r="E63" s="1">
        <v>10</v>
      </c>
      <c r="F63" s="1" t="s">
        <v>20</v>
      </c>
      <c r="G63" s="1"/>
    </row>
    <row r="64" spans="1:7" ht="24.95" customHeight="1">
      <c r="A64" s="1" t="s">
        <v>57</v>
      </c>
      <c r="B64" s="1" t="s">
        <v>27</v>
      </c>
      <c r="C64" s="1">
        <v>9</v>
      </c>
      <c r="D64" s="1" t="s">
        <v>51</v>
      </c>
      <c r="E64" s="1">
        <v>11</v>
      </c>
      <c r="F64" s="1" t="s">
        <v>20</v>
      </c>
      <c r="G64" s="1"/>
    </row>
    <row r="65" spans="1:7" ht="24.95" customHeight="1">
      <c r="A65" s="1" t="s">
        <v>58</v>
      </c>
      <c r="B65" s="1" t="s">
        <v>27</v>
      </c>
      <c r="C65" s="1">
        <v>10</v>
      </c>
      <c r="D65" s="1" t="s">
        <v>51</v>
      </c>
      <c r="E65" s="1">
        <v>12</v>
      </c>
      <c r="F65" s="1" t="s">
        <v>20</v>
      </c>
      <c r="G65" s="1"/>
    </row>
    <row r="66" spans="1:7" ht="24.95" customHeight="1">
      <c r="A66" s="1" t="s">
        <v>59</v>
      </c>
      <c r="B66" s="1" t="s">
        <v>27</v>
      </c>
      <c r="C66" s="1">
        <v>20</v>
      </c>
      <c r="D66" s="1" t="s">
        <v>51</v>
      </c>
      <c r="E66" s="1">
        <v>13</v>
      </c>
      <c r="F66" s="1" t="s">
        <v>20</v>
      </c>
      <c r="G66" s="1"/>
    </row>
    <row r="67" spans="1:7" ht="24.95" customHeight="1">
      <c r="A67" s="1" t="s">
        <v>60</v>
      </c>
      <c r="B67" s="1" t="s">
        <v>27</v>
      </c>
      <c r="C67" s="1">
        <v>21</v>
      </c>
      <c r="D67" s="1" t="s">
        <v>51</v>
      </c>
      <c r="E67" s="1">
        <v>14</v>
      </c>
      <c r="F67" s="1" t="s">
        <v>20</v>
      </c>
      <c r="G67" s="1"/>
    </row>
    <row r="68" spans="1:7" ht="24.95" customHeight="1">
      <c r="A68" s="1" t="s">
        <v>61</v>
      </c>
      <c r="B68" s="1" t="s">
        <v>27</v>
      </c>
      <c r="C68" s="1">
        <v>22</v>
      </c>
      <c r="D68" s="1" t="s">
        <v>51</v>
      </c>
      <c r="E68" s="1">
        <v>15</v>
      </c>
      <c r="F68" s="1" t="s">
        <v>20</v>
      </c>
      <c r="G68" s="1"/>
    </row>
    <row r="69" spans="1:7" ht="24.95" customHeight="1">
      <c r="A69" s="1" t="s">
        <v>62</v>
      </c>
      <c r="B69" s="1" t="s">
        <v>18</v>
      </c>
      <c r="C69" s="1">
        <v>60</v>
      </c>
      <c r="D69" s="1" t="s">
        <v>51</v>
      </c>
      <c r="E69" s="1">
        <v>16</v>
      </c>
      <c r="F69" s="1" t="s">
        <v>20</v>
      </c>
      <c r="G69" s="1"/>
    </row>
    <row r="70" spans="1:7" ht="24.95" customHeight="1">
      <c r="A70" s="1" t="s">
        <v>63</v>
      </c>
      <c r="B70" s="1" t="s">
        <v>18</v>
      </c>
      <c r="C70" s="1">
        <v>17</v>
      </c>
      <c r="D70" s="1" t="s">
        <v>64</v>
      </c>
      <c r="E70" s="1">
        <v>5</v>
      </c>
      <c r="F70" s="1" t="s">
        <v>20</v>
      </c>
      <c r="G70" s="1"/>
    </row>
    <row r="71" spans="1:7" ht="24.95" customHeight="1">
      <c r="A71" s="1" t="s">
        <v>65</v>
      </c>
      <c r="B71" s="1" t="s">
        <v>18</v>
      </c>
      <c r="C71" s="1">
        <v>18</v>
      </c>
      <c r="D71" s="1" t="s">
        <v>64</v>
      </c>
      <c r="E71" s="1">
        <v>6</v>
      </c>
      <c r="F71" s="1" t="s">
        <v>20</v>
      </c>
      <c r="G71" s="1"/>
    </row>
    <row r="72" spans="1:7" ht="24.95" customHeight="1">
      <c r="A72" s="1" t="s">
        <v>66</v>
      </c>
      <c r="B72" s="1" t="s">
        <v>18</v>
      </c>
      <c r="C72" s="1">
        <v>19</v>
      </c>
      <c r="D72" s="1" t="s">
        <v>64</v>
      </c>
      <c r="E72" s="1">
        <v>7</v>
      </c>
      <c r="F72" s="1" t="s">
        <v>20</v>
      </c>
      <c r="G72" s="1"/>
    </row>
    <row r="73" spans="1:7" ht="24.95" customHeight="1">
      <c r="A73" s="1" t="s">
        <v>67</v>
      </c>
      <c r="B73" s="1" t="s">
        <v>18</v>
      </c>
      <c r="C73" s="1">
        <v>44</v>
      </c>
      <c r="D73" s="1" t="s">
        <v>64</v>
      </c>
      <c r="E73" s="1">
        <v>8</v>
      </c>
      <c r="F73" s="1" t="s">
        <v>20</v>
      </c>
      <c r="G73" s="1"/>
    </row>
    <row r="74" spans="1:7" ht="24.95" customHeight="1">
      <c r="A74" s="1" t="s">
        <v>68</v>
      </c>
      <c r="B74" s="1" t="s">
        <v>23</v>
      </c>
      <c r="C74" s="1">
        <v>11</v>
      </c>
      <c r="D74" s="1" t="s">
        <v>64</v>
      </c>
      <c r="E74" s="1">
        <v>9</v>
      </c>
      <c r="F74" s="1" t="s">
        <v>20</v>
      </c>
      <c r="G74" s="1"/>
    </row>
    <row r="75" spans="1:7" ht="24.95" customHeight="1">
      <c r="A75" s="1" t="s">
        <v>69</v>
      </c>
      <c r="B75" s="1" t="s">
        <v>23</v>
      </c>
      <c r="C75" s="1">
        <v>38</v>
      </c>
      <c r="D75" s="1" t="s">
        <v>64</v>
      </c>
      <c r="E75" s="1">
        <v>10</v>
      </c>
      <c r="F75" s="1" t="s">
        <v>20</v>
      </c>
      <c r="G75" s="1"/>
    </row>
    <row r="76" spans="1:7" ht="24.95" customHeight="1">
      <c r="A76" s="1" t="s">
        <v>70</v>
      </c>
      <c r="B76" s="1" t="s">
        <v>23</v>
      </c>
      <c r="C76" s="1">
        <v>22</v>
      </c>
      <c r="D76" s="1" t="s">
        <v>64</v>
      </c>
      <c r="E76" s="1">
        <v>11</v>
      </c>
      <c r="F76" s="1" t="s">
        <v>20</v>
      </c>
      <c r="G76" s="1"/>
    </row>
    <row r="77" spans="1:7" ht="24.95" customHeight="1">
      <c r="A77" s="1" t="s">
        <v>71</v>
      </c>
      <c r="B77" s="1" t="s">
        <v>23</v>
      </c>
      <c r="C77" s="1">
        <v>25</v>
      </c>
      <c r="D77" s="1" t="s">
        <v>64</v>
      </c>
      <c r="E77" s="1">
        <v>12</v>
      </c>
      <c r="F77" s="1" t="s">
        <v>20</v>
      </c>
      <c r="G77" s="1"/>
    </row>
    <row r="78" spans="1:7" ht="24.95" customHeight="1">
      <c r="A78" s="1" t="s">
        <v>72</v>
      </c>
      <c r="B78" s="1" t="s">
        <v>23</v>
      </c>
      <c r="C78" s="1">
        <v>39</v>
      </c>
      <c r="D78" s="1" t="s">
        <v>64</v>
      </c>
      <c r="E78" s="1">
        <v>13</v>
      </c>
      <c r="F78" s="1" t="s">
        <v>20</v>
      </c>
      <c r="G78" s="1"/>
    </row>
    <row r="79" spans="1:7" ht="24.95" customHeight="1">
      <c r="A79" s="1" t="s">
        <v>73</v>
      </c>
      <c r="B79" s="1" t="s">
        <v>27</v>
      </c>
      <c r="C79" s="1">
        <v>42</v>
      </c>
      <c r="D79" s="1" t="s">
        <v>64</v>
      </c>
      <c r="E79" s="1">
        <v>14</v>
      </c>
      <c r="F79" s="1" t="s">
        <v>20</v>
      </c>
      <c r="G79" s="1"/>
    </row>
    <row r="80" spans="1:7" ht="24.95" customHeight="1">
      <c r="A80" s="1" t="s">
        <v>74</v>
      </c>
      <c r="B80" s="1" t="s">
        <v>27</v>
      </c>
      <c r="C80" s="1">
        <v>43</v>
      </c>
      <c r="D80" s="1" t="s">
        <v>64</v>
      </c>
      <c r="E80" s="1">
        <v>15</v>
      </c>
      <c r="F80" s="1" t="s">
        <v>20</v>
      </c>
      <c r="G80" s="1"/>
    </row>
    <row r="81" spans="1:7" ht="24.95" customHeight="1">
      <c r="A81" s="1" t="s">
        <v>75</v>
      </c>
      <c r="B81" s="1" t="s">
        <v>18</v>
      </c>
      <c r="C81" s="1">
        <v>47</v>
      </c>
      <c r="D81" s="1" t="s">
        <v>64</v>
      </c>
      <c r="E81" s="1">
        <v>16</v>
      </c>
      <c r="F81" s="1" t="s">
        <v>20</v>
      </c>
      <c r="G81" s="1"/>
    </row>
    <row r="82" spans="1:7" ht="24.95" customHeight="1">
      <c r="A82" s="1" t="s">
        <v>76</v>
      </c>
      <c r="B82" s="1" t="s">
        <v>18</v>
      </c>
      <c r="C82" s="1">
        <v>21</v>
      </c>
      <c r="D82" s="1" t="s">
        <v>64</v>
      </c>
      <c r="E82" s="1">
        <v>17</v>
      </c>
      <c r="F82" s="1" t="s">
        <v>20</v>
      </c>
      <c r="G82" s="1"/>
    </row>
    <row r="83" spans="1:7" ht="24.95" customHeight="1">
      <c r="A83" s="1" t="s">
        <v>77</v>
      </c>
      <c r="B83" s="1" t="s">
        <v>27</v>
      </c>
      <c r="C83" s="1">
        <v>26</v>
      </c>
      <c r="D83" s="1" t="s">
        <v>64</v>
      </c>
      <c r="E83" s="1">
        <v>18</v>
      </c>
      <c r="F83" s="1" t="s">
        <v>20</v>
      </c>
      <c r="G83" s="1"/>
    </row>
    <row r="84" spans="1:7" ht="24.95" customHeight="1">
      <c r="A84" s="1" t="s">
        <v>78</v>
      </c>
      <c r="B84" s="1" t="s">
        <v>27</v>
      </c>
      <c r="C84" s="1">
        <v>27</v>
      </c>
      <c r="D84" s="1" t="s">
        <v>64</v>
      </c>
      <c r="E84" s="1">
        <v>19</v>
      </c>
      <c r="F84" s="1" t="s">
        <v>20</v>
      </c>
      <c r="G84" s="1"/>
    </row>
    <row r="85" spans="1:7" ht="24.95" customHeight="1">
      <c r="A85" s="1" t="s">
        <v>79</v>
      </c>
      <c r="B85" s="1" t="s">
        <v>27</v>
      </c>
      <c r="C85" s="1">
        <v>28</v>
      </c>
      <c r="D85" s="1" t="s">
        <v>64</v>
      </c>
      <c r="E85" s="1">
        <v>20</v>
      </c>
      <c r="F85" s="1" t="s">
        <v>20</v>
      </c>
      <c r="G85" s="1"/>
    </row>
    <row r="86" spans="1:7" ht="24.95" customHeight="1">
      <c r="A86" s="1" t="s">
        <v>80</v>
      </c>
      <c r="B86" s="1" t="s">
        <v>18</v>
      </c>
      <c r="C86" s="1">
        <v>20</v>
      </c>
      <c r="D86" s="1" t="s">
        <v>64</v>
      </c>
      <c r="E86" s="1">
        <v>21</v>
      </c>
      <c r="F86" s="1" t="s">
        <v>20</v>
      </c>
      <c r="G86" s="1"/>
    </row>
    <row r="87" spans="1:7" ht="24.95" customHeight="1">
      <c r="A87" s="1" t="s">
        <v>81</v>
      </c>
      <c r="B87" s="1" t="s">
        <v>23</v>
      </c>
      <c r="C87" s="1">
        <v>12</v>
      </c>
      <c r="D87" s="1" t="s">
        <v>82</v>
      </c>
      <c r="E87" s="1">
        <v>5</v>
      </c>
      <c r="F87" s="1" t="s">
        <v>20</v>
      </c>
      <c r="G87" s="1"/>
    </row>
    <row r="88" spans="1:7" ht="24.95" customHeight="1">
      <c r="A88" s="1" t="s">
        <v>83</v>
      </c>
      <c r="B88" s="1" t="s">
        <v>18</v>
      </c>
      <c r="C88" s="1">
        <v>22</v>
      </c>
      <c r="D88" s="1" t="s">
        <v>82</v>
      </c>
      <c r="E88" s="1">
        <v>6</v>
      </c>
      <c r="F88" s="1" t="s">
        <v>20</v>
      </c>
      <c r="G88" s="1"/>
    </row>
    <row r="89" spans="1:7" ht="24.95" customHeight="1">
      <c r="A89" s="1" t="s">
        <v>84</v>
      </c>
      <c r="B89" s="1" t="s">
        <v>18</v>
      </c>
      <c r="C89" s="1">
        <v>23</v>
      </c>
      <c r="D89" s="1" t="s">
        <v>82</v>
      </c>
      <c r="E89" s="1">
        <v>7</v>
      </c>
      <c r="F89" s="1" t="s">
        <v>20</v>
      </c>
      <c r="G89" s="1"/>
    </row>
    <row r="90" spans="1:7" ht="24.95" customHeight="1">
      <c r="A90" s="1" t="s">
        <v>85</v>
      </c>
      <c r="B90" s="1" t="s">
        <v>18</v>
      </c>
      <c r="C90" s="1">
        <v>48</v>
      </c>
      <c r="D90" s="1" t="s">
        <v>82</v>
      </c>
      <c r="E90" s="1">
        <v>8</v>
      </c>
      <c r="F90" s="1" t="s">
        <v>20</v>
      </c>
      <c r="G90" s="1"/>
    </row>
    <row r="91" spans="1:7" ht="24.95" customHeight="1">
      <c r="A91" s="1" t="s">
        <v>86</v>
      </c>
      <c r="B91" s="1" t="s">
        <v>27</v>
      </c>
      <c r="C91" s="1">
        <v>39</v>
      </c>
      <c r="D91" s="1" t="s">
        <v>82</v>
      </c>
      <c r="E91" s="1">
        <v>9</v>
      </c>
      <c r="F91" s="1" t="s">
        <v>20</v>
      </c>
      <c r="G91" s="1"/>
    </row>
    <row r="92" spans="1:7" ht="24.95" customHeight="1">
      <c r="A92" s="1" t="s">
        <v>87</v>
      </c>
      <c r="B92" s="1" t="s">
        <v>27</v>
      </c>
      <c r="C92" s="1">
        <v>29</v>
      </c>
      <c r="D92" s="1" t="s">
        <v>82</v>
      </c>
      <c r="E92" s="1">
        <v>10</v>
      </c>
      <c r="F92" s="1" t="s">
        <v>20</v>
      </c>
      <c r="G92" s="1"/>
    </row>
    <row r="93" spans="1:7" ht="24.95" customHeight="1">
      <c r="A93" s="1" t="s">
        <v>88</v>
      </c>
      <c r="B93" s="1" t="s">
        <v>27</v>
      </c>
      <c r="C93" s="1">
        <v>30</v>
      </c>
      <c r="D93" s="1" t="s">
        <v>82</v>
      </c>
      <c r="E93" s="1">
        <v>11</v>
      </c>
      <c r="F93" s="1" t="s">
        <v>20</v>
      </c>
      <c r="G93" s="1"/>
    </row>
    <row r="94" spans="1:7" ht="24.95" customHeight="1">
      <c r="A94" s="1" t="s">
        <v>89</v>
      </c>
      <c r="B94" s="1" t="s">
        <v>27</v>
      </c>
      <c r="C94" s="1">
        <v>31</v>
      </c>
      <c r="D94" s="1" t="s">
        <v>82</v>
      </c>
      <c r="E94" s="1">
        <v>12</v>
      </c>
      <c r="F94" s="1" t="s">
        <v>20</v>
      </c>
      <c r="G94" s="1"/>
    </row>
    <row r="95" spans="1:7" ht="24.95" customHeight="1">
      <c r="A95" s="1" t="s">
        <v>90</v>
      </c>
      <c r="B95" s="1" t="s">
        <v>23</v>
      </c>
      <c r="C95" s="1">
        <v>13</v>
      </c>
      <c r="D95" s="1" t="s">
        <v>91</v>
      </c>
      <c r="E95" s="1">
        <v>5</v>
      </c>
      <c r="F95" s="1" t="s">
        <v>20</v>
      </c>
      <c r="G95" s="1"/>
    </row>
    <row r="96" spans="1:7" ht="24.95" customHeight="1">
      <c r="A96" s="1" t="s">
        <v>92</v>
      </c>
      <c r="B96" s="1" t="s">
        <v>18</v>
      </c>
      <c r="C96" s="1">
        <v>37</v>
      </c>
      <c r="D96" s="1" t="s">
        <v>91</v>
      </c>
      <c r="E96" s="1">
        <v>6</v>
      </c>
      <c r="F96" s="1" t="s">
        <v>20</v>
      </c>
      <c r="G96" s="1"/>
    </row>
    <row r="97" spans="1:7" ht="24.95" customHeight="1">
      <c r="A97" s="1" t="s">
        <v>93</v>
      </c>
      <c r="B97" s="1" t="s">
        <v>18</v>
      </c>
      <c r="C97" s="1">
        <v>38</v>
      </c>
      <c r="D97" s="1" t="s">
        <v>91</v>
      </c>
      <c r="E97" s="1">
        <v>7</v>
      </c>
      <c r="F97" s="1" t="s">
        <v>20</v>
      </c>
      <c r="G97" s="1"/>
    </row>
    <row r="98" spans="1:7" ht="24.95" customHeight="1">
      <c r="A98" s="1" t="s">
        <v>94</v>
      </c>
      <c r="B98" s="1" t="s">
        <v>18</v>
      </c>
      <c r="C98" s="1">
        <v>39</v>
      </c>
      <c r="D98" s="1" t="s">
        <v>91</v>
      </c>
      <c r="E98" s="1">
        <v>8</v>
      </c>
      <c r="F98" s="1" t="s">
        <v>20</v>
      </c>
      <c r="G98" s="1"/>
    </row>
    <row r="99" spans="1:7" ht="24.95" customHeight="1">
      <c r="A99" s="1" t="s">
        <v>95</v>
      </c>
      <c r="B99" s="1" t="s">
        <v>18</v>
      </c>
      <c r="C99" s="1">
        <v>40</v>
      </c>
      <c r="D99" s="1" t="s">
        <v>91</v>
      </c>
      <c r="E99" s="1">
        <v>9</v>
      </c>
      <c r="F99" s="1" t="s">
        <v>20</v>
      </c>
      <c r="G99" s="1"/>
    </row>
    <row r="100" spans="1:7" ht="24.95" customHeight="1">
      <c r="A100" s="1" t="s">
        <v>96</v>
      </c>
      <c r="B100" s="1" t="s">
        <v>18</v>
      </c>
      <c r="C100" s="1">
        <v>41</v>
      </c>
      <c r="D100" s="1" t="s">
        <v>91</v>
      </c>
      <c r="E100" s="1">
        <v>10</v>
      </c>
      <c r="F100" s="1" t="s">
        <v>20</v>
      </c>
      <c r="G100" s="1"/>
    </row>
    <row r="101" spans="1:7" ht="24.95" customHeight="1">
      <c r="A101" s="1" t="s">
        <v>97</v>
      </c>
      <c r="B101" s="1" t="s">
        <v>18</v>
      </c>
      <c r="C101" s="1">
        <v>42</v>
      </c>
      <c r="D101" s="1" t="s">
        <v>91</v>
      </c>
      <c r="E101" s="1">
        <v>11</v>
      </c>
      <c r="F101" s="1" t="s">
        <v>20</v>
      </c>
      <c r="G101" s="1"/>
    </row>
    <row r="102" spans="1:7" ht="24.95" customHeight="1">
      <c r="A102" s="1" t="s">
        <v>98</v>
      </c>
      <c r="B102" s="1" t="s">
        <v>18</v>
      </c>
      <c r="C102" s="1">
        <v>43</v>
      </c>
      <c r="D102" s="1" t="s">
        <v>91</v>
      </c>
      <c r="E102" s="1">
        <v>12</v>
      </c>
      <c r="F102" s="1" t="s">
        <v>20</v>
      </c>
      <c r="G102" s="1"/>
    </row>
    <row r="103" spans="1:7" ht="24.95" customHeight="1">
      <c r="A103" s="1" t="s">
        <v>99</v>
      </c>
      <c r="B103" s="1" t="s">
        <v>18</v>
      </c>
      <c r="C103" s="1">
        <v>24</v>
      </c>
      <c r="D103" s="1" t="s">
        <v>91</v>
      </c>
      <c r="E103" s="1">
        <v>13</v>
      </c>
      <c r="F103" s="1" t="s">
        <v>20</v>
      </c>
      <c r="G103" s="1"/>
    </row>
    <row r="104" spans="1:7" ht="24.95" customHeight="1">
      <c r="A104" s="1" t="s">
        <v>100</v>
      </c>
      <c r="B104" s="1" t="s">
        <v>18</v>
      </c>
      <c r="C104" s="1">
        <v>25</v>
      </c>
      <c r="D104" s="1" t="s">
        <v>91</v>
      </c>
      <c r="E104" s="1">
        <v>14</v>
      </c>
      <c r="F104" s="1" t="s">
        <v>20</v>
      </c>
      <c r="G104" s="1"/>
    </row>
    <row r="105" spans="1:7" ht="24.95" customHeight="1">
      <c r="A105" s="1" t="s">
        <v>101</v>
      </c>
      <c r="B105" s="1" t="s">
        <v>27</v>
      </c>
      <c r="C105" s="1">
        <v>12</v>
      </c>
      <c r="D105" s="1" t="s">
        <v>91</v>
      </c>
      <c r="E105" s="1">
        <v>15</v>
      </c>
      <c r="F105" s="1" t="s">
        <v>20</v>
      </c>
      <c r="G105" s="1"/>
    </row>
    <row r="106" spans="1:7" ht="24.95" customHeight="1">
      <c r="A106" s="1" t="s">
        <v>102</v>
      </c>
      <c r="B106" s="1" t="s">
        <v>27</v>
      </c>
      <c r="C106" s="1">
        <v>32</v>
      </c>
      <c r="D106" s="1" t="s">
        <v>91</v>
      </c>
      <c r="E106" s="1">
        <v>16</v>
      </c>
      <c r="F106" s="1" t="s">
        <v>20</v>
      </c>
      <c r="G106" s="1"/>
    </row>
    <row r="107" spans="1:7" ht="24.95" customHeight="1">
      <c r="A107" s="1" t="s">
        <v>103</v>
      </c>
      <c r="B107" s="1" t="s">
        <v>27</v>
      </c>
      <c r="C107" s="1">
        <v>33</v>
      </c>
      <c r="D107" s="1" t="s">
        <v>91</v>
      </c>
      <c r="E107" s="1">
        <v>17</v>
      </c>
      <c r="F107" s="1" t="s">
        <v>20</v>
      </c>
      <c r="G107" s="1"/>
    </row>
    <row r="108" spans="1:7" ht="24.95" customHeight="1">
      <c r="A108" s="1" t="s">
        <v>104</v>
      </c>
      <c r="B108" s="1" t="s">
        <v>27</v>
      </c>
      <c r="C108" s="1">
        <v>34</v>
      </c>
      <c r="D108" s="1" t="s">
        <v>91</v>
      </c>
      <c r="E108" s="1">
        <v>18</v>
      </c>
      <c r="F108" s="1" t="s">
        <v>20</v>
      </c>
      <c r="G108" s="1"/>
    </row>
    <row r="109" spans="1:7" ht="24.95" customHeight="1">
      <c r="A109" s="1" t="s">
        <v>105</v>
      </c>
      <c r="B109" s="1" t="s">
        <v>18</v>
      </c>
      <c r="C109" s="1">
        <v>26</v>
      </c>
      <c r="D109" s="1" t="s">
        <v>91</v>
      </c>
      <c r="E109" s="1">
        <v>19</v>
      </c>
      <c r="F109" s="1" t="s">
        <v>20</v>
      </c>
      <c r="G109" s="1"/>
    </row>
    <row r="110" spans="1:7" ht="24.95" customHeight="1">
      <c r="A110" s="1" t="s">
        <v>106</v>
      </c>
      <c r="B110" s="1" t="s">
        <v>18</v>
      </c>
      <c r="C110" s="1">
        <v>36</v>
      </c>
      <c r="D110" s="1" t="s">
        <v>91</v>
      </c>
      <c r="E110" s="1">
        <v>20</v>
      </c>
      <c r="F110" s="1" t="s">
        <v>20</v>
      </c>
      <c r="G110" s="1"/>
    </row>
    <row r="111" spans="1:7" ht="24.95" customHeight="1">
      <c r="A111" s="1" t="s">
        <v>107</v>
      </c>
      <c r="B111" s="1" t="s">
        <v>18</v>
      </c>
      <c r="C111" s="1">
        <v>27</v>
      </c>
      <c r="D111" s="1" t="s">
        <v>91</v>
      </c>
      <c r="E111" s="1">
        <v>21</v>
      </c>
      <c r="F111" s="1" t="s">
        <v>20</v>
      </c>
      <c r="G111" s="1"/>
    </row>
    <row r="112" spans="1:7" ht="24.95" customHeight="1">
      <c r="A112" s="1" t="s">
        <v>108</v>
      </c>
      <c r="B112" s="1" t="s">
        <v>23</v>
      </c>
      <c r="C112" s="1">
        <v>18</v>
      </c>
      <c r="D112" s="1" t="s">
        <v>109</v>
      </c>
      <c r="E112" s="1">
        <v>5</v>
      </c>
      <c r="F112" s="1" t="s">
        <v>20</v>
      </c>
      <c r="G112" s="1"/>
    </row>
    <row r="113" spans="1:7" ht="24.95" customHeight="1">
      <c r="A113" s="1" t="s">
        <v>110</v>
      </c>
      <c r="B113" s="1" t="s">
        <v>18</v>
      </c>
      <c r="C113" s="1">
        <v>13</v>
      </c>
      <c r="D113" s="1" t="s">
        <v>109</v>
      </c>
      <c r="E113" s="1">
        <v>6</v>
      </c>
      <c r="F113" s="1" t="s">
        <v>20</v>
      </c>
      <c r="G113" s="1"/>
    </row>
    <row r="114" spans="1:7" ht="24.95" customHeight="1">
      <c r="A114" s="1" t="s">
        <v>111</v>
      </c>
      <c r="B114" s="1" t="s">
        <v>18</v>
      </c>
      <c r="C114" s="1">
        <v>56</v>
      </c>
      <c r="D114" s="1" t="s">
        <v>109</v>
      </c>
      <c r="E114" s="1">
        <v>7</v>
      </c>
      <c r="F114" s="1" t="s">
        <v>20</v>
      </c>
      <c r="G114" s="1"/>
    </row>
    <row r="115" spans="1:7" ht="24.95" customHeight="1">
      <c r="A115" s="1" t="s">
        <v>112</v>
      </c>
      <c r="B115" s="1" t="s">
        <v>23</v>
      </c>
      <c r="C115" s="1">
        <v>16</v>
      </c>
      <c r="D115" s="1" t="s">
        <v>109</v>
      </c>
      <c r="E115" s="1">
        <v>8</v>
      </c>
      <c r="F115" s="1" t="s">
        <v>20</v>
      </c>
      <c r="G115" s="1"/>
    </row>
    <row r="116" spans="1:7" ht="24.95" customHeight="1">
      <c r="A116" s="1" t="s">
        <v>113</v>
      </c>
      <c r="B116" s="1" t="s">
        <v>23</v>
      </c>
      <c r="C116" s="1">
        <v>23</v>
      </c>
      <c r="D116" s="1" t="s">
        <v>109</v>
      </c>
      <c r="E116" s="1">
        <v>9</v>
      </c>
      <c r="F116" s="1" t="s">
        <v>20</v>
      </c>
      <c r="G116" s="1"/>
    </row>
    <row r="117" spans="1:7" ht="24.95" customHeight="1">
      <c r="A117" s="1" t="s">
        <v>114</v>
      </c>
      <c r="B117" s="1" t="s">
        <v>23</v>
      </c>
      <c r="C117" s="1">
        <v>26</v>
      </c>
      <c r="D117" s="1" t="s">
        <v>109</v>
      </c>
      <c r="E117" s="1">
        <v>10</v>
      </c>
      <c r="F117" s="1" t="s">
        <v>20</v>
      </c>
      <c r="G117" s="1"/>
    </row>
    <row r="118" spans="1:7" ht="24.95" customHeight="1">
      <c r="A118" s="1" t="s">
        <v>115</v>
      </c>
      <c r="B118" s="1" t="s">
        <v>18</v>
      </c>
      <c r="C118" s="1">
        <v>55</v>
      </c>
      <c r="D118" s="1" t="s">
        <v>109</v>
      </c>
      <c r="E118" s="1">
        <v>11</v>
      </c>
      <c r="F118" s="1" t="s">
        <v>20</v>
      </c>
      <c r="G118" s="1"/>
    </row>
    <row r="119" spans="1:7" ht="24.95" customHeight="1">
      <c r="A119" s="1" t="s">
        <v>116</v>
      </c>
      <c r="B119" s="1" t="s">
        <v>18</v>
      </c>
      <c r="C119" s="1">
        <v>15</v>
      </c>
      <c r="D119" s="1" t="s">
        <v>109</v>
      </c>
      <c r="E119" s="1">
        <v>12</v>
      </c>
      <c r="F119" s="1" t="s">
        <v>20</v>
      </c>
      <c r="G119" s="1"/>
    </row>
    <row r="120" spans="1:7" ht="24.95" customHeight="1">
      <c r="A120" s="1" t="s">
        <v>117</v>
      </c>
      <c r="B120" s="1" t="s">
        <v>18</v>
      </c>
      <c r="C120" s="1">
        <v>53</v>
      </c>
      <c r="D120" s="1" t="s">
        <v>109</v>
      </c>
      <c r="E120" s="1">
        <v>13</v>
      </c>
      <c r="F120" s="1" t="s">
        <v>20</v>
      </c>
      <c r="G120" s="1"/>
    </row>
    <row r="121" spans="1:7" ht="24.95" customHeight="1">
      <c r="A121" s="1" t="s">
        <v>118</v>
      </c>
      <c r="B121" s="1" t="s">
        <v>18</v>
      </c>
      <c r="C121" s="1">
        <v>51</v>
      </c>
      <c r="D121" s="1" t="s">
        <v>109</v>
      </c>
      <c r="E121" s="1">
        <v>14</v>
      </c>
      <c r="F121" s="1" t="s">
        <v>20</v>
      </c>
      <c r="G121" s="1"/>
    </row>
    <row r="122" spans="1:7" ht="24.95" customHeight="1">
      <c r="A122" s="1" t="s">
        <v>119</v>
      </c>
      <c r="B122" s="1" t="s">
        <v>18</v>
      </c>
      <c r="C122" s="1">
        <v>52</v>
      </c>
      <c r="D122" s="1" t="s">
        <v>109</v>
      </c>
      <c r="E122" s="1">
        <v>15</v>
      </c>
      <c r="F122" s="1" t="s">
        <v>20</v>
      </c>
      <c r="G122" s="1"/>
    </row>
    <row r="123" spans="1:7" ht="24.95" customHeight="1">
      <c r="A123" s="1" t="s">
        <v>120</v>
      </c>
      <c r="B123" s="1" t="s">
        <v>27</v>
      </c>
      <c r="C123" s="1">
        <v>45</v>
      </c>
      <c r="D123" s="1" t="s">
        <v>109</v>
      </c>
      <c r="E123" s="1">
        <v>16</v>
      </c>
      <c r="F123" s="1" t="s">
        <v>20</v>
      </c>
      <c r="G123" s="1"/>
    </row>
    <row r="124" spans="1:7" ht="24.95" customHeight="1">
      <c r="A124" s="1" t="s">
        <v>121</v>
      </c>
      <c r="B124" s="1" t="s">
        <v>18</v>
      </c>
      <c r="C124" s="1">
        <v>54</v>
      </c>
      <c r="D124" s="1" t="s">
        <v>109</v>
      </c>
      <c r="E124" s="1">
        <v>17</v>
      </c>
      <c r="F124" s="1" t="s">
        <v>20</v>
      </c>
      <c r="G124" s="1"/>
    </row>
    <row r="125" spans="1:7" ht="24.95" customHeight="1">
      <c r="A125" s="1" t="s">
        <v>122</v>
      </c>
      <c r="B125" s="1" t="s">
        <v>18</v>
      </c>
      <c r="C125" s="1">
        <v>57</v>
      </c>
      <c r="D125" s="1" t="s">
        <v>109</v>
      </c>
      <c r="E125" s="1">
        <v>18</v>
      </c>
      <c r="F125" s="1" t="s">
        <v>20</v>
      </c>
      <c r="G125" s="1"/>
    </row>
    <row r="126" spans="1:7" ht="24.95" customHeight="1">
      <c r="A126" s="1" t="s">
        <v>123</v>
      </c>
      <c r="B126" s="1" t="s">
        <v>23</v>
      </c>
      <c r="C126" s="1">
        <v>17</v>
      </c>
      <c r="D126" s="1" t="s">
        <v>109</v>
      </c>
      <c r="E126" s="1">
        <v>19</v>
      </c>
      <c r="F126" s="1" t="s">
        <v>20</v>
      </c>
      <c r="G126" s="1"/>
    </row>
    <row r="127" spans="1:7" ht="24.95" customHeight="1">
      <c r="A127" s="1" t="s">
        <v>124</v>
      </c>
      <c r="B127" s="1" t="s">
        <v>23</v>
      </c>
      <c r="C127" s="1">
        <v>40</v>
      </c>
      <c r="D127" s="1" t="s">
        <v>109</v>
      </c>
      <c r="E127" s="1">
        <v>20</v>
      </c>
      <c r="F127" s="1" t="s">
        <v>20</v>
      </c>
      <c r="G127" s="1"/>
    </row>
    <row r="128" spans="1:7" ht="24.95" customHeight="1">
      <c r="A128" s="1" t="s">
        <v>125</v>
      </c>
      <c r="B128" s="1" t="s">
        <v>23</v>
      </c>
      <c r="C128" s="1">
        <v>24</v>
      </c>
      <c r="D128" s="1" t="s">
        <v>109</v>
      </c>
      <c r="E128" s="1">
        <v>21</v>
      </c>
      <c r="F128" s="1" t="s">
        <v>20</v>
      </c>
      <c r="G128" s="1"/>
    </row>
    <row r="129" spans="1:7" ht="24.95" customHeight="1">
      <c r="A129" s="1" t="s">
        <v>126</v>
      </c>
      <c r="B129" s="1" t="s">
        <v>23</v>
      </c>
      <c r="C129" s="1">
        <v>27</v>
      </c>
      <c r="D129" s="1" t="s">
        <v>109</v>
      </c>
      <c r="E129" s="1">
        <v>22</v>
      </c>
      <c r="F129" s="1" t="s">
        <v>20</v>
      </c>
      <c r="G129" s="1"/>
    </row>
    <row r="130" spans="1:7" ht="24.95" customHeight="1">
      <c r="A130" s="1" t="s">
        <v>127</v>
      </c>
      <c r="B130" s="1" t="s">
        <v>18</v>
      </c>
      <c r="C130" s="1">
        <v>14</v>
      </c>
      <c r="D130" s="1" t="s">
        <v>109</v>
      </c>
      <c r="E130" s="1">
        <v>23</v>
      </c>
      <c r="F130" s="1" t="s">
        <v>20</v>
      </c>
      <c r="G130" s="1"/>
    </row>
    <row r="131" spans="1:7" ht="24.95" customHeight="1">
      <c r="A131" s="1" t="s">
        <v>128</v>
      </c>
      <c r="B131" s="1" t="s">
        <v>18</v>
      </c>
      <c r="C131" s="1">
        <v>16</v>
      </c>
      <c r="D131" s="1" t="s">
        <v>109</v>
      </c>
      <c r="E131" s="1">
        <v>24</v>
      </c>
      <c r="F131" s="1" t="s">
        <v>20</v>
      </c>
      <c r="G131" s="1"/>
    </row>
    <row r="132" spans="1:7" ht="24.95" customHeight="1">
      <c r="A132" s="1" t="s">
        <v>129</v>
      </c>
      <c r="B132" s="1" t="s">
        <v>27</v>
      </c>
      <c r="C132" s="1">
        <v>11</v>
      </c>
      <c r="D132" s="1" t="s">
        <v>109</v>
      </c>
      <c r="E132" s="1">
        <v>25</v>
      </c>
      <c r="F132" s="1" t="s">
        <v>20</v>
      </c>
      <c r="G132" s="1"/>
    </row>
    <row r="133" spans="1:7" ht="24.95" customHeight="1">
      <c r="A133" s="1" t="s">
        <v>130</v>
      </c>
      <c r="B133" s="1" t="s">
        <v>27</v>
      </c>
      <c r="C133" s="1">
        <v>41</v>
      </c>
      <c r="D133" s="1" t="s">
        <v>109</v>
      </c>
      <c r="E133" s="1">
        <v>26</v>
      </c>
      <c r="F133" s="1" t="s">
        <v>20</v>
      </c>
      <c r="G133" s="1"/>
    </row>
    <row r="134" spans="1:7" ht="24.95" customHeight="1">
      <c r="A134" s="1" t="s">
        <v>131</v>
      </c>
      <c r="B134" s="1" t="s">
        <v>18</v>
      </c>
      <c r="C134" s="1">
        <v>49</v>
      </c>
      <c r="D134" s="1" t="s">
        <v>109</v>
      </c>
      <c r="E134" s="1">
        <v>27</v>
      </c>
      <c r="F134" s="1" t="s">
        <v>20</v>
      </c>
      <c r="G134" s="1"/>
    </row>
    <row r="135" spans="1:7" ht="24.95" customHeight="1">
      <c r="A135" s="1" t="s">
        <v>132</v>
      </c>
      <c r="B135" s="1" t="s">
        <v>27</v>
      </c>
      <c r="C135" s="1">
        <v>23</v>
      </c>
      <c r="D135" s="1" t="s">
        <v>109</v>
      </c>
      <c r="E135" s="1">
        <v>28</v>
      </c>
      <c r="F135" s="1" t="s">
        <v>20</v>
      </c>
      <c r="G135" s="1"/>
    </row>
    <row r="136" spans="1:7" ht="24.95" customHeight="1">
      <c r="A136" s="1" t="s">
        <v>133</v>
      </c>
      <c r="B136" s="1" t="s">
        <v>27</v>
      </c>
      <c r="C136" s="1">
        <v>24</v>
      </c>
      <c r="D136" s="1" t="s">
        <v>109</v>
      </c>
      <c r="E136" s="1">
        <v>29</v>
      </c>
      <c r="F136" s="1" t="s">
        <v>20</v>
      </c>
      <c r="G136" s="1"/>
    </row>
    <row r="137" spans="1:7" ht="24.95" customHeight="1">
      <c r="A137" s="1" t="s">
        <v>134</v>
      </c>
      <c r="B137" s="1" t="s">
        <v>27</v>
      </c>
      <c r="C137" s="1">
        <v>25</v>
      </c>
      <c r="D137" s="1" t="s">
        <v>109</v>
      </c>
      <c r="E137" s="1">
        <v>30</v>
      </c>
      <c r="F137" s="1" t="s">
        <v>20</v>
      </c>
      <c r="G137" s="1"/>
    </row>
    <row r="138" spans="1:7" ht="24.95" customHeight="1">
      <c r="A138" s="1" t="s">
        <v>135</v>
      </c>
      <c r="B138" s="1" t="s">
        <v>18</v>
      </c>
      <c r="C138" s="1">
        <v>34</v>
      </c>
      <c r="D138" s="1" t="s">
        <v>136</v>
      </c>
      <c r="E138" s="1">
        <v>5</v>
      </c>
      <c r="F138" s="1" t="s">
        <v>20</v>
      </c>
      <c r="G138" s="1"/>
    </row>
    <row r="139" spans="1:7" ht="24.95" customHeight="1">
      <c r="A139" s="1" t="s">
        <v>137</v>
      </c>
      <c r="B139" s="1" t="s">
        <v>18</v>
      </c>
      <c r="C139" s="1">
        <v>28</v>
      </c>
      <c r="D139" s="1" t="s">
        <v>136</v>
      </c>
      <c r="E139" s="1">
        <v>7</v>
      </c>
      <c r="F139" s="1" t="s">
        <v>20</v>
      </c>
      <c r="G139" s="1"/>
    </row>
    <row r="140" spans="1:7" ht="24.95" customHeight="1">
      <c r="A140" s="1" t="s">
        <v>138</v>
      </c>
      <c r="B140" s="1" t="s">
        <v>18</v>
      </c>
      <c r="C140" s="1">
        <v>29</v>
      </c>
      <c r="D140" s="1" t="s">
        <v>136</v>
      </c>
      <c r="E140" s="1">
        <v>8</v>
      </c>
      <c r="F140" s="1" t="s">
        <v>20</v>
      </c>
      <c r="G140" s="1"/>
    </row>
    <row r="141" spans="1:7" ht="24.95" customHeight="1">
      <c r="A141" s="1" t="s">
        <v>139</v>
      </c>
      <c r="B141" s="1" t="s">
        <v>18</v>
      </c>
      <c r="C141" s="1">
        <v>46</v>
      </c>
      <c r="D141" s="1" t="s">
        <v>136</v>
      </c>
      <c r="E141" s="1">
        <v>9</v>
      </c>
      <c r="F141" s="1" t="s">
        <v>20</v>
      </c>
      <c r="G141" s="1"/>
    </row>
    <row r="142" spans="1:7" ht="24.95" customHeight="1">
      <c r="A142" s="1" t="s">
        <v>140</v>
      </c>
      <c r="B142" s="1" t="s">
        <v>18</v>
      </c>
      <c r="C142" s="1">
        <v>50</v>
      </c>
      <c r="D142" s="1" t="s">
        <v>136</v>
      </c>
      <c r="E142" s="1">
        <v>13</v>
      </c>
      <c r="F142" s="1" t="s">
        <v>20</v>
      </c>
      <c r="G142" s="1"/>
    </row>
    <row r="143" spans="1:7" ht="24.95" customHeight="1">
      <c r="A143" s="1" t="s">
        <v>141</v>
      </c>
      <c r="B143" s="1" t="s">
        <v>27</v>
      </c>
      <c r="C143" s="1">
        <v>13</v>
      </c>
      <c r="D143" s="1" t="s">
        <v>136</v>
      </c>
      <c r="E143" s="1">
        <v>14</v>
      </c>
      <c r="F143" s="1" t="s">
        <v>20</v>
      </c>
      <c r="G143" s="1"/>
    </row>
    <row r="144" spans="1:7" ht="24.95" customHeight="1">
      <c r="A144" s="1" t="s">
        <v>142</v>
      </c>
      <c r="B144" s="1" t="s">
        <v>27</v>
      </c>
      <c r="C144" s="1">
        <v>35</v>
      </c>
      <c r="D144" s="1" t="s">
        <v>136</v>
      </c>
      <c r="E144" s="1">
        <v>15</v>
      </c>
      <c r="F144" s="1" t="s">
        <v>20</v>
      </c>
      <c r="G144" s="1"/>
    </row>
    <row r="145" spans="1:7" ht="24.95" customHeight="1">
      <c r="A145" s="1" t="s">
        <v>143</v>
      </c>
      <c r="B145" s="1" t="s">
        <v>27</v>
      </c>
      <c r="C145" s="1">
        <v>36</v>
      </c>
      <c r="D145" s="1" t="s">
        <v>136</v>
      </c>
      <c r="E145" s="1">
        <v>16</v>
      </c>
      <c r="F145" s="1" t="s">
        <v>20</v>
      </c>
      <c r="G145" s="1"/>
    </row>
    <row r="146" spans="1:7" ht="24.95" customHeight="1">
      <c r="A146" s="1" t="s">
        <v>144</v>
      </c>
      <c r="B146" s="1" t="s">
        <v>27</v>
      </c>
      <c r="C146" s="1">
        <v>37</v>
      </c>
      <c r="D146" s="1" t="s">
        <v>136</v>
      </c>
      <c r="E146" s="1">
        <v>17</v>
      </c>
      <c r="F146" s="1" t="s">
        <v>20</v>
      </c>
      <c r="G146" s="1"/>
    </row>
    <row r="147" spans="1:7" ht="24.95" customHeight="1">
      <c r="A147" s="1" t="s">
        <v>145</v>
      </c>
      <c r="B147" s="1" t="s">
        <v>18</v>
      </c>
      <c r="C147" s="1">
        <v>35</v>
      </c>
      <c r="D147" s="1" t="s">
        <v>136</v>
      </c>
      <c r="E147" s="1">
        <v>18</v>
      </c>
      <c r="F147" s="1" t="s">
        <v>20</v>
      </c>
      <c r="G147" s="1"/>
    </row>
    <row r="148" spans="1:7" ht="24" customHeight="1">
      <c r="A148" s="1"/>
      <c r="B148" s="1"/>
      <c r="C148" s="1"/>
      <c r="D148" s="1"/>
      <c r="E148" s="1"/>
      <c r="F148" s="1"/>
      <c r="G148" s="1"/>
    </row>
    <row r="149" spans="1:7" ht="24" customHeight="1">
      <c r="A149" s="1"/>
      <c r="B149" s="1"/>
      <c r="C149" s="1"/>
      <c r="D149" s="1"/>
      <c r="E149" s="1"/>
      <c r="F149" s="1"/>
      <c r="G149" s="1"/>
    </row>
    <row r="150" spans="1:7" ht="30" customHeight="1"/>
    <row r="151" spans="1:7" ht="42" customHeight="1"/>
    <row r="152" spans="1:7" ht="42" customHeight="1"/>
    <row r="153" spans="1:7" ht="24" customHeight="1"/>
    <row r="154" spans="1:7" ht="24" customHeight="1"/>
    <row r="155" spans="1:7" ht="24" customHeight="1"/>
    <row r="156" spans="1:7" ht="24" customHeight="1"/>
    <row r="157" spans="1:7" ht="24" customHeight="1"/>
    <row r="158" spans="1:7" ht="24" customHeight="1"/>
    <row r="159" spans="1:7" ht="24" customHeight="1"/>
    <row r="160" spans="1:7" ht="24" customHeight="1"/>
    <row r="161" ht="57.95" customHeight="1"/>
    <row r="162" ht="57.95" customHeight="1"/>
    <row r="163" ht="57.95" customHeight="1"/>
    <row r="164" ht="57.95" customHeight="1"/>
    <row r="165" ht="57.95" customHeight="1"/>
    <row r="166" ht="57.95" customHeight="1"/>
    <row r="167" ht="57.95" customHeight="1"/>
    <row r="168" ht="57.95" customHeight="1"/>
    <row r="169" ht="57.95" customHeight="1"/>
    <row r="170" ht="57.95" customHeight="1"/>
    <row r="171" ht="57.95" customHeight="1"/>
    <row r="172" ht="57.95" customHeight="1"/>
    <row r="173" ht="57.95" customHeight="1"/>
    <row r="174" ht="57.95" customHeight="1"/>
    <row r="175" ht="57.95" customHeight="1"/>
    <row r="176" ht="57.95" customHeight="1"/>
    <row r="177" ht="57.95" customHeight="1"/>
    <row r="178" ht="57.95" customHeight="1"/>
    <row r="179" ht="57.95" customHeight="1"/>
    <row r="180" ht="57.95" customHeight="1"/>
    <row r="181" ht="57.95" customHeight="1"/>
    <row r="182" ht="57.95" customHeight="1"/>
    <row r="183" ht="57.95" customHeight="1"/>
    <row r="184" ht="57.95" customHeight="1"/>
    <row r="185" ht="57.95" customHeight="1"/>
  </sheetData>
  <sheetProtection sheet="1" objects="1" scenarios="1" formatColumns="0" formatRows="0"/>
  <mergeCells count="27">
    <mergeCell ref="A1:G1"/>
    <mergeCell ref="A3:G3"/>
    <mergeCell ref="A4:G4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23:G23"/>
    <mergeCell ref="A24:G24"/>
    <mergeCell ref="A25:G25"/>
    <mergeCell ref="A26:G26"/>
    <mergeCell ref="A27:G2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17</v>
      </c>
      <c r="B5" s="6" t="str">
        <f>IF('[1]2_개행동'!B5="","",'[1]2_개행동'!B5)</f>
        <v>[입장] 방 문 통과 — 보호자보다 앞서는가</v>
      </c>
      <c r="C5" s="6" t="str">
        <f>IF('[1]2_개행동'!C5="","",'[1]2_개행동'!C5)</f>
        <v>문턱 앞 버팀·두번 이상의 유도 및 안기, ·당김은 별도 기록</v>
      </c>
      <c r="D5" s="6" t="str">
        <f>IF('[1]2_개행동'!D5="","",'[1]2_개행동'!D5)</f>
        <v>1회 이상의 유도. 자발 통과했으나 보호자 뒤에서 문턱을 넘음</v>
      </c>
      <c r="E5" s="6" t="str">
        <f>IF('[1]2_개행동'!E5="","",'[1]2_개행동'!E5)</f>
        <v>보호자와 나란히 문턱을 넘음. 보호자와 약간 뒤나 앞에 있음</v>
      </c>
      <c r="F5" s="6" t="str">
        <f>IF('[1]2_개행동'!F5="","",'[1]2_개행동'!F5)</f>
        <v>보호자보다 앞서 걸어 문턱을 넘음</v>
      </c>
      <c r="G5" s="6" t="str">
        <f>IF('[1]2_개행동'!G5="","",'[1]2_개행동'!G5)</f>
        <v>앞서 뛰거나 줄이 당겨진 채 문턱을 넘음</v>
      </c>
      <c r="H5" s="6" t="str">
        <f>IF('[1]2_개행동'!H5="","",'[1]2_개행동'!H5)</f>
        <v>환경 관찰</v>
      </c>
      <c r="I5" s="6" t="str">
        <f>IF('[1]2_개행동'!I5="","",'[1]2_개행동'!I5)</f>
        <v>양쪽·통과</v>
      </c>
      <c r="J5" s="9" t="str">
        <f>IF('[1]2_개행동'!J5="","",'[1]2_개행동'!J5)</f>
        <v/>
      </c>
      <c r="K5" s="9" t="str">
        <f>IF('[1]2_개행동'!K5="","",'[1]2_개행동'!K5)</f>
        <v/>
      </c>
      <c r="L5" s="9" t="str">
        <f>IF('[1]2_개행동'!L5="","",'[1]2_개행동'!L5)</f>
        <v/>
      </c>
      <c r="M5" s="9" t="str">
        <f>IF('[1]2_개행동'!M5="","",'[1]2_개행동'!M5)</f>
        <v/>
      </c>
      <c r="N5" s="9" t="str">
        <f>IF('[1]2_개행동'!N5="","",'[1]2_개행동'!N5)</f>
        <v/>
      </c>
      <c r="O5" s="9" t="str">
        <f>IF('[1]2_개행동'!O5="","",'[1]2_개행동'!O5)</f>
        <v/>
      </c>
      <c r="P5" s="9" t="str">
        <f>IF('[1]2_개행동'!P5="","",'[1]2_개행동'!P5)</f>
        <v/>
      </c>
      <c r="Q5" s="9" t="str">
        <f>IF('[1]2_개행동'!Q5="","",'[1]2_개행동'!Q5)</f>
        <v/>
      </c>
      <c r="R5" s="9" t="str">
        <f>IF('[1]2_개행동'!R5="","",'[1]2_개행동'!R5)</f>
        <v/>
      </c>
      <c r="S5" s="9" t="str">
        <f>IF('[1]2_개행동'!S5="","",'[1]2_개행동'!S5)</f>
        <v/>
      </c>
      <c r="T5" s="9" t="str">
        <f>IF('[1]2_개행동'!T5="","",'[1]2_개행동'!T5)</f>
        <v/>
      </c>
      <c r="U5" s="9" t="str">
        <f>IF('[1]2_개행동'!U5="","",'[1]2_개행동'!U5)</f>
        <v/>
      </c>
      <c r="V5" s="9" t="str">
        <f>IF('[1]2_개행동'!V5="","",'[1]2_개행동'!V5)</f>
        <v/>
      </c>
      <c r="W5" s="9" t="str">
        <f>IF('[1]2_개행동'!W5="","",'[1]2_개행동'!W5)</f>
        <v/>
      </c>
      <c r="X5" s="9" t="str">
        <f>IF('[1]2_개행동'!X5="","",'[1]2_개행동'!X5)</f>
        <v/>
      </c>
      <c r="Y5" s="9" t="str">
        <f>IF('[1]2_개행동'!Y5="","",'[1]2_개행동'!Y5)</f>
        <v/>
      </c>
      <c r="Z5" s="9" t="str">
        <f>IF('[1]2_개행동'!Z5="","",'[1]2_개행동'!Z5)</f>
        <v/>
      </c>
      <c r="AA5" s="9" t="str">
        <f>IF('[1]2_개행동'!AA5="","",'[1]2_개행동'!AA5)</f>
        <v/>
      </c>
      <c r="AB5" s="9" t="str">
        <f>IF('[1]2_개행동'!AB5="","",'[1]2_개행동'!AB5)</f>
        <v/>
      </c>
      <c r="AC5" s="9" t="str">
        <f>IF('[1]2_개행동'!AC5="","",'[1]2_개행동'!AC5)</f>
        <v/>
      </c>
    </row>
    <row r="6" spans="1:29" ht="80.099999999999994" customHeight="1">
      <c r="A6" s="5" t="s">
        <v>21</v>
      </c>
      <c r="B6" s="6" t="str">
        <f>IF('[1]2_개행동'!B45="","",'[1]2_개행동'!B45)</f>
        <v>[입장] 리드줄 상태 — 줄당김 체크  ※참고 · 방 문부터 의자까지 대체로 어느 쪽이었는지(물건 앞 5초 멈춤은 빼고) — 보6 · 보9 는 이 값과 따로, 당긴 장면 · 버틴 장면이 있었는지로 매깁니다</v>
      </c>
      <c r="C6" s="6" t="str">
        <f>IF('[1]2_개행동'!C45="","",'[1]2_개행동'!C45)</f>
        <v>뒤에서 버텨 줄이 뒤로 팽팽함</v>
      </c>
      <c r="D6" s="6" t="str">
        <f>IF('[1]2_개행동'!D45="","",'[1]2_개행동'!D45)</f>
        <v>뒤처져 따라옴 · 줄은 느슨함</v>
      </c>
      <c r="E6" s="6" t="str">
        <f>IF('[1]2_개행동'!E45="","",'[1]2_개행동'!E45)</f>
        <v>옆에서 잘 감 · 줄이 느슨함</v>
      </c>
      <c r="F6" s="6" t="str">
        <f>IF('[1]2_개행동'!F45="","",'[1]2_개행동'!F45)</f>
        <v>앞에서 팽팽했다 느슨했다를 반복</v>
      </c>
      <c r="G6" s="6" t="str">
        <f>IF('[1]2_개행동'!G45="","",'[1]2_개행동'!G45)</f>
        <v>앞에서 계속 당겨 줄이 팽팽함</v>
      </c>
      <c r="H6" s="6" t="str">
        <f>IF('[1]2_개행동'!H45="","",'[1]2_개행동'!H45)</f>
        <v>— 참고 (보6 · 보9 조건 확인)</v>
      </c>
      <c r="I6" s="6" t="str">
        <f>IF('[1]2_개행동'!I45="","",'[1]2_개행동'!I45)</f>
        <v>참고</v>
      </c>
      <c r="J6" s="9" t="str">
        <f>IF('[1]2_개행동'!J45="","",'[1]2_개행동'!J45)</f>
        <v/>
      </c>
      <c r="K6" s="9" t="str">
        <f>IF('[1]2_개행동'!K45="","",'[1]2_개행동'!K45)</f>
        <v/>
      </c>
      <c r="L6" s="9" t="str">
        <f>IF('[1]2_개행동'!L45="","",'[1]2_개행동'!L45)</f>
        <v/>
      </c>
      <c r="M6" s="9" t="str">
        <f>IF('[1]2_개행동'!M45="","",'[1]2_개행동'!M45)</f>
        <v/>
      </c>
      <c r="N6" s="9" t="str">
        <f>IF('[1]2_개행동'!N45="","",'[1]2_개행동'!N45)</f>
        <v/>
      </c>
      <c r="O6" s="9" t="str">
        <f>IF('[1]2_개행동'!O45="","",'[1]2_개행동'!O45)</f>
        <v/>
      </c>
      <c r="P6" s="9" t="str">
        <f>IF('[1]2_개행동'!P45="","",'[1]2_개행동'!P45)</f>
        <v/>
      </c>
      <c r="Q6" s="9" t="str">
        <f>IF('[1]2_개행동'!Q45="","",'[1]2_개행동'!Q45)</f>
        <v/>
      </c>
      <c r="R6" s="9" t="str">
        <f>IF('[1]2_개행동'!R45="","",'[1]2_개행동'!R45)</f>
        <v/>
      </c>
      <c r="S6" s="9" t="str">
        <f>IF('[1]2_개행동'!S45="","",'[1]2_개행동'!S45)</f>
        <v/>
      </c>
      <c r="T6" s="9" t="str">
        <f>IF('[1]2_개행동'!T45="","",'[1]2_개행동'!T45)</f>
        <v/>
      </c>
      <c r="U6" s="9" t="str">
        <f>IF('[1]2_개행동'!U45="","",'[1]2_개행동'!U45)</f>
        <v/>
      </c>
      <c r="V6" s="9" t="str">
        <f>IF('[1]2_개행동'!V45="","",'[1]2_개행동'!V45)</f>
        <v/>
      </c>
      <c r="W6" s="9" t="str">
        <f>IF('[1]2_개행동'!W45="","",'[1]2_개행동'!W45)</f>
        <v/>
      </c>
      <c r="X6" s="9" t="str">
        <f>IF('[1]2_개행동'!X45="","",'[1]2_개행동'!X45)</f>
        <v/>
      </c>
      <c r="Y6" s="9" t="str">
        <f>IF('[1]2_개행동'!Y45="","",'[1]2_개행동'!Y45)</f>
        <v/>
      </c>
      <c r="Z6" s="9" t="str">
        <f>IF('[1]2_개행동'!Z45="","",'[1]2_개행동'!Z45)</f>
        <v/>
      </c>
      <c r="AA6" s="9" t="str">
        <f>IF('[1]2_개행동'!AA45="","",'[1]2_개행동'!AA45)</f>
        <v/>
      </c>
      <c r="AB6" s="9" t="str">
        <f>IF('[1]2_개행동'!AB45="","",'[1]2_개행동'!AB45)</f>
        <v/>
      </c>
      <c r="AC6" s="9" t="str">
        <f>IF('[1]2_개행동'!AC45="","",'[1]2_개행동'!AC45)</f>
        <v/>
      </c>
    </row>
    <row r="7" spans="1:29" ht="111.95" customHeight="1">
      <c r="A7" s="5" t="s">
        <v>22</v>
      </c>
      <c r="B7" s="6" t="str">
        <f>IF('[1]3_보호자행동'!B5="","",'[1]3_보호자행동'!B5)</f>
        <v>앞에서 줄을 당길 때의 요청 표현. 실제 발화로 −1/0/+1 분류. 음량·어조·반복은 별도 메모. 발화 없음·요청 없음·판독 불가·기회 없음은 빈칸+사유. 여러 사건의 건수·시각은 개59에 기록.</v>
      </c>
      <c r="C7" s="6" t="str">
        <f>IF('[1]3_보호자행동'!C5="","",'[1]3_보호자행동'!C5)</f>
        <v>−2 미사용</v>
      </c>
      <c r="D7" s="6" t="str">
        <f>IF('[1]3_보호자행동'!D5="","",'[1]3_보호자행동'!D5)</f>
        <v>−1 부탁·제안: 질문·청유·부탁으로 행동 요청. 예: “와 줄래?”, “같이 가자”. 같은 사건에서 직접 지시 없음.</v>
      </c>
      <c r="E7" s="6" t="str">
        <f>IF('[1]3_보호자행동'!E5="","",'[1]3_보호자행동'!E5)</f>
        <v>0 혼합: 같은 당김 사건에서 부탁·제안과 직접 지시가 모두 확인됨. 순서 기록. 미발화·모호함을 0으로 넣지 않음.</v>
      </c>
      <c r="F7" s="6" t="str">
        <f>IF('[1]3_보호자행동'!F5="","",'[1]3_보호자행동'!F5)</f>
        <v>+1 직접 지시: 할 행동·멈출 행동을 직접 말함. 예: “기다려”, “이리 와”, “당기지 마”. 같은 사건에서 부탁·제안 없음.</v>
      </c>
      <c r="G7" s="6" t="str">
        <f>IF('[1]3_보호자행동'!G5="","",'[1]3_보호자행동'!G5)</f>
        <v>+2 미사용</v>
      </c>
      <c r="H7" s="6" t="str">
        <f>IF('[1]3_보호자행동'!H5="","",'[1]3_보호자행동'!H5)</f>
        <v>보호자 상호작용 · 보조 근거</v>
      </c>
      <c r="I7" s="6" t="str">
        <f>IF('[1]3_보호자행동'!I5="","",'[1]3_보호자행동'!I5)</f>
        <v>범주 · 요청 표현</v>
      </c>
      <c r="J7" s="9" t="str">
        <f>IF('[1]3_보호자행동'!J5="","",'[1]3_보호자행동'!J5)</f>
        <v/>
      </c>
      <c r="K7" s="9" t="str">
        <f>IF('[1]3_보호자행동'!K5="","",'[1]3_보호자행동'!K5)</f>
        <v/>
      </c>
      <c r="L7" s="9" t="str">
        <f>IF('[1]3_보호자행동'!L5="","",'[1]3_보호자행동'!L5)</f>
        <v/>
      </c>
      <c r="M7" s="9" t="str">
        <f>IF('[1]3_보호자행동'!M5="","",'[1]3_보호자행동'!M5)</f>
        <v/>
      </c>
      <c r="N7" s="9" t="str">
        <f>IF('[1]3_보호자행동'!N5="","",'[1]3_보호자행동'!N5)</f>
        <v/>
      </c>
      <c r="O7" s="9" t="str">
        <f>IF('[1]3_보호자행동'!O5="","",'[1]3_보호자행동'!O5)</f>
        <v/>
      </c>
      <c r="P7" s="9" t="str">
        <f>IF('[1]3_보호자행동'!P5="","",'[1]3_보호자행동'!P5)</f>
        <v/>
      </c>
      <c r="Q7" s="9" t="str">
        <f>IF('[1]3_보호자행동'!Q5="","",'[1]3_보호자행동'!Q5)</f>
        <v/>
      </c>
      <c r="R7" s="9" t="str">
        <f>IF('[1]3_보호자행동'!R5="","",'[1]3_보호자행동'!R5)</f>
        <v/>
      </c>
      <c r="S7" s="9" t="str">
        <f>IF('[1]3_보호자행동'!S5="","",'[1]3_보호자행동'!S5)</f>
        <v/>
      </c>
      <c r="T7" s="9" t="str">
        <f>IF('[1]3_보호자행동'!T5="","",'[1]3_보호자행동'!T5)</f>
        <v/>
      </c>
      <c r="U7" s="9" t="str">
        <f>IF('[1]3_보호자행동'!U5="","",'[1]3_보호자행동'!U5)</f>
        <v/>
      </c>
      <c r="V7" s="9" t="str">
        <f>IF('[1]3_보호자행동'!V5="","",'[1]3_보호자행동'!V5)</f>
        <v/>
      </c>
      <c r="W7" s="9" t="str">
        <f>IF('[1]3_보호자행동'!W5="","",'[1]3_보호자행동'!W5)</f>
        <v/>
      </c>
      <c r="X7" s="9" t="str">
        <f>IF('[1]3_보호자행동'!X5="","",'[1]3_보호자행동'!X5)</f>
        <v/>
      </c>
      <c r="Y7" s="9" t="str">
        <f>IF('[1]3_보호자행동'!Y5="","",'[1]3_보호자행동'!Y5)</f>
        <v/>
      </c>
      <c r="Z7" s="9" t="str">
        <f>IF('[1]3_보호자행동'!Z5="","",'[1]3_보호자행동'!Z5)</f>
        <v/>
      </c>
      <c r="AA7" s="9" t="str">
        <f>IF('[1]3_보호자행동'!AA5="","",'[1]3_보호자행동'!AA5)</f>
        <v/>
      </c>
      <c r="AB7" s="9" t="str">
        <f>IF('[1]3_보호자행동'!AB5="","",'[1]3_보호자행동'!AB5)</f>
        <v/>
      </c>
      <c r="AC7" s="9" t="str">
        <f>IF('[1]3_보호자행동'!AC5="","",'[1]3_보호자행동'!AC5)</f>
        <v/>
      </c>
    </row>
    <row r="8" spans="1:29" ht="63.95" customHeight="1">
      <c r="A8" s="5" t="s">
        <v>24</v>
      </c>
      <c r="B8" s="6" t="str">
        <f>IF('[1]3_보호자행동'!B6="","",'[1]3_보호자행동'!B6)</f>
        <v>앞에서 당기는 개에 대한 줄 대처 ※당김이 발생한 사건. 줄 팽팽함의 원인을 보호자 힘으로 추정하지 않음. 복수 사건은 개59 또는 보25~27에 시각·상반 반응 기록.</v>
      </c>
      <c r="C8" s="6" t="str">
        <f>IF('[1]3_보호자행동'!C6="","",'[1]3_보호자행동'!C6)</f>
        <v>개가 가는 쪽으로 보호자가 이동해 줄 길이·거리를 맞춤</v>
      </c>
      <c r="D8" s="6" t="str">
        <f>IF('[1]3_보호자행동'!D6="","",'[1]3_보호자행동'!D6)</f>
        <v>현 위치에서 멈추어 기다림; 보호자가 줄을 당겨 이동시키지 않음</v>
      </c>
      <c r="E8" s="6" t="str">
        <f>IF('[1]3_보호자행동'!E6="","",'[1]3_보호자행동'!E6)</f>
        <v>멈추어 부르거나 유도한 뒤 개가 돌아오면 이동</v>
      </c>
      <c r="F8" s="6" t="str">
        <f>IF('[1]3_보호자행동'!F6="","",'[1]3_보호자행동'!F6)</f>
        <v>줄을 짧게 당긴 뒤 즉시 풀어 줌</v>
      </c>
      <c r="G8" s="6" t="str">
        <f>IF('[1]3_보호자행동'!G6="","",'[1]3_보호자행동'!G6)</f>
        <v>당긴 줄을 유지하거나 반복 당겨 개 몸을 이동시킴</v>
      </c>
      <c r="H8" s="6" t="str">
        <f>IF('[1]3_보호자행동'!H6="","",'[1]3_보호자행동'!H6)</f>
        <v>보호자 상호작용 · 개별</v>
      </c>
      <c r="I8" s="6" t="str">
        <f>IF('[1]3_보호자행동'!I6="","",'[1]3_보호자행동'!I6)</f>
        <v>양쪽 · 개입 정도</v>
      </c>
      <c r="J8" s="9" t="str">
        <f>IF('[1]3_보호자행동'!J6="","",'[1]3_보호자행동'!J6)</f>
        <v/>
      </c>
      <c r="K8" s="9" t="str">
        <f>IF('[1]3_보호자행동'!K6="","",'[1]3_보호자행동'!K6)</f>
        <v/>
      </c>
      <c r="L8" s="9" t="str">
        <f>IF('[1]3_보호자행동'!L6="","",'[1]3_보호자행동'!L6)</f>
        <v/>
      </c>
      <c r="M8" s="9" t="str">
        <f>IF('[1]3_보호자행동'!M6="","",'[1]3_보호자행동'!M6)</f>
        <v/>
      </c>
      <c r="N8" s="9" t="str">
        <f>IF('[1]3_보호자행동'!N6="","",'[1]3_보호자행동'!N6)</f>
        <v/>
      </c>
      <c r="O8" s="9" t="str">
        <f>IF('[1]3_보호자행동'!O6="","",'[1]3_보호자행동'!O6)</f>
        <v/>
      </c>
      <c r="P8" s="9" t="str">
        <f>IF('[1]3_보호자행동'!P6="","",'[1]3_보호자행동'!P6)</f>
        <v/>
      </c>
      <c r="Q8" s="9" t="str">
        <f>IF('[1]3_보호자행동'!Q6="","",'[1]3_보호자행동'!Q6)</f>
        <v/>
      </c>
      <c r="R8" s="9" t="str">
        <f>IF('[1]3_보호자행동'!R6="","",'[1]3_보호자행동'!R6)</f>
        <v/>
      </c>
      <c r="S8" s="9" t="str">
        <f>IF('[1]3_보호자행동'!S6="","",'[1]3_보호자행동'!S6)</f>
        <v/>
      </c>
      <c r="T8" s="9" t="str">
        <f>IF('[1]3_보호자행동'!T6="","",'[1]3_보호자행동'!T6)</f>
        <v/>
      </c>
      <c r="U8" s="9" t="str">
        <f>IF('[1]3_보호자행동'!U6="","",'[1]3_보호자행동'!U6)</f>
        <v/>
      </c>
      <c r="V8" s="9" t="str">
        <f>IF('[1]3_보호자행동'!V6="","",'[1]3_보호자행동'!V6)</f>
        <v/>
      </c>
      <c r="W8" s="9" t="str">
        <f>IF('[1]3_보호자행동'!W6="","",'[1]3_보호자행동'!W6)</f>
        <v/>
      </c>
      <c r="X8" s="9" t="str">
        <f>IF('[1]3_보호자행동'!X6="","",'[1]3_보호자행동'!X6)</f>
        <v/>
      </c>
      <c r="Y8" s="9" t="str">
        <f>IF('[1]3_보호자행동'!Y6="","",'[1]3_보호자행동'!Y6)</f>
        <v/>
      </c>
      <c r="Z8" s="9" t="str">
        <f>IF('[1]3_보호자행동'!Z6="","",'[1]3_보호자행동'!Z6)</f>
        <v/>
      </c>
      <c r="AA8" s="9" t="str">
        <f>IF('[1]3_보호자행동'!AA6="","",'[1]3_보호자행동'!AA6)</f>
        <v/>
      </c>
      <c r="AB8" s="9" t="str">
        <f>IF('[1]3_보호자행동'!AB6="","",'[1]3_보호자행동'!AB6)</f>
        <v/>
      </c>
      <c r="AC8" s="9" t="str">
        <f>IF('[1]3_보호자행동'!AC6="","",'[1]3_보호자행동'!AC6)</f>
        <v/>
      </c>
    </row>
    <row r="9" spans="1:29" ht="63.95" customHeight="1">
      <c r="A9" s="5" t="s">
        <v>25</v>
      </c>
      <c r="B9" s="6" t="str">
        <f>IF('[1]3_보호자행동'!B9="","",'[1]3_보호자행동'!B9)</f>
        <v>뒤처지거나 버티는 개에 대한 줄 대처 ※버팀 사건이 있을 때. 안아 옮김은 이 축과 별도 메모. 복수 반응은 사건별 시각을 남기고 주된 반응을 선택.</v>
      </c>
      <c r="C9" s="6" t="str">
        <f>IF('[1]3_보호자행동'!C9="","",'[1]3_보호자행동'!C9)</f>
        <v>개 쪽으로 되돌아가 줄을 느슨하게 함</v>
      </c>
      <c r="D9" s="6" t="str">
        <f>IF('[1]3_보호자행동'!D9="","",'[1]3_보호자행동'!D9)</f>
        <v>현 위치에서 줄을 느슨하게 두고 기다림</v>
      </c>
      <c r="E9" s="6" t="str">
        <f>IF('[1]3_보호자행동'!E9="","",'[1]3_보호자행동'!E9)</f>
        <v>줄이 느슨한 상태에서 말·허용된 유도 수단으로 이동을 요청</v>
      </c>
      <c r="F9" s="6" t="str">
        <f>IF('[1]3_보호자행동'!F9="","",'[1]3_보호자행동'!F9)</f>
        <v>줄을 짧게 당겼다 풀어 이동을 요청</v>
      </c>
      <c r="G9" s="6" t="str">
        <f>IF('[1]3_보호자행동'!G9="","",'[1]3_보호자행동'!G9)</f>
        <v>줄을 당긴 상태로 유지해 개 몸을 이동시킴</v>
      </c>
      <c r="H9" s="6" t="str">
        <f>IF('[1]3_보호자행동'!H9="","",'[1]3_보호자행동'!H9)</f>
        <v>보호자 상호작용 · 개별</v>
      </c>
      <c r="I9" s="6" t="str">
        <f>IF('[1]3_보호자행동'!I9="","",'[1]3_보호자행동'!I9)</f>
        <v>양쪽 · 개입 정도</v>
      </c>
      <c r="J9" s="9" t="str">
        <f>IF('[1]3_보호자행동'!J9="","",'[1]3_보호자행동'!J9)</f>
        <v/>
      </c>
      <c r="K9" s="9" t="str">
        <f>IF('[1]3_보호자행동'!K9="","",'[1]3_보호자행동'!K9)</f>
        <v/>
      </c>
      <c r="L9" s="9" t="str">
        <f>IF('[1]3_보호자행동'!L9="","",'[1]3_보호자행동'!L9)</f>
        <v/>
      </c>
      <c r="M9" s="9" t="str">
        <f>IF('[1]3_보호자행동'!M9="","",'[1]3_보호자행동'!M9)</f>
        <v/>
      </c>
      <c r="N9" s="9" t="str">
        <f>IF('[1]3_보호자행동'!N9="","",'[1]3_보호자행동'!N9)</f>
        <v/>
      </c>
      <c r="O9" s="9" t="str">
        <f>IF('[1]3_보호자행동'!O9="","",'[1]3_보호자행동'!O9)</f>
        <v/>
      </c>
      <c r="P9" s="9" t="str">
        <f>IF('[1]3_보호자행동'!P9="","",'[1]3_보호자행동'!P9)</f>
        <v/>
      </c>
      <c r="Q9" s="9" t="str">
        <f>IF('[1]3_보호자행동'!Q9="","",'[1]3_보호자행동'!Q9)</f>
        <v/>
      </c>
      <c r="R9" s="9" t="str">
        <f>IF('[1]3_보호자행동'!R9="","",'[1]3_보호자행동'!R9)</f>
        <v/>
      </c>
      <c r="S9" s="9" t="str">
        <f>IF('[1]3_보호자행동'!S9="","",'[1]3_보호자행동'!S9)</f>
        <v/>
      </c>
      <c r="T9" s="9" t="str">
        <f>IF('[1]3_보호자행동'!T9="","",'[1]3_보호자행동'!T9)</f>
        <v/>
      </c>
      <c r="U9" s="9" t="str">
        <f>IF('[1]3_보호자행동'!U9="","",'[1]3_보호자행동'!U9)</f>
        <v/>
      </c>
      <c r="V9" s="9" t="str">
        <f>IF('[1]3_보호자행동'!V9="","",'[1]3_보호자행동'!V9)</f>
        <v/>
      </c>
      <c r="W9" s="9" t="str">
        <f>IF('[1]3_보호자행동'!W9="","",'[1]3_보호자행동'!W9)</f>
        <v/>
      </c>
      <c r="X9" s="9" t="str">
        <f>IF('[1]3_보호자행동'!X9="","",'[1]3_보호자행동'!X9)</f>
        <v/>
      </c>
      <c r="Y9" s="9" t="str">
        <f>IF('[1]3_보호자행동'!Y9="","",'[1]3_보호자행동'!Y9)</f>
        <v/>
      </c>
      <c r="Z9" s="9" t="str">
        <f>IF('[1]3_보호자행동'!Z9="","",'[1]3_보호자행동'!Z9)</f>
        <v/>
      </c>
      <c r="AA9" s="9" t="str">
        <f>IF('[1]3_보호자행동'!AA9="","",'[1]3_보호자행동'!AA9)</f>
        <v/>
      </c>
      <c r="AB9" s="9" t="str">
        <f>IF('[1]3_보호자행동'!AB9="","",'[1]3_보호자행동'!AB9)</f>
        <v/>
      </c>
      <c r="AC9" s="9" t="str">
        <f>IF('[1]3_보호자행동'!AC9="","",'[1]3_보호자행동'!AC9)</f>
        <v/>
      </c>
    </row>
    <row r="10" spans="1:29" ht="63.95" customHeight="1">
      <c r="A10" s="5" t="s">
        <v>26</v>
      </c>
      <c r="B10" s="6" t="str">
        <f>IF('[1]1_바디시그널'!B5="","",'[1]1_바디시그널'!B5)</f>
        <v>[입장] 꼬리 — 위치 ※형태 관찰. 기준 20초(바38)와 원값을 나란히 봄. 기준도 낯선 장소에서의 상태이며 평소 꼬리가 아님. 가림·단미 등 판독 불가면 빈칸.</v>
      </c>
      <c r="C10" s="6" t="str">
        <f>IF('[1]1_바디시그널'!C5="","",'[1]1_바디시그널'!C5)</f>
        <v>다리 사이로 말아 넣음</v>
      </c>
      <c r="D10" s="6" t="str">
        <f>IF('[1]1_바디시그널'!D5="","",'[1]1_바디시그널'!D5)</f>
        <v>등선보다 아래로 늘어뜨림 — 꼬리끝이 바닥을 가리킴</v>
      </c>
      <c r="E10" s="6" t="str">
        <f>IF('[1]1_바디시그널'!E5="","",'[1]1_바디시그널'!E5)</f>
        <v>등선 높이 — 꼬리끝이 바닥보다 위</v>
      </c>
      <c r="F10" s="6" t="str">
        <f>IF('[1]1_바디시그널'!F5="","",'[1]1_바디시그널'!F5)</f>
        <v>등선보다 높이 올라옴</v>
      </c>
      <c r="G10" s="6" t="str">
        <f>IF('[1]1_바디시그널'!G5="","",'[1]1_바디시그널'!G5)</f>
        <v>등 위로 높이 세우거나 말아 올림</v>
      </c>
      <c r="H10" s="6" t="str">
        <f>IF('[1]1_바디시그널'!H5="","",'[1]1_바디시그널'!H5)</f>
        <v>별도 관찰 · 꼬리 형태</v>
      </c>
      <c r="I10" s="6" t="str">
        <f>IF('[1]1_바디시그널'!I5="","",'[1]1_바디시그널'!I5)</f>
        <v>양쪽·위치</v>
      </c>
      <c r="J10" s="9" t="str">
        <f>IF('[1]1_바디시그널'!J5="","",'[1]1_바디시그널'!J5)</f>
        <v/>
      </c>
      <c r="K10" s="9" t="str">
        <f>IF('[1]1_바디시그널'!K5="","",'[1]1_바디시그널'!K5)</f>
        <v/>
      </c>
      <c r="L10" s="9" t="str">
        <f>IF('[1]1_바디시그널'!L5="","",'[1]1_바디시그널'!L5)</f>
        <v/>
      </c>
      <c r="M10" s="9" t="str">
        <f>IF('[1]1_바디시그널'!M5="","",'[1]1_바디시그널'!M5)</f>
        <v/>
      </c>
      <c r="N10" s="9" t="str">
        <f>IF('[1]1_바디시그널'!N5="","",'[1]1_바디시그널'!N5)</f>
        <v/>
      </c>
      <c r="O10" s="9" t="str">
        <f>IF('[1]1_바디시그널'!O5="","",'[1]1_바디시그널'!O5)</f>
        <v/>
      </c>
      <c r="P10" s="9" t="str">
        <f>IF('[1]1_바디시그널'!P5="","",'[1]1_바디시그널'!P5)</f>
        <v/>
      </c>
      <c r="Q10" s="9" t="str">
        <f>IF('[1]1_바디시그널'!Q5="","",'[1]1_바디시그널'!Q5)</f>
        <v/>
      </c>
      <c r="R10" s="9" t="str">
        <f>IF('[1]1_바디시그널'!R5="","",'[1]1_바디시그널'!R5)</f>
        <v/>
      </c>
      <c r="S10" s="9" t="str">
        <f>IF('[1]1_바디시그널'!S5="","",'[1]1_바디시그널'!S5)</f>
        <v/>
      </c>
      <c r="T10" s="9" t="str">
        <f>IF('[1]1_바디시그널'!T5="","",'[1]1_바디시그널'!T5)</f>
        <v/>
      </c>
      <c r="U10" s="9" t="str">
        <f>IF('[1]1_바디시그널'!U5="","",'[1]1_바디시그널'!U5)</f>
        <v/>
      </c>
      <c r="V10" s="9" t="str">
        <f>IF('[1]1_바디시그널'!V5="","",'[1]1_바디시그널'!V5)</f>
        <v/>
      </c>
      <c r="W10" s="9" t="str">
        <f>IF('[1]1_바디시그널'!W5="","",'[1]1_바디시그널'!W5)</f>
        <v/>
      </c>
      <c r="X10" s="9" t="str">
        <f>IF('[1]1_바디시그널'!X5="","",'[1]1_바디시그널'!X5)</f>
        <v/>
      </c>
      <c r="Y10" s="9" t="str">
        <f>IF('[1]1_바디시그널'!Y5="","",'[1]1_바디시그널'!Y5)</f>
        <v/>
      </c>
      <c r="Z10" s="9" t="str">
        <f>IF('[1]1_바디시그널'!Z5="","",'[1]1_바디시그널'!Z5)</f>
        <v/>
      </c>
      <c r="AA10" s="9" t="str">
        <f>IF('[1]1_바디시그널'!AA5="","",'[1]1_바디시그널'!AA5)</f>
        <v/>
      </c>
      <c r="AB10" s="9" t="str">
        <f>IF('[1]1_바디시그널'!AB5="","",'[1]1_바디시그널'!AB5)</f>
        <v/>
      </c>
      <c r="AC10" s="9" t="str">
        <f>IF('[1]1_바디시그널'!AC5="","",'[1]1_바디시그널'!AC5)</f>
        <v/>
      </c>
    </row>
    <row r="11" spans="1:29" ht="63.95" customHeight="1">
      <c r="A11" s="5" t="s">
        <v>28</v>
      </c>
      <c r="B11" s="6" t="str">
        <f>IF('[1]1_바디시그널'!B6="","",'[1]1_바디시그널'!B6)</f>
        <v>[입장] 발성량 ※0~3 시간 비중 · 입장 전체. 못 들으면 빈칸; 0은 들었으나 없음. 종류·시각·관찰 초는 메모. 꼬리로 소리 의미를 정하지 않음.</v>
      </c>
      <c r="C11" s="6" t="str">
        <f>IF('[1]1_바디시그널'!C6="","",'[1]1_바디시그널'!C6)</f>
        <v>0 — 발성 없음</v>
      </c>
      <c r="D11" s="6" t="str">
        <f>IF('[1]1_바디시그널'!D6="","",'[1]1_바디시그널'!D6)</f>
        <v>1 — 발성 누적 비중 0 초과~1/3 이하</v>
      </c>
      <c r="E11" s="6" t="str">
        <f>IF('[1]1_바디시그널'!E6="","",'[1]1_바디시그널'!E6)</f>
        <v>2 — 1/3 초과~2/3 이하</v>
      </c>
      <c r="F11" s="6" t="str">
        <f>IF('[1]1_바디시그널'!F6="","",'[1]1_바디시그널'!F6)</f>
        <v>3 — 2/3 초과</v>
      </c>
      <c r="G11" s="6" t="str">
        <f>IF('[1]1_바디시그널'!G6="","",'[1]1_바디시그널'!G6)</f>
        <v/>
      </c>
      <c r="H11" s="6" t="str">
        <f>IF('[1]1_바디시그널'!H6="","",'[1]1_바디시그널'!H6)</f>
        <v>별도 관찰 · 발성</v>
      </c>
      <c r="I11" s="6" t="str">
        <f>IF('[1]1_바디시그널'!I6="","",'[1]1_바디시그널'!I6)</f>
        <v>한쪽·발성량</v>
      </c>
      <c r="J11" s="9" t="str">
        <f>IF('[1]1_바디시그널'!J6="","",'[1]1_바디시그널'!J6)</f>
        <v/>
      </c>
      <c r="K11" s="9" t="str">
        <f>IF('[1]1_바디시그널'!K6="","",'[1]1_바디시그널'!K6)</f>
        <v/>
      </c>
      <c r="L11" s="9" t="str">
        <f>IF('[1]1_바디시그널'!L6="","",'[1]1_바디시그널'!L6)</f>
        <v/>
      </c>
      <c r="M11" s="9" t="str">
        <f>IF('[1]1_바디시그널'!M6="","",'[1]1_바디시그널'!M6)</f>
        <v/>
      </c>
      <c r="N11" s="9" t="str">
        <f>IF('[1]1_바디시그널'!N6="","",'[1]1_바디시그널'!N6)</f>
        <v/>
      </c>
      <c r="O11" s="9" t="str">
        <f>IF('[1]1_바디시그널'!O6="","",'[1]1_바디시그널'!O6)</f>
        <v/>
      </c>
      <c r="P11" s="9" t="str">
        <f>IF('[1]1_바디시그널'!P6="","",'[1]1_바디시그널'!P6)</f>
        <v/>
      </c>
      <c r="Q11" s="9" t="str">
        <f>IF('[1]1_바디시그널'!Q6="","",'[1]1_바디시그널'!Q6)</f>
        <v/>
      </c>
      <c r="R11" s="9" t="str">
        <f>IF('[1]1_바디시그널'!R6="","",'[1]1_바디시그널'!R6)</f>
        <v/>
      </c>
      <c r="S11" s="9" t="str">
        <f>IF('[1]1_바디시그널'!S6="","",'[1]1_바디시그널'!S6)</f>
        <v/>
      </c>
      <c r="T11" s="9" t="str">
        <f>IF('[1]1_바디시그널'!T6="","",'[1]1_바디시그널'!T6)</f>
        <v/>
      </c>
      <c r="U11" s="9" t="str">
        <f>IF('[1]1_바디시그널'!U6="","",'[1]1_바디시그널'!U6)</f>
        <v/>
      </c>
      <c r="V11" s="9" t="str">
        <f>IF('[1]1_바디시그널'!V6="","",'[1]1_바디시그널'!V6)</f>
        <v/>
      </c>
      <c r="W11" s="9" t="str">
        <f>IF('[1]1_바디시그널'!W6="","",'[1]1_바디시그널'!W6)</f>
        <v/>
      </c>
      <c r="X11" s="9" t="str">
        <f>IF('[1]1_바디시그널'!X6="","",'[1]1_바디시그널'!X6)</f>
        <v/>
      </c>
      <c r="Y11" s="9" t="str">
        <f>IF('[1]1_바디시그널'!Y6="","",'[1]1_바디시그널'!Y6)</f>
        <v/>
      </c>
      <c r="Z11" s="9" t="str">
        <f>IF('[1]1_바디시그널'!Z6="","",'[1]1_바디시그널'!Z6)</f>
        <v/>
      </c>
      <c r="AA11" s="9" t="str">
        <f>IF('[1]1_바디시그널'!AA6="","",'[1]1_바디시그널'!AA6)</f>
        <v/>
      </c>
      <c r="AB11" s="9" t="str">
        <f>IF('[1]1_바디시그널'!AB6="","",'[1]1_바디시그널'!AB6)</f>
        <v/>
      </c>
      <c r="AC11" s="9" t="str">
        <f>IF('[1]1_바디시그널'!AC6="","",'[1]1_바디시그널'!AC6)</f>
        <v/>
      </c>
    </row>
    <row r="12" spans="1:29" ht="60" customHeight="1">
      <c r="A12" s="5" t="s">
        <v>29</v>
      </c>
      <c r="B12" s="6" t="str">
        <f>IF('[1]2_개행동'!B6="","",'[1]2_개행동'!B6)</f>
        <v>[입장] 비닐 바닥 통과 ※눈에 보인 움직임만 기록. 뛰어서 지난 이유·바닥을 인식했는지는 단정하지 않음.</v>
      </c>
      <c r="C12" s="6" t="str">
        <f>IF('[1]2_개행동'!C6="","",'[1]2_개행동'!C6)</f>
        <v>바닥 앞 버팀, 두번 이상의 유도 및 안기</v>
      </c>
      <c r="D12" s="6" t="str">
        <f>IF('[1]2_개행동'!D6="","",'[1]2_개행동'!D6)</f>
        <v>멈춰 머뭇거린 뒤 천천히 밟음</v>
      </c>
      <c r="E12" s="6" t="str">
        <f>IF('[1]2_개행동'!E6="","",'[1]2_개행동'!E6)</f>
        <v>바닥을 살핀 뒤 멈춤 없이 스스로 걸어감</v>
      </c>
      <c r="F12" s="6" t="str">
        <f>IF('[1]2_개행동'!F6="","",'[1]2_개행동'!F6)</f>
        <v>바닥을 살피는 모습 없이 걸어감</v>
      </c>
      <c r="G12" s="6" t="str">
        <f>IF('[1]2_개행동'!G6="","",'[1]2_개행동'!G6)</f>
        <v>달리거나 뛰어 바닥을 통과</v>
      </c>
      <c r="H12" s="6" t="str">
        <f>IF('[1]2_개행동'!H6="","",'[1]2_개행동'!H6)</f>
        <v>환경 관찰</v>
      </c>
      <c r="I12" s="6" t="str">
        <f>IF('[1]2_개행동'!I6="","",'[1]2_개행동'!I6)</f>
        <v>양쪽·살핌</v>
      </c>
      <c r="J12" s="9" t="str">
        <f>IF('[1]2_개행동'!J6="","",'[1]2_개행동'!J6)</f>
        <v/>
      </c>
      <c r="K12" s="9" t="str">
        <f>IF('[1]2_개행동'!K6="","",'[1]2_개행동'!K6)</f>
        <v/>
      </c>
      <c r="L12" s="9" t="str">
        <f>IF('[1]2_개행동'!L6="","",'[1]2_개행동'!L6)</f>
        <v/>
      </c>
      <c r="M12" s="9" t="str">
        <f>IF('[1]2_개행동'!M6="","",'[1]2_개행동'!M6)</f>
        <v/>
      </c>
      <c r="N12" s="9" t="str">
        <f>IF('[1]2_개행동'!N6="","",'[1]2_개행동'!N6)</f>
        <v/>
      </c>
      <c r="O12" s="9" t="str">
        <f>IF('[1]2_개행동'!O6="","",'[1]2_개행동'!O6)</f>
        <v/>
      </c>
      <c r="P12" s="9" t="str">
        <f>IF('[1]2_개행동'!P6="","",'[1]2_개행동'!P6)</f>
        <v/>
      </c>
      <c r="Q12" s="9" t="str">
        <f>IF('[1]2_개행동'!Q6="","",'[1]2_개행동'!Q6)</f>
        <v/>
      </c>
      <c r="R12" s="9" t="str">
        <f>IF('[1]2_개행동'!R6="","",'[1]2_개행동'!R6)</f>
        <v/>
      </c>
      <c r="S12" s="9" t="str">
        <f>IF('[1]2_개행동'!S6="","",'[1]2_개행동'!S6)</f>
        <v/>
      </c>
      <c r="T12" s="9" t="str">
        <f>IF('[1]2_개행동'!T6="","",'[1]2_개행동'!T6)</f>
        <v/>
      </c>
      <c r="U12" s="9" t="str">
        <f>IF('[1]2_개행동'!U6="","",'[1]2_개행동'!U6)</f>
        <v/>
      </c>
      <c r="V12" s="9" t="str">
        <f>IF('[1]2_개행동'!V6="","",'[1]2_개행동'!V6)</f>
        <v/>
      </c>
      <c r="W12" s="9" t="str">
        <f>IF('[1]2_개행동'!W6="","",'[1]2_개행동'!W6)</f>
        <v/>
      </c>
      <c r="X12" s="9" t="str">
        <f>IF('[1]2_개행동'!X6="","",'[1]2_개행동'!X6)</f>
        <v/>
      </c>
      <c r="Y12" s="9" t="str">
        <f>IF('[1]2_개행동'!Y6="","",'[1]2_개행동'!Y6)</f>
        <v/>
      </c>
      <c r="Z12" s="9" t="str">
        <f>IF('[1]2_개행동'!Z6="","",'[1]2_개행동'!Z6)</f>
        <v/>
      </c>
      <c r="AA12" s="9" t="str">
        <f>IF('[1]2_개행동'!AA6="","",'[1]2_개행동'!AA6)</f>
        <v/>
      </c>
      <c r="AB12" s="9" t="str">
        <f>IF('[1]2_개행동'!AB6="","",'[1]2_개행동'!AB6)</f>
        <v/>
      </c>
      <c r="AC12" s="9" t="str">
        <f>IF('[1]2_개행동'!AC6="","",'[1]2_개행동'!AC6)</f>
        <v/>
      </c>
    </row>
    <row r="13" spans="1:29" ht="63.95" customHeight="1">
      <c r="A13" s="5" t="s">
        <v>30</v>
      </c>
      <c r="B13" s="6" t="str">
        <f>IF('[1]1_바디시그널'!B7="","",'[1]1_바디시그널'!B7)</f>
        <v>[입장] 낯선 바닥 — 꼬리 위치 ※형태 관찰. 기준 20초(바38)와 원값을 나란히 봄. 기준도 낯선 장소에서의 상태이며 평소 꼬리가 아님. 가림·단미 등 판독 불가면 빈칸.</v>
      </c>
      <c r="C13" s="6" t="str">
        <f>IF('[1]1_바디시그널'!C7="","",'[1]1_바디시그널'!C7)</f>
        <v>다리 사이로 말아 넣음</v>
      </c>
      <c r="D13" s="6" t="str">
        <f>IF('[1]1_바디시그널'!D7="","",'[1]1_바디시그널'!D7)</f>
        <v>등선보다 아래로 늘어뜨림 — 꼬리끝이 바닥을 가리킴</v>
      </c>
      <c r="E13" s="6" t="str">
        <f>IF('[1]1_바디시그널'!E7="","",'[1]1_바디시그널'!E7)</f>
        <v>등선 높이 — 꼬리끝이 바닥보다 위</v>
      </c>
      <c r="F13" s="6" t="str">
        <f>IF('[1]1_바디시그널'!F7="","",'[1]1_바디시그널'!F7)</f>
        <v>등선보다 높이 올라옴</v>
      </c>
      <c r="G13" s="6" t="str">
        <f>IF('[1]1_바디시그널'!G7="","",'[1]1_바디시그널'!G7)</f>
        <v>등 위로 높이 세우거나 말아 올림</v>
      </c>
      <c r="H13" s="6" t="str">
        <f>IF('[1]1_바디시그널'!H7="","",'[1]1_바디시그널'!H7)</f>
        <v>별도 관찰 · 꼬리 형태</v>
      </c>
      <c r="I13" s="6" t="str">
        <f>IF('[1]1_바디시그널'!I7="","",'[1]1_바디시그널'!I7)</f>
        <v>양쪽·위치</v>
      </c>
      <c r="J13" s="9" t="str">
        <f>IF('[1]1_바디시그널'!J7="","",'[1]1_바디시그널'!J7)</f>
        <v/>
      </c>
      <c r="K13" s="9" t="str">
        <f>IF('[1]1_바디시그널'!K7="","",'[1]1_바디시그널'!K7)</f>
        <v/>
      </c>
      <c r="L13" s="9" t="str">
        <f>IF('[1]1_바디시그널'!L7="","",'[1]1_바디시그널'!L7)</f>
        <v/>
      </c>
      <c r="M13" s="9" t="str">
        <f>IF('[1]1_바디시그널'!M7="","",'[1]1_바디시그널'!M7)</f>
        <v/>
      </c>
      <c r="N13" s="9" t="str">
        <f>IF('[1]1_바디시그널'!N7="","",'[1]1_바디시그널'!N7)</f>
        <v/>
      </c>
      <c r="O13" s="9" t="str">
        <f>IF('[1]1_바디시그널'!O7="","",'[1]1_바디시그널'!O7)</f>
        <v/>
      </c>
      <c r="P13" s="9" t="str">
        <f>IF('[1]1_바디시그널'!P7="","",'[1]1_바디시그널'!P7)</f>
        <v/>
      </c>
      <c r="Q13" s="9" t="str">
        <f>IF('[1]1_바디시그널'!Q7="","",'[1]1_바디시그널'!Q7)</f>
        <v/>
      </c>
      <c r="R13" s="9" t="str">
        <f>IF('[1]1_바디시그널'!R7="","",'[1]1_바디시그널'!R7)</f>
        <v/>
      </c>
      <c r="S13" s="9" t="str">
        <f>IF('[1]1_바디시그널'!S7="","",'[1]1_바디시그널'!S7)</f>
        <v/>
      </c>
      <c r="T13" s="9" t="str">
        <f>IF('[1]1_바디시그널'!T7="","",'[1]1_바디시그널'!T7)</f>
        <v/>
      </c>
      <c r="U13" s="9" t="str">
        <f>IF('[1]1_바디시그널'!U7="","",'[1]1_바디시그널'!U7)</f>
        <v/>
      </c>
      <c r="V13" s="9" t="str">
        <f>IF('[1]1_바디시그널'!V7="","",'[1]1_바디시그널'!V7)</f>
        <v/>
      </c>
      <c r="W13" s="9" t="str">
        <f>IF('[1]1_바디시그널'!W7="","",'[1]1_바디시그널'!W7)</f>
        <v/>
      </c>
      <c r="X13" s="9" t="str">
        <f>IF('[1]1_바디시그널'!X7="","",'[1]1_바디시그널'!X7)</f>
        <v/>
      </c>
      <c r="Y13" s="9" t="str">
        <f>IF('[1]1_바디시그널'!Y7="","",'[1]1_바디시그널'!Y7)</f>
        <v/>
      </c>
      <c r="Z13" s="9" t="str">
        <f>IF('[1]1_바디시그널'!Z7="","",'[1]1_바디시그널'!Z7)</f>
        <v/>
      </c>
      <c r="AA13" s="9" t="str">
        <f>IF('[1]1_바디시그널'!AA7="","",'[1]1_바디시그널'!AA7)</f>
        <v/>
      </c>
      <c r="AB13" s="9" t="str">
        <f>IF('[1]1_바디시그널'!AB7="","",'[1]1_바디시그널'!AB7)</f>
        <v/>
      </c>
      <c r="AC13" s="9" t="str">
        <f>IF('[1]1_바디시그널'!AC7="","",'[1]1_바디시그널'!AC7)</f>
        <v/>
      </c>
    </row>
    <row r="14" spans="1:29" ht="60" customHeight="1">
      <c r="A14" s="5" t="s">
        <v>31</v>
      </c>
      <c r="B14" s="6" t="str">
        <f>IF('[1]1_바디시그널'!B8="","",'[1]1_바디시그널'!B8)</f>
        <v>낯선 바닥 — 몸 털기  ※횟수 · 점수가 아닙니다</v>
      </c>
      <c r="C14" s="18" t="str">
        <f>SUBSTITUTE(IF('[1]1_바디시그널'!C8="","",'[1]1_바디시그널'!C8),"아래 구간별 횟수 칸(14~37행)","구간별 횟수 항목(바14~바37)")</f>
        <v>바닥을 처음 밟은 순간부터 5초 안에 개가 몸을 턴 횟수를 셉니다. 물기를 털듯 온몸을 흔드는 동작입니다. 하품 · 코 핥기는 여기서 세지 않고 구간별 횟수 항목(바14~바37)에 적습니다.</v>
      </c>
      <c r="D14" s="18"/>
      <c r="E14" s="18"/>
      <c r="F14" s="18"/>
      <c r="G14" s="18"/>
      <c r="H14" s="6" t="str">
        <f>IF('[1]1_바디시그널'!H8="","",'[1]1_바디시그널'!H8)</f>
        <v>— 참고 · 횟수</v>
      </c>
      <c r="I14" s="6" t="str">
        <f>IF('[1]1_바디시그널'!I8="","",'[1]1_바디시그널'!I8)</f>
        <v>참고</v>
      </c>
      <c r="J14" s="9" t="str">
        <f>IF('[1]1_바디시그널'!J8="","",'[1]1_바디시그널'!J8)</f>
        <v/>
      </c>
      <c r="K14" s="9" t="str">
        <f>IF('[1]1_바디시그널'!K8="","",'[1]1_바디시그널'!K8)</f>
        <v/>
      </c>
      <c r="L14" s="9" t="str">
        <f>IF('[1]1_바디시그널'!L8="","",'[1]1_바디시그널'!L8)</f>
        <v/>
      </c>
      <c r="M14" s="9" t="str">
        <f>IF('[1]1_바디시그널'!M8="","",'[1]1_바디시그널'!M8)</f>
        <v/>
      </c>
      <c r="N14" s="9" t="str">
        <f>IF('[1]1_바디시그널'!N8="","",'[1]1_바디시그널'!N8)</f>
        <v/>
      </c>
      <c r="O14" s="9" t="str">
        <f>IF('[1]1_바디시그널'!O8="","",'[1]1_바디시그널'!O8)</f>
        <v/>
      </c>
      <c r="P14" s="9" t="str">
        <f>IF('[1]1_바디시그널'!P8="","",'[1]1_바디시그널'!P8)</f>
        <v/>
      </c>
      <c r="Q14" s="9" t="str">
        <f>IF('[1]1_바디시그널'!Q8="","",'[1]1_바디시그널'!Q8)</f>
        <v/>
      </c>
      <c r="R14" s="9" t="str">
        <f>IF('[1]1_바디시그널'!R8="","",'[1]1_바디시그널'!R8)</f>
        <v/>
      </c>
      <c r="S14" s="9" t="str">
        <f>IF('[1]1_바디시그널'!S8="","",'[1]1_바디시그널'!S8)</f>
        <v/>
      </c>
      <c r="T14" s="9" t="str">
        <f>IF('[1]1_바디시그널'!T8="","",'[1]1_바디시그널'!T8)</f>
        <v/>
      </c>
      <c r="U14" s="9" t="str">
        <f>IF('[1]1_바디시그널'!U8="","",'[1]1_바디시그널'!U8)</f>
        <v/>
      </c>
      <c r="V14" s="9" t="str">
        <f>IF('[1]1_바디시그널'!V8="","",'[1]1_바디시그널'!V8)</f>
        <v/>
      </c>
      <c r="W14" s="9" t="str">
        <f>IF('[1]1_바디시그널'!W8="","",'[1]1_바디시그널'!W8)</f>
        <v/>
      </c>
      <c r="X14" s="9" t="str">
        <f>IF('[1]1_바디시그널'!X8="","",'[1]1_바디시그널'!X8)</f>
        <v/>
      </c>
      <c r="Y14" s="9" t="str">
        <f>IF('[1]1_바디시그널'!Y8="","",'[1]1_바디시그널'!Y8)</f>
        <v/>
      </c>
      <c r="Z14" s="9" t="str">
        <f>IF('[1]1_바디시그널'!Z8="","",'[1]1_바디시그널'!Z8)</f>
        <v/>
      </c>
      <c r="AA14" s="9" t="str">
        <f>IF('[1]1_바디시그널'!AA8="","",'[1]1_바디시그널'!AA8)</f>
        <v/>
      </c>
      <c r="AB14" s="9" t="str">
        <f>IF('[1]1_바디시그널'!AB8="","",'[1]1_바디시그널'!AB8)</f>
        <v/>
      </c>
      <c r="AC14" s="9" t="str">
        <f>IF('[1]1_바디시그널'!AC8="","",'[1]1_바디시그널'!AC8)</f>
        <v/>
      </c>
    </row>
    <row r="15" spans="1:29" ht="63.95" customHeight="1">
      <c r="A15" s="5" t="s">
        <v>32</v>
      </c>
      <c r="B15" s="6" t="str">
        <f>IF('[1]2_개행동'!B7="","",'[1]2_개행동'!B7)</f>
        <v>[입장] 냄새 — 코를 쓰는가</v>
      </c>
      <c r="C15" s="6" t="str">
        <f>IF('[1]2_개행동'!C7="","",'[1]2_개행동'!C7)</f>
        <v>0 — 냄새 맡는 모습 관찰</v>
      </c>
      <c r="D15" s="6" t="str">
        <f>IF('[1]2_개행동'!D7="","",'[1]2_개행동'!D7)</f>
        <v>1 — 구간을 볼 수 있었으나 냄새 맡는 모습 없음</v>
      </c>
      <c r="E15" s="6" t="str">
        <f>IF('[1]2_개행동'!E7="","",'[1]2_개행동'!E7)</f>
        <v/>
      </c>
      <c r="F15" s="6" t="str">
        <f>IF('[1]2_개행동'!F7="","",'[1]2_개행동'!F7)</f>
        <v/>
      </c>
      <c r="G15" s="6" t="str">
        <f>IF('[1]2_개행동'!G7="","",'[1]2_개행동'!G7)</f>
        <v/>
      </c>
      <c r="H15" s="6" t="str">
        <f>IF('[1]2_개행동'!H7="","",'[1]2_개행동'!H7)</f>
        <v>— 참고 · 입장↔퇴장 비교용</v>
      </c>
      <c r="I15" s="6" t="str">
        <f>IF('[1]2_개행동'!I7="","",'[1]2_개행동'!I7)</f>
        <v>범주 0/1</v>
      </c>
      <c r="J15" s="9" t="str">
        <f>IF('[1]2_개행동'!J7="","",'[1]2_개행동'!J7)</f>
        <v/>
      </c>
      <c r="K15" s="9" t="str">
        <f>IF('[1]2_개행동'!K7="","",'[1]2_개행동'!K7)</f>
        <v/>
      </c>
      <c r="L15" s="9" t="str">
        <f>IF('[1]2_개행동'!L7="","",'[1]2_개행동'!L7)</f>
        <v/>
      </c>
      <c r="M15" s="9" t="str">
        <f>IF('[1]2_개행동'!M7="","",'[1]2_개행동'!M7)</f>
        <v/>
      </c>
      <c r="N15" s="9" t="str">
        <f>IF('[1]2_개행동'!N7="","",'[1]2_개행동'!N7)</f>
        <v/>
      </c>
      <c r="O15" s="9" t="str">
        <f>IF('[1]2_개행동'!O7="","",'[1]2_개행동'!O7)</f>
        <v/>
      </c>
      <c r="P15" s="9" t="str">
        <f>IF('[1]2_개행동'!P7="","",'[1]2_개행동'!P7)</f>
        <v/>
      </c>
      <c r="Q15" s="9" t="str">
        <f>IF('[1]2_개행동'!Q7="","",'[1]2_개행동'!Q7)</f>
        <v/>
      </c>
      <c r="R15" s="9" t="str">
        <f>IF('[1]2_개행동'!R7="","",'[1]2_개행동'!R7)</f>
        <v/>
      </c>
      <c r="S15" s="9" t="str">
        <f>IF('[1]2_개행동'!S7="","",'[1]2_개행동'!S7)</f>
        <v/>
      </c>
      <c r="T15" s="9" t="str">
        <f>IF('[1]2_개행동'!T7="","",'[1]2_개행동'!T7)</f>
        <v/>
      </c>
      <c r="U15" s="9" t="str">
        <f>IF('[1]2_개행동'!U7="","",'[1]2_개행동'!U7)</f>
        <v/>
      </c>
      <c r="V15" s="9" t="str">
        <f>IF('[1]2_개행동'!V7="","",'[1]2_개행동'!V7)</f>
        <v/>
      </c>
      <c r="W15" s="9" t="str">
        <f>IF('[1]2_개행동'!W7="","",'[1]2_개행동'!W7)</f>
        <v/>
      </c>
      <c r="X15" s="9" t="str">
        <f>IF('[1]2_개행동'!X7="","",'[1]2_개행동'!X7)</f>
        <v/>
      </c>
      <c r="Y15" s="9" t="str">
        <f>IF('[1]2_개행동'!Y7="","",'[1]2_개행동'!Y7)</f>
        <v/>
      </c>
      <c r="Z15" s="9" t="str">
        <f>IF('[1]2_개행동'!Z7="","",'[1]2_개행동'!Z7)</f>
        <v/>
      </c>
      <c r="AA15" s="9" t="str">
        <f>IF('[1]2_개행동'!AA7="","",'[1]2_개행동'!AA7)</f>
        <v/>
      </c>
      <c r="AB15" s="9" t="str">
        <f>IF('[1]2_개행동'!AB7="","",'[1]2_개행동'!AB7)</f>
        <v/>
      </c>
      <c r="AC15" s="9" t="str">
        <f>IF('[1]2_개행동'!AC7="","",'[1]2_개행동'!AC7)</f>
        <v/>
      </c>
    </row>
    <row r="16" spans="1:29" ht="80.099999999999994" customHeight="1">
      <c r="A16" s="5" t="s">
        <v>33</v>
      </c>
      <c r="B16" s="6" t="str">
        <f>IF('[1]2_개행동'!B30="","",'[1]2_개행동'!B30)</f>
        <v>[입장] 새 물건 반응 ※5초 정지+통과. +2→−2→−1→0→+1 순으로 확인. 여러 반응이면 순서·시각 기록. 정지 신호와 목줄 유도 조건은 보14 확인.</v>
      </c>
      <c r="C16" s="6" t="str">
        <f>IF('[1]2_개행동'!C30="","",'[1]2_개행동'!C30)</f>
        <v>버티거나 뒷걸음·큰 우회로 물건에서 거리를 벌림</v>
      </c>
      <c r="D16" s="6" t="str">
        <f>IF('[1]2_개행동'!D30="","",'[1]2_개행동'!D30)</f>
        <v>위 행동 없이 목을 길게 빼 살피거나 머뭇거리지만 코 접촉 없음</v>
      </c>
      <c r="E16" s="6" t="str">
        <f>IF('[1]2_개행동'!E30="","",'[1]2_개행동'!E30)</f>
        <v>위 행동 없이 살피거나 코 접촉 후 정지 시간을 함께 보내고 보호자가 이동하면 따라감</v>
      </c>
      <c r="F16" s="6" t="str">
        <f>IF('[1]2_개행동'!F30="","",'[1]2_개행동'!F30)</f>
        <v>위 행동 없이 곧장 코 접촉하고 정지 시간 중 물건을 지나쳐 이동함</v>
      </c>
      <c r="G16" s="6" t="str">
        <f>IF('[1]2_개행동'!G30="","",'[1]2_개행동'!G30)</f>
        <v>물건을 향해 뛰거나 당겨 발·몸·입으로 강하게 접촉함</v>
      </c>
      <c r="H16" s="6" t="str">
        <f>IF('[1]2_개행동'!H30="","",'[1]2_개행동'!H30)</f>
        <v>환경 관찰</v>
      </c>
      <c r="I16" s="6" t="str">
        <f>IF('[1]2_개행동'!I30="","",'[1]2_개행동'!I30)</f>
        <v>양쪽·살핌</v>
      </c>
      <c r="J16" s="9" t="str">
        <f>IF('[1]2_개행동'!J30="","",'[1]2_개행동'!J30)</f>
        <v/>
      </c>
      <c r="K16" s="9" t="str">
        <f>IF('[1]2_개행동'!K30="","",'[1]2_개행동'!K30)</f>
        <v/>
      </c>
      <c r="L16" s="9" t="str">
        <f>IF('[1]2_개행동'!L30="","",'[1]2_개행동'!L30)</f>
        <v/>
      </c>
      <c r="M16" s="9" t="str">
        <f>IF('[1]2_개행동'!M30="","",'[1]2_개행동'!M30)</f>
        <v/>
      </c>
      <c r="N16" s="9" t="str">
        <f>IF('[1]2_개행동'!N30="","",'[1]2_개행동'!N30)</f>
        <v/>
      </c>
      <c r="O16" s="9" t="str">
        <f>IF('[1]2_개행동'!O30="","",'[1]2_개행동'!O30)</f>
        <v/>
      </c>
      <c r="P16" s="9" t="str">
        <f>IF('[1]2_개행동'!P30="","",'[1]2_개행동'!P30)</f>
        <v/>
      </c>
      <c r="Q16" s="9" t="str">
        <f>IF('[1]2_개행동'!Q30="","",'[1]2_개행동'!Q30)</f>
        <v/>
      </c>
      <c r="R16" s="9" t="str">
        <f>IF('[1]2_개행동'!R30="","",'[1]2_개행동'!R30)</f>
        <v/>
      </c>
      <c r="S16" s="9" t="str">
        <f>IF('[1]2_개행동'!S30="","",'[1]2_개행동'!S30)</f>
        <v/>
      </c>
      <c r="T16" s="9" t="str">
        <f>IF('[1]2_개행동'!T30="","",'[1]2_개행동'!T30)</f>
        <v/>
      </c>
      <c r="U16" s="9" t="str">
        <f>IF('[1]2_개행동'!U30="","",'[1]2_개행동'!U30)</f>
        <v/>
      </c>
      <c r="V16" s="9" t="str">
        <f>IF('[1]2_개행동'!V30="","",'[1]2_개행동'!V30)</f>
        <v/>
      </c>
      <c r="W16" s="9" t="str">
        <f>IF('[1]2_개행동'!W30="","",'[1]2_개행동'!W30)</f>
        <v/>
      </c>
      <c r="X16" s="9" t="str">
        <f>IF('[1]2_개행동'!X30="","",'[1]2_개행동'!X30)</f>
        <v/>
      </c>
      <c r="Y16" s="9" t="str">
        <f>IF('[1]2_개행동'!Y30="","",'[1]2_개행동'!Y30)</f>
        <v/>
      </c>
      <c r="Z16" s="9" t="str">
        <f>IF('[1]2_개행동'!Z30="","",'[1]2_개행동'!Z30)</f>
        <v/>
      </c>
      <c r="AA16" s="9" t="str">
        <f>IF('[1]2_개행동'!AA30="","",'[1]2_개행동'!AA30)</f>
        <v/>
      </c>
      <c r="AB16" s="9" t="str">
        <f>IF('[1]2_개행동'!AB30="","",'[1]2_개행동'!AB30)</f>
        <v/>
      </c>
      <c r="AC16" s="9" t="str">
        <f>IF('[1]2_개행동'!AC30="","",'[1]2_개행동'!AC30)</f>
        <v/>
      </c>
    </row>
    <row r="17" spans="1:29" ht="60" customHeight="1">
      <c r="A17" s="5" t="s">
        <v>34</v>
      </c>
      <c r="B17" s="6" t="str">
        <f>IF('[1]2_개행동'!B32="","",'[1]2_개행동'!B32)</f>
        <v>[입장] 새 물건 — 첫 코 접촉  ※초 · 참고</v>
      </c>
      <c r="C17" s="18" t="str">
        <f>IF('[1]2_개행동'!C32="","",'[1]2_개행동'!C32)</f>
        <v>물건 1 m 앞에 들어선 순간부터 코가 처음 닿기까지 걸린 초를 적습니다. 멈춘 5초가 끝날 때까지 닿지 않으면 99.</v>
      </c>
      <c r="D17" s="18"/>
      <c r="E17" s="18"/>
      <c r="F17" s="18"/>
      <c r="G17" s="18"/>
      <c r="H17" s="6" t="str">
        <f>IF('[1]2_개행동'!H32="","",'[1]2_개행동'!H32)</f>
        <v>— 참고 (영역 집계 제외)</v>
      </c>
      <c r="I17" s="6" t="str">
        <f>IF('[1]2_개행동'!I32="","",'[1]2_개행동'!I32)</f>
        <v>참고</v>
      </c>
      <c r="J17" s="10" t="str">
        <f>IF('[1]2_개행동'!J32="","",'[1]2_개행동'!J32)</f>
        <v/>
      </c>
      <c r="K17" s="10" t="str">
        <f>IF('[1]2_개행동'!K32="","",'[1]2_개행동'!K32)</f>
        <v/>
      </c>
      <c r="L17" s="10" t="str">
        <f>IF('[1]2_개행동'!L32="","",'[1]2_개행동'!L32)</f>
        <v/>
      </c>
      <c r="M17" s="10" t="str">
        <f>IF('[1]2_개행동'!M32="","",'[1]2_개행동'!M32)</f>
        <v/>
      </c>
      <c r="N17" s="10" t="str">
        <f>IF('[1]2_개행동'!N32="","",'[1]2_개행동'!N32)</f>
        <v/>
      </c>
      <c r="O17" s="10" t="str">
        <f>IF('[1]2_개행동'!O32="","",'[1]2_개행동'!O32)</f>
        <v/>
      </c>
      <c r="P17" s="10" t="str">
        <f>IF('[1]2_개행동'!P32="","",'[1]2_개행동'!P32)</f>
        <v/>
      </c>
      <c r="Q17" s="10" t="str">
        <f>IF('[1]2_개행동'!Q32="","",'[1]2_개행동'!Q32)</f>
        <v/>
      </c>
      <c r="R17" s="10" t="str">
        <f>IF('[1]2_개행동'!R32="","",'[1]2_개행동'!R32)</f>
        <v/>
      </c>
      <c r="S17" s="10" t="str">
        <f>IF('[1]2_개행동'!S32="","",'[1]2_개행동'!S32)</f>
        <v/>
      </c>
      <c r="T17" s="10" t="str">
        <f>IF('[1]2_개행동'!T32="","",'[1]2_개행동'!T32)</f>
        <v/>
      </c>
      <c r="U17" s="10" t="str">
        <f>IF('[1]2_개행동'!U32="","",'[1]2_개행동'!U32)</f>
        <v/>
      </c>
      <c r="V17" s="10" t="str">
        <f>IF('[1]2_개행동'!V32="","",'[1]2_개행동'!V32)</f>
        <v/>
      </c>
      <c r="W17" s="10" t="str">
        <f>IF('[1]2_개행동'!W32="","",'[1]2_개행동'!W32)</f>
        <v/>
      </c>
      <c r="X17" s="10" t="str">
        <f>IF('[1]2_개행동'!X32="","",'[1]2_개행동'!X32)</f>
        <v/>
      </c>
      <c r="Y17" s="10" t="str">
        <f>IF('[1]2_개행동'!Y32="","",'[1]2_개행동'!Y32)</f>
        <v/>
      </c>
      <c r="Z17" s="10" t="str">
        <f>IF('[1]2_개행동'!Z32="","",'[1]2_개행동'!Z32)</f>
        <v/>
      </c>
      <c r="AA17" s="10" t="str">
        <f>IF('[1]2_개행동'!AA32="","",'[1]2_개행동'!AA32)</f>
        <v/>
      </c>
      <c r="AB17" s="10" t="str">
        <f>IF('[1]2_개행동'!AB32="","",'[1]2_개행동'!AB32)</f>
        <v/>
      </c>
      <c r="AC17" s="10" t="str">
        <f>IF('[1]2_개행동'!AC32="","",'[1]2_개행동'!AC32)</f>
        <v/>
      </c>
    </row>
    <row r="18" spans="1:29" ht="80.099999999999994" customHeight="1">
      <c r="A18" s="5" t="s">
        <v>35</v>
      </c>
      <c r="B18" s="6" t="str">
        <f>IF('[1]1_바디시그널'!B44="","",'[1]1_바디시그널'!B44)</f>
        <v>[입장] 새 물건 곁 — 꼬리 위치 ※형태 관찰. 기준 20초(바38)와 원값을 나란히 봄. 기준도 낯선 장소에서의 상태이며 평소 꼬리가 아님. 가림·단미 등 판독 불가면 빈칸.</v>
      </c>
      <c r="C18" s="6" t="str">
        <f>IF('[1]1_바디시그널'!C44="","",'[1]1_바디시그널'!C44)</f>
        <v>다리 사이로 말아 넣음</v>
      </c>
      <c r="D18" s="6" t="str">
        <f>IF('[1]1_바디시그널'!D44="","",'[1]1_바디시그널'!D44)</f>
        <v>등선보다 아래로 늘어뜨림 — 꼬리끝이 바닥을 가리킴</v>
      </c>
      <c r="E18" s="6" t="str">
        <f>IF('[1]1_바디시그널'!E44="","",'[1]1_바디시그널'!E44)</f>
        <v>등선 높이 — 꼬리끝이 바닥보다 위</v>
      </c>
      <c r="F18" s="6" t="str">
        <f>IF('[1]1_바디시그널'!F44="","",'[1]1_바디시그널'!F44)</f>
        <v>등선보다 높이 올라옴</v>
      </c>
      <c r="G18" s="6" t="str">
        <f>IF('[1]1_바디시그널'!G44="","",'[1]1_바디시그널'!G44)</f>
        <v>등 위로 높이 세우거나 말아 올림</v>
      </c>
      <c r="H18" s="6" t="str">
        <f>IF('[1]1_바디시그널'!H44="","",'[1]1_바디시그널'!H44)</f>
        <v>별도 관찰 · 꼬리 형태</v>
      </c>
      <c r="I18" s="6" t="str">
        <f>IF('[1]1_바디시그널'!I44="","",'[1]1_바디시그널'!I44)</f>
        <v>양쪽·위치</v>
      </c>
      <c r="J18" s="9" t="str">
        <f>IF('[1]1_바디시그널'!J44="","",'[1]1_바디시그널'!J44)</f>
        <v/>
      </c>
      <c r="K18" s="9" t="str">
        <f>IF('[1]1_바디시그널'!K44="","",'[1]1_바디시그널'!K44)</f>
        <v/>
      </c>
      <c r="L18" s="9" t="str">
        <f>IF('[1]1_바디시그널'!L44="","",'[1]1_바디시그널'!L44)</f>
        <v/>
      </c>
      <c r="M18" s="9" t="str">
        <f>IF('[1]1_바디시그널'!M44="","",'[1]1_바디시그널'!M44)</f>
        <v/>
      </c>
      <c r="N18" s="9" t="str">
        <f>IF('[1]1_바디시그널'!N44="","",'[1]1_바디시그널'!N44)</f>
        <v/>
      </c>
      <c r="O18" s="9" t="str">
        <f>IF('[1]1_바디시그널'!O44="","",'[1]1_바디시그널'!O44)</f>
        <v/>
      </c>
      <c r="P18" s="9" t="str">
        <f>IF('[1]1_바디시그널'!P44="","",'[1]1_바디시그널'!P44)</f>
        <v/>
      </c>
      <c r="Q18" s="9" t="str">
        <f>IF('[1]1_바디시그널'!Q44="","",'[1]1_바디시그널'!Q44)</f>
        <v/>
      </c>
      <c r="R18" s="9" t="str">
        <f>IF('[1]1_바디시그널'!R44="","",'[1]1_바디시그널'!R44)</f>
        <v/>
      </c>
      <c r="S18" s="9" t="str">
        <f>IF('[1]1_바디시그널'!S44="","",'[1]1_바디시그널'!S44)</f>
        <v/>
      </c>
      <c r="T18" s="9" t="str">
        <f>IF('[1]1_바디시그널'!T44="","",'[1]1_바디시그널'!T44)</f>
        <v/>
      </c>
      <c r="U18" s="9" t="str">
        <f>IF('[1]1_바디시그널'!U44="","",'[1]1_바디시그널'!U44)</f>
        <v/>
      </c>
      <c r="V18" s="9" t="str">
        <f>IF('[1]1_바디시그널'!V44="","",'[1]1_바디시그널'!V44)</f>
        <v/>
      </c>
      <c r="W18" s="9" t="str">
        <f>IF('[1]1_바디시그널'!W44="","",'[1]1_바디시그널'!W44)</f>
        <v/>
      </c>
      <c r="X18" s="9" t="str">
        <f>IF('[1]1_바디시그널'!X44="","",'[1]1_바디시그널'!X44)</f>
        <v/>
      </c>
      <c r="Y18" s="9" t="str">
        <f>IF('[1]1_바디시그널'!Y44="","",'[1]1_바디시그널'!Y44)</f>
        <v/>
      </c>
      <c r="Z18" s="9" t="str">
        <f>IF('[1]1_바디시그널'!Z44="","",'[1]1_바디시그널'!Z44)</f>
        <v/>
      </c>
      <c r="AA18" s="9" t="str">
        <f>IF('[1]1_바디시그널'!AA44="","",'[1]1_바디시그널'!AA44)</f>
        <v/>
      </c>
      <c r="AB18" s="9" t="str">
        <f>IF('[1]1_바디시그널'!AB44="","",'[1]1_바디시그널'!AB44)</f>
        <v/>
      </c>
      <c r="AC18" s="9" t="str">
        <f>IF('[1]1_바디시그널'!AC44="","",'[1]1_바디시그널'!AC44)</f>
        <v/>
      </c>
    </row>
    <row r="19" spans="1:29" ht="63.95" customHeight="1">
      <c r="A19" s="5" t="s">
        <v>36</v>
      </c>
      <c r="B19" s="6" t="str">
        <f>IF('[1]3_보호자행동'!B14="","",'[1]3_보호자행동'!B14)</f>
        <v>[물건] 조건 준수 ※입장·퇴장 각 5초. 복지 중단과 단순 지시 이탈은 메모로 구분. 코드3이면 물건 비교 보류. 제외된 개 모양 물체 항목은 채점하지 않음.</v>
      </c>
      <c r="C19" s="6" t="str">
        <f>IF('[1]3_보호자행동'!C14="","",'[1]3_보호자행동'!C14)</f>
        <v>입장·퇴장 모두 물건 앞에서 5초 · 말·손짓·끌기 없이 멈춤 — 유효</v>
      </c>
      <c r="D19" s="6" t="str">
        <f>IF('[1]3_보호자행동'!D14="","",'[1]3_보호자행동'!D14)</f>
        <v>한 번 말하거나 짧게 멈춤 — 유효(주의)</v>
      </c>
      <c r="E19" s="6" t="str">
        <f>IF('[1]3_보호자행동'!E14="","",'[1]3_보호자행동'!E14)</f>
        <v>멈춤 미실시·유도/끌기 등 조건 이탈 — 개30·32·34 비교 보류</v>
      </c>
      <c r="F19" s="6" t="str">
        <f>IF('[1]3_보호자행동'!F14="","",'[1]3_보호자행동'!F14)</f>
        <v/>
      </c>
      <c r="G19" s="6" t="str">
        <f>IF('[1]3_보호자행동'!G14="","",'[1]3_보호자행동'!G14)</f>
        <v/>
      </c>
      <c r="H19" s="6" t="str">
        <f>IF('[1]3_보호자행동'!H14="","",'[1]3_보호자행동'!H14)</f>
        <v>— 참고 (영역 집계 제외)</v>
      </c>
      <c r="I19" s="6" t="str">
        <f>IF('[1]3_보호자행동'!I14="","",'[1]3_보호자행동'!I14)</f>
        <v>참고</v>
      </c>
      <c r="J19" s="9" t="str">
        <f>IF('[1]3_보호자행동'!J14="","",'[1]3_보호자행동'!J14)</f>
        <v/>
      </c>
      <c r="K19" s="9" t="str">
        <f>IF('[1]3_보호자행동'!K14="","",'[1]3_보호자행동'!K14)</f>
        <v/>
      </c>
      <c r="L19" s="9" t="str">
        <f>IF('[1]3_보호자행동'!L14="","",'[1]3_보호자행동'!L14)</f>
        <v/>
      </c>
      <c r="M19" s="9" t="str">
        <f>IF('[1]3_보호자행동'!M14="","",'[1]3_보호자행동'!M14)</f>
        <v/>
      </c>
      <c r="N19" s="9" t="str">
        <f>IF('[1]3_보호자행동'!N14="","",'[1]3_보호자행동'!N14)</f>
        <v/>
      </c>
      <c r="O19" s="9" t="str">
        <f>IF('[1]3_보호자행동'!O14="","",'[1]3_보호자행동'!O14)</f>
        <v/>
      </c>
      <c r="P19" s="9" t="str">
        <f>IF('[1]3_보호자행동'!P14="","",'[1]3_보호자행동'!P14)</f>
        <v/>
      </c>
      <c r="Q19" s="9" t="str">
        <f>IF('[1]3_보호자행동'!Q14="","",'[1]3_보호자행동'!Q14)</f>
        <v/>
      </c>
      <c r="R19" s="9" t="str">
        <f>IF('[1]3_보호자행동'!R14="","",'[1]3_보호자행동'!R14)</f>
        <v/>
      </c>
      <c r="S19" s="9" t="str">
        <f>IF('[1]3_보호자행동'!S14="","",'[1]3_보호자행동'!S14)</f>
        <v/>
      </c>
      <c r="T19" s="9" t="str">
        <f>IF('[1]3_보호자행동'!T14="","",'[1]3_보호자행동'!T14)</f>
        <v/>
      </c>
      <c r="U19" s="9" t="str">
        <f>IF('[1]3_보호자행동'!U14="","",'[1]3_보호자행동'!U14)</f>
        <v/>
      </c>
      <c r="V19" s="9" t="str">
        <f>IF('[1]3_보호자행동'!V14="","",'[1]3_보호자행동'!V14)</f>
        <v/>
      </c>
      <c r="W19" s="9" t="str">
        <f>IF('[1]3_보호자행동'!W14="","",'[1]3_보호자행동'!W14)</f>
        <v/>
      </c>
      <c r="X19" s="9" t="str">
        <f>IF('[1]3_보호자행동'!X14="","",'[1]3_보호자행동'!X14)</f>
        <v/>
      </c>
      <c r="Y19" s="9" t="str">
        <f>IF('[1]3_보호자행동'!Y14="","",'[1]3_보호자행동'!Y14)</f>
        <v/>
      </c>
      <c r="Z19" s="9" t="str">
        <f>IF('[1]3_보호자행동'!Z14="","",'[1]3_보호자행동'!Z14)</f>
        <v/>
      </c>
      <c r="AA19" s="9" t="str">
        <f>IF('[1]3_보호자행동'!AA14="","",'[1]3_보호자행동'!AA14)</f>
        <v/>
      </c>
      <c r="AB19" s="9" t="str">
        <f>IF('[1]3_보호자행동'!AB14="","",'[1]3_보호자행동'!AB14)</f>
        <v/>
      </c>
      <c r="AC19" s="9" t="str">
        <f>IF('[1]3_보호자행동'!AC14="","",'[1]3_보호자행동'!AC14)</f>
        <v/>
      </c>
    </row>
    <row r="20" spans="1:29" ht="60" customHeight="1">
      <c r="A20" s="5" t="s">
        <v>37</v>
      </c>
      <c r="B20" s="6" t="str">
        <f>IF('[1]1_바디시그널'!B14="","",'[1]1_바디시그널'!B14)</f>
        <v>[입장] 몸 털기 횟수  ※구간 전체 ~30초 · 참고</v>
      </c>
      <c r="C20" s="18" t="str">
        <f>IF('[1]1_바디시그널'!C14="","",'[1]1_바디시그널'!C14)</f>
        <v>온몸을 좌우로 빠르게 턴 횟수를 셉니다. 머리만 흔든 것은 빼고, 몸이 안 보인 구간이면 빈칸(0 과 다름).</v>
      </c>
      <c r="D20" s="18"/>
      <c r="E20" s="18"/>
      <c r="F20" s="18"/>
      <c r="G20" s="18"/>
      <c r="H20" s="6" t="str">
        <f>IF('[1]1_바디시그널'!H14="","",'[1]1_바디시그널'!H14)</f>
        <v>별도 관찰 · 행동 횟수</v>
      </c>
      <c r="I20" s="6" t="str">
        <f>IF('[1]1_바디시그널'!I14="","",'[1]1_바디시그널'!I14)</f>
        <v>참고</v>
      </c>
      <c r="J20" s="9" t="str">
        <f>IF('[1]1_바디시그널'!J14="","",'[1]1_바디시그널'!J14)</f>
        <v/>
      </c>
      <c r="K20" s="9" t="str">
        <f>IF('[1]1_바디시그널'!K14="","",'[1]1_바디시그널'!K14)</f>
        <v/>
      </c>
      <c r="L20" s="9" t="str">
        <f>IF('[1]1_바디시그널'!L14="","",'[1]1_바디시그널'!L14)</f>
        <v/>
      </c>
      <c r="M20" s="9" t="str">
        <f>IF('[1]1_바디시그널'!M14="","",'[1]1_바디시그널'!M14)</f>
        <v/>
      </c>
      <c r="N20" s="9" t="str">
        <f>IF('[1]1_바디시그널'!N14="","",'[1]1_바디시그널'!N14)</f>
        <v/>
      </c>
      <c r="O20" s="9" t="str">
        <f>IF('[1]1_바디시그널'!O14="","",'[1]1_바디시그널'!O14)</f>
        <v/>
      </c>
      <c r="P20" s="9" t="str">
        <f>IF('[1]1_바디시그널'!P14="","",'[1]1_바디시그널'!P14)</f>
        <v/>
      </c>
      <c r="Q20" s="9" t="str">
        <f>IF('[1]1_바디시그널'!Q14="","",'[1]1_바디시그널'!Q14)</f>
        <v/>
      </c>
      <c r="R20" s="9" t="str">
        <f>IF('[1]1_바디시그널'!R14="","",'[1]1_바디시그널'!R14)</f>
        <v/>
      </c>
      <c r="S20" s="9" t="str">
        <f>IF('[1]1_바디시그널'!S14="","",'[1]1_바디시그널'!S14)</f>
        <v/>
      </c>
      <c r="T20" s="9" t="str">
        <f>IF('[1]1_바디시그널'!T14="","",'[1]1_바디시그널'!T14)</f>
        <v/>
      </c>
      <c r="U20" s="9" t="str">
        <f>IF('[1]1_바디시그널'!U14="","",'[1]1_바디시그널'!U14)</f>
        <v/>
      </c>
      <c r="V20" s="9" t="str">
        <f>IF('[1]1_바디시그널'!V14="","",'[1]1_바디시그널'!V14)</f>
        <v/>
      </c>
      <c r="W20" s="9" t="str">
        <f>IF('[1]1_바디시그널'!W14="","",'[1]1_바디시그널'!W14)</f>
        <v/>
      </c>
      <c r="X20" s="9" t="str">
        <f>IF('[1]1_바디시그널'!X14="","",'[1]1_바디시그널'!X14)</f>
        <v/>
      </c>
      <c r="Y20" s="9" t="str">
        <f>IF('[1]1_바디시그널'!Y14="","",'[1]1_바디시그널'!Y14)</f>
        <v/>
      </c>
      <c r="Z20" s="9" t="str">
        <f>IF('[1]1_바디시그널'!Z14="","",'[1]1_바디시그널'!Z14)</f>
        <v/>
      </c>
      <c r="AA20" s="9" t="str">
        <f>IF('[1]1_바디시그널'!AA14="","",'[1]1_바디시그널'!AA14)</f>
        <v/>
      </c>
      <c r="AB20" s="9" t="str">
        <f>IF('[1]1_바디시그널'!AB14="","",'[1]1_바디시그널'!AB14)</f>
        <v/>
      </c>
      <c r="AC20" s="9" t="str">
        <f>IF('[1]1_바디시그널'!AC14="","",'[1]1_바디시그널'!AC14)</f>
        <v/>
      </c>
    </row>
    <row r="21" spans="1:29" ht="60" customHeight="1">
      <c r="A21" s="5" t="s">
        <v>38</v>
      </c>
      <c r="B21" s="6" t="str">
        <f>IF('[1]1_바디시그널'!B15="","",'[1]1_바디시그널'!B15)</f>
        <v>[입장] 하품 횟수  ※구간 전체 ~30초 · 참고</v>
      </c>
      <c r="C21" s="18" t="str">
        <f>IF('[1]1_바디시그널'!C15="","",'[1]1_바디시그널'!C15)</f>
        <v>입을 크게 벌렸다 닫은 횟수를 셉니다. 짖음 · 헐떡임과 구분하고, 얼굴이 안 보인 구간이면 빈칸(0 과 다름).</v>
      </c>
      <c r="D21" s="18"/>
      <c r="E21" s="18"/>
      <c r="F21" s="18"/>
      <c r="G21" s="18"/>
      <c r="H21" s="6" t="str">
        <f>IF('[1]1_바디시그널'!H15="","",'[1]1_바디시그널'!H15)</f>
        <v>별도 관찰 · 행동 횟수</v>
      </c>
      <c r="I21" s="6" t="str">
        <f>IF('[1]1_바디시그널'!I15="","",'[1]1_바디시그널'!I15)</f>
        <v>참고</v>
      </c>
      <c r="J21" s="9" t="str">
        <f>IF('[1]1_바디시그널'!J15="","",'[1]1_바디시그널'!J15)</f>
        <v/>
      </c>
      <c r="K21" s="9" t="str">
        <f>IF('[1]1_바디시그널'!K15="","",'[1]1_바디시그널'!K15)</f>
        <v/>
      </c>
      <c r="L21" s="9" t="str">
        <f>IF('[1]1_바디시그널'!L15="","",'[1]1_바디시그널'!L15)</f>
        <v/>
      </c>
      <c r="M21" s="9" t="str">
        <f>IF('[1]1_바디시그널'!M15="","",'[1]1_바디시그널'!M15)</f>
        <v/>
      </c>
      <c r="N21" s="9" t="str">
        <f>IF('[1]1_바디시그널'!N15="","",'[1]1_바디시그널'!N15)</f>
        <v/>
      </c>
      <c r="O21" s="9" t="str">
        <f>IF('[1]1_바디시그널'!O15="","",'[1]1_바디시그널'!O15)</f>
        <v/>
      </c>
      <c r="P21" s="9" t="str">
        <f>IF('[1]1_바디시그널'!P15="","",'[1]1_바디시그널'!P15)</f>
        <v/>
      </c>
      <c r="Q21" s="9" t="str">
        <f>IF('[1]1_바디시그널'!Q15="","",'[1]1_바디시그널'!Q15)</f>
        <v/>
      </c>
      <c r="R21" s="9" t="str">
        <f>IF('[1]1_바디시그널'!R15="","",'[1]1_바디시그널'!R15)</f>
        <v/>
      </c>
      <c r="S21" s="9" t="str">
        <f>IF('[1]1_바디시그널'!S15="","",'[1]1_바디시그널'!S15)</f>
        <v/>
      </c>
      <c r="T21" s="9" t="str">
        <f>IF('[1]1_바디시그널'!T15="","",'[1]1_바디시그널'!T15)</f>
        <v/>
      </c>
      <c r="U21" s="9" t="str">
        <f>IF('[1]1_바디시그널'!U15="","",'[1]1_바디시그널'!U15)</f>
        <v/>
      </c>
      <c r="V21" s="9" t="str">
        <f>IF('[1]1_바디시그널'!V15="","",'[1]1_바디시그널'!V15)</f>
        <v/>
      </c>
      <c r="W21" s="9" t="str">
        <f>IF('[1]1_바디시그널'!W15="","",'[1]1_바디시그널'!W15)</f>
        <v/>
      </c>
      <c r="X21" s="9" t="str">
        <f>IF('[1]1_바디시그널'!X15="","",'[1]1_바디시그널'!X15)</f>
        <v/>
      </c>
      <c r="Y21" s="9" t="str">
        <f>IF('[1]1_바디시그널'!Y15="","",'[1]1_바디시그널'!Y15)</f>
        <v/>
      </c>
      <c r="Z21" s="9" t="str">
        <f>IF('[1]1_바디시그널'!Z15="","",'[1]1_바디시그널'!Z15)</f>
        <v/>
      </c>
      <c r="AA21" s="9" t="str">
        <f>IF('[1]1_바디시그널'!AA15="","",'[1]1_바디시그널'!AA15)</f>
        <v/>
      </c>
      <c r="AB21" s="9" t="str">
        <f>IF('[1]1_바디시그널'!AB15="","",'[1]1_바디시그널'!AB15)</f>
        <v/>
      </c>
      <c r="AC21" s="9" t="str">
        <f>IF('[1]1_바디시그널'!AC15="","",'[1]1_바디시그널'!AC15)</f>
        <v/>
      </c>
    </row>
    <row r="22" spans="1:29" ht="60" customHeight="1">
      <c r="A22" s="5" t="s">
        <v>39</v>
      </c>
      <c r="B22" s="6" t="str">
        <f>IF('[1]1_바디시그널'!B16="","",'[1]1_바디시그널'!B16)</f>
        <v>[입장] 코 핥기 횟수  ※구간 전체 ~30초 · 참고</v>
      </c>
      <c r="C22" s="18" t="str">
        <f>IF('[1]1_바디시그널'!C16="","",'[1]1_바디시그널'!C16)</f>
        <v>혀가 나와 코나 윗입술을 스친 횟수를 셉니다. 1초 이상 떨어져야 따로 세고, 먹이를 먹은 뒤 30초는 세지 않습니다. 얼굴이 안 보이면 빈칸.</v>
      </c>
      <c r="D22" s="18"/>
      <c r="E22" s="18"/>
      <c r="F22" s="18"/>
      <c r="G22" s="18"/>
      <c r="H22" s="6" t="str">
        <f>IF('[1]1_바디시그널'!H16="","",'[1]1_바디시그널'!H16)</f>
        <v>별도 관찰 · 행동 횟수</v>
      </c>
      <c r="I22" s="6" t="str">
        <f>IF('[1]1_바디시그널'!I16="","",'[1]1_바디시그널'!I16)</f>
        <v>참고</v>
      </c>
      <c r="J22" s="9" t="str">
        <f>IF('[1]1_바디시그널'!J16="","",'[1]1_바디시그널'!J16)</f>
        <v/>
      </c>
      <c r="K22" s="9" t="str">
        <f>IF('[1]1_바디시그널'!K16="","",'[1]1_바디시그널'!K16)</f>
        <v/>
      </c>
      <c r="L22" s="9" t="str">
        <f>IF('[1]1_바디시그널'!L16="","",'[1]1_바디시그널'!L16)</f>
        <v/>
      </c>
      <c r="M22" s="9" t="str">
        <f>IF('[1]1_바디시그널'!M16="","",'[1]1_바디시그널'!M16)</f>
        <v/>
      </c>
      <c r="N22" s="9" t="str">
        <f>IF('[1]1_바디시그널'!N16="","",'[1]1_바디시그널'!N16)</f>
        <v/>
      </c>
      <c r="O22" s="9" t="str">
        <f>IF('[1]1_바디시그널'!O16="","",'[1]1_바디시그널'!O16)</f>
        <v/>
      </c>
      <c r="P22" s="9" t="str">
        <f>IF('[1]1_바디시그널'!P16="","",'[1]1_바디시그널'!P16)</f>
        <v/>
      </c>
      <c r="Q22" s="9" t="str">
        <f>IF('[1]1_바디시그널'!Q16="","",'[1]1_바디시그널'!Q16)</f>
        <v/>
      </c>
      <c r="R22" s="9" t="str">
        <f>IF('[1]1_바디시그널'!R16="","",'[1]1_바디시그널'!R16)</f>
        <v/>
      </c>
      <c r="S22" s="9" t="str">
        <f>IF('[1]1_바디시그널'!S16="","",'[1]1_바디시그널'!S16)</f>
        <v/>
      </c>
      <c r="T22" s="9" t="str">
        <f>IF('[1]1_바디시그널'!T16="","",'[1]1_바디시그널'!T16)</f>
        <v/>
      </c>
      <c r="U22" s="9" t="str">
        <f>IF('[1]1_바디시그널'!U16="","",'[1]1_바디시그널'!U16)</f>
        <v/>
      </c>
      <c r="V22" s="9" t="str">
        <f>IF('[1]1_바디시그널'!V16="","",'[1]1_바디시그널'!V16)</f>
        <v/>
      </c>
      <c r="W22" s="9" t="str">
        <f>IF('[1]1_바디시그널'!W16="","",'[1]1_바디시그널'!W16)</f>
        <v/>
      </c>
      <c r="X22" s="9" t="str">
        <f>IF('[1]1_바디시그널'!X16="","",'[1]1_바디시그널'!X16)</f>
        <v/>
      </c>
      <c r="Y22" s="9" t="str">
        <f>IF('[1]1_바디시그널'!Y16="","",'[1]1_바디시그널'!Y16)</f>
        <v/>
      </c>
      <c r="Z22" s="9" t="str">
        <f>IF('[1]1_바디시그널'!Z16="","",'[1]1_바디시그널'!Z16)</f>
        <v/>
      </c>
      <c r="AA22" s="9" t="str">
        <f>IF('[1]1_바디시그널'!AA16="","",'[1]1_바디시그널'!AA16)</f>
        <v/>
      </c>
      <c r="AB22" s="9" t="str">
        <f>IF('[1]1_바디시그널'!AB16="","",'[1]1_바디시그널'!AB16)</f>
        <v/>
      </c>
      <c r="AC22" s="9" t="str">
        <f>IF('[1]1_바디시그널'!AC16="","",'[1]1_바디시그널'!AC16)</f>
        <v/>
      </c>
    </row>
    <row r="23" spans="1:29" ht="63.95" customHeight="1">
      <c r="A23" s="5" t="s">
        <v>40</v>
      </c>
      <c r="B23" s="6" t="str">
        <f>IF('[1]2_개행동'!B59="","",'[1]2_개행동'!B59)</f>
        <v>실제 시각·기회·가림·복지 중단 메모 ※문 열림/착석/접촉 시작·끝/무시/걷기/요원 진입·부름·접촉·퇴장 시각, 관찰 가능한 초, 개21 사건, 접촉 미성립을 적습니다.</v>
      </c>
      <c r="C23" s="18" t="str">
        <f>IF('[1]2_개행동'!C59="","",'[1]2_개행동'!C59)</f>
        <v>각 개체 J~AC 칸에 자유롭게 기록합니다.</v>
      </c>
      <c r="D23" s="18"/>
      <c r="E23" s="18"/>
      <c r="F23" s="18"/>
      <c r="G23" s="18"/>
      <c r="H23" s="6" t="str">
        <f>IF('[1]2_개행동'!H59="","",'[1]2_개행동'!H59)</f>
        <v>기록</v>
      </c>
      <c r="I23" s="6" t="str">
        <f>IF('[1]2_개행동'!I59="","",'[1]2_개행동'!I59)</f>
        <v>기록</v>
      </c>
      <c r="J23" s="11" t="str">
        <f>IF('[1]2_개행동'!J59="","",'[1]2_개행동'!J59)</f>
        <v/>
      </c>
      <c r="K23" s="11" t="str">
        <f>IF('[1]2_개행동'!K59="","",'[1]2_개행동'!K59)</f>
        <v/>
      </c>
      <c r="L23" s="11" t="str">
        <f>IF('[1]2_개행동'!L59="","",'[1]2_개행동'!L59)</f>
        <v/>
      </c>
      <c r="M23" s="11" t="str">
        <f>IF('[1]2_개행동'!M59="","",'[1]2_개행동'!M59)</f>
        <v/>
      </c>
      <c r="N23" s="11" t="str">
        <f>IF('[1]2_개행동'!N59="","",'[1]2_개행동'!N59)</f>
        <v/>
      </c>
      <c r="O23" s="11" t="str">
        <f>IF('[1]2_개행동'!O59="","",'[1]2_개행동'!O59)</f>
        <v/>
      </c>
      <c r="P23" s="11" t="str">
        <f>IF('[1]2_개행동'!P59="","",'[1]2_개행동'!P59)</f>
        <v/>
      </c>
      <c r="Q23" s="11" t="str">
        <f>IF('[1]2_개행동'!Q59="","",'[1]2_개행동'!Q59)</f>
        <v/>
      </c>
      <c r="R23" s="11" t="str">
        <f>IF('[1]2_개행동'!R59="","",'[1]2_개행동'!R59)</f>
        <v/>
      </c>
      <c r="S23" s="11" t="str">
        <f>IF('[1]2_개행동'!S59="","",'[1]2_개행동'!S59)</f>
        <v/>
      </c>
      <c r="T23" s="11" t="str">
        <f>IF('[1]2_개행동'!T59="","",'[1]2_개행동'!T59)</f>
        <v/>
      </c>
      <c r="U23" s="11" t="str">
        <f>IF('[1]2_개행동'!U59="","",'[1]2_개행동'!U59)</f>
        <v/>
      </c>
      <c r="V23" s="11" t="str">
        <f>IF('[1]2_개행동'!V59="","",'[1]2_개행동'!V59)</f>
        <v/>
      </c>
      <c r="W23" s="11" t="str">
        <f>IF('[1]2_개행동'!W59="","",'[1]2_개행동'!W59)</f>
        <v/>
      </c>
      <c r="X23" s="11" t="str">
        <f>IF('[1]2_개행동'!X59="","",'[1]2_개행동'!X59)</f>
        <v/>
      </c>
      <c r="Y23" s="11" t="str">
        <f>IF('[1]2_개행동'!Y59="","",'[1]2_개행동'!Y59)</f>
        <v/>
      </c>
      <c r="Z23" s="11" t="str">
        <f>IF('[1]2_개행동'!Z59="","",'[1]2_개행동'!Z59)</f>
        <v/>
      </c>
      <c r="AA23" s="11" t="str">
        <f>IF('[1]2_개행동'!AA59="","",'[1]2_개행동'!AA59)</f>
        <v/>
      </c>
      <c r="AB23" s="11" t="str">
        <f>IF('[1]2_개행동'!AB59="","",'[1]2_개행동'!AB59)</f>
        <v/>
      </c>
      <c r="AC23" s="11" t="str">
        <f>IF('[1]2_개행동'!AC59="","",'[1]2_개행동'!AC59)</f>
        <v/>
      </c>
    </row>
    <row r="24" spans="1:29" ht="63.95" customHeight="1">
      <c r="A24" s="7" t="s">
        <v>41</v>
      </c>
      <c r="B24" s="8" t="str">
        <f>IF('[1]2_개행동'!B31="","",'[1]2_개행동'!B31)</f>
        <v>[입장] 개 모양 물체 곁 지나감  ※장면 1-3 · 낯선 개 반응이 아닙니다  ※사용하지 않습니다 (2026-09-22) — 개 모양 물체를 절차에서 뺐습니다</v>
      </c>
      <c r="C24" s="8" t="str">
        <f>IF('[1]2_개행동'!C31="","",'[1]2_개행동'!C31)</f>
        <v/>
      </c>
      <c r="D24" s="8" t="str">
        <f>IF('[1]2_개행동'!D31="","",'[1]2_개행동'!D31)</f>
        <v/>
      </c>
      <c r="E24" s="8" t="str">
        <f>IF('[1]2_개행동'!E31="","",'[1]2_개행동'!E31)</f>
        <v/>
      </c>
      <c r="F24" s="8" t="str">
        <f>IF('[1]2_개행동'!F31="","",'[1]2_개행동'!F31)</f>
        <v/>
      </c>
      <c r="G24" s="8" t="str">
        <f>IF('[1]2_개행동'!G31="","",'[1]2_개행동'!G31)</f>
        <v/>
      </c>
      <c r="H24" s="8" t="str">
        <f>IF('[1]2_개행동'!H31="","",'[1]2_개행동'!H31)</f>
        <v>— 사용 안 함</v>
      </c>
      <c r="I24" s="8" t="str">
        <f>IF('[1]2_개행동'!I31="","",'[1]2_개행동'!I31)</f>
        <v>미사용</v>
      </c>
      <c r="J24" s="9" t="str">
        <f>IF('[1]2_개행동'!J31="","",'[1]2_개행동'!J31)</f>
        <v/>
      </c>
      <c r="K24" s="9" t="str">
        <f>IF('[1]2_개행동'!K31="","",'[1]2_개행동'!K31)</f>
        <v/>
      </c>
      <c r="L24" s="9" t="str">
        <f>IF('[1]2_개행동'!L31="","",'[1]2_개행동'!L31)</f>
        <v/>
      </c>
      <c r="M24" s="9" t="str">
        <f>IF('[1]2_개행동'!M31="","",'[1]2_개행동'!M31)</f>
        <v/>
      </c>
      <c r="N24" s="9" t="str">
        <f>IF('[1]2_개행동'!N31="","",'[1]2_개행동'!N31)</f>
        <v/>
      </c>
      <c r="O24" s="9" t="str">
        <f>IF('[1]2_개행동'!O31="","",'[1]2_개행동'!O31)</f>
        <v/>
      </c>
      <c r="P24" s="9" t="str">
        <f>IF('[1]2_개행동'!P31="","",'[1]2_개행동'!P31)</f>
        <v/>
      </c>
      <c r="Q24" s="9" t="str">
        <f>IF('[1]2_개행동'!Q31="","",'[1]2_개행동'!Q31)</f>
        <v/>
      </c>
      <c r="R24" s="9" t="str">
        <f>IF('[1]2_개행동'!R31="","",'[1]2_개행동'!R31)</f>
        <v/>
      </c>
      <c r="S24" s="9" t="str">
        <f>IF('[1]2_개행동'!S31="","",'[1]2_개행동'!S31)</f>
        <v/>
      </c>
      <c r="T24" s="9" t="str">
        <f>IF('[1]2_개행동'!T31="","",'[1]2_개행동'!T31)</f>
        <v/>
      </c>
      <c r="U24" s="9" t="str">
        <f>IF('[1]2_개행동'!U31="","",'[1]2_개행동'!U31)</f>
        <v/>
      </c>
      <c r="V24" s="9" t="str">
        <f>IF('[1]2_개행동'!V31="","",'[1]2_개행동'!V31)</f>
        <v/>
      </c>
      <c r="W24" s="9" t="str">
        <f>IF('[1]2_개행동'!W31="","",'[1]2_개행동'!W31)</f>
        <v/>
      </c>
      <c r="X24" s="9" t="str">
        <f>IF('[1]2_개행동'!X31="","",'[1]2_개행동'!X31)</f>
        <v/>
      </c>
      <c r="Y24" s="9" t="str">
        <f>IF('[1]2_개행동'!Y31="","",'[1]2_개행동'!Y31)</f>
        <v/>
      </c>
      <c r="Z24" s="9" t="str">
        <f>IF('[1]2_개행동'!Z31="","",'[1]2_개행동'!Z31)</f>
        <v/>
      </c>
      <c r="AA24" s="9" t="str">
        <f>IF('[1]2_개행동'!AA31="","",'[1]2_개행동'!AA31)</f>
        <v/>
      </c>
      <c r="AB24" s="9" t="str">
        <f>IF('[1]2_개행동'!AB31="","",'[1]2_개행동'!AB31)</f>
        <v/>
      </c>
      <c r="AC24" s="9" t="str">
        <f>IF('[1]2_개행동'!AC31="","",'[1]2_개행동'!AC31)</f>
        <v/>
      </c>
    </row>
    <row r="25" spans="1:29" ht="63.95" customHeight="1">
      <c r="A25" s="7" t="s">
        <v>42</v>
      </c>
      <c r="B25" s="8" t="str">
        <f>IF('[1]2_개행동'!B33="","",'[1]2_개행동'!B33)</f>
        <v>[입장] 개 모양 물체 — 첫 코 접촉  ※초 · 참고  ※사용하지 않습니다 (2026-09-22) — 개 모양 물체를 절차에서 뺐습니다</v>
      </c>
      <c r="C25" s="8" t="str">
        <f>IF('[1]2_개행동'!C33="","",'[1]2_개행동'!C33)</f>
        <v/>
      </c>
      <c r="D25" s="8" t="str">
        <f>IF('[1]2_개행동'!D33="","",'[1]2_개행동'!D33)</f>
        <v/>
      </c>
      <c r="E25" s="8" t="str">
        <f>IF('[1]2_개행동'!E33="","",'[1]2_개행동'!E33)</f>
        <v/>
      </c>
      <c r="F25" s="8" t="str">
        <f>IF('[1]2_개행동'!F33="","",'[1]2_개행동'!F33)</f>
        <v/>
      </c>
      <c r="G25" s="8" t="str">
        <f>IF('[1]2_개행동'!G33="","",'[1]2_개행동'!G33)</f>
        <v/>
      </c>
      <c r="H25" s="8" t="str">
        <f>IF('[1]2_개행동'!H33="","",'[1]2_개행동'!H33)</f>
        <v>— 사용 안 함</v>
      </c>
      <c r="I25" s="8" t="str">
        <f>IF('[1]2_개행동'!I33="","",'[1]2_개행동'!I33)</f>
        <v>미사용</v>
      </c>
      <c r="J25" s="9" t="str">
        <f>IF('[1]2_개행동'!J33="","",'[1]2_개행동'!J33)</f>
        <v/>
      </c>
      <c r="K25" s="9" t="str">
        <f>IF('[1]2_개행동'!K33="","",'[1]2_개행동'!K33)</f>
        <v/>
      </c>
      <c r="L25" s="9" t="str">
        <f>IF('[1]2_개행동'!L33="","",'[1]2_개행동'!L33)</f>
        <v/>
      </c>
      <c r="M25" s="9" t="str">
        <f>IF('[1]2_개행동'!M33="","",'[1]2_개행동'!M33)</f>
        <v/>
      </c>
      <c r="N25" s="9" t="str">
        <f>IF('[1]2_개행동'!N33="","",'[1]2_개행동'!N33)</f>
        <v/>
      </c>
      <c r="O25" s="9" t="str">
        <f>IF('[1]2_개행동'!O33="","",'[1]2_개행동'!O33)</f>
        <v/>
      </c>
      <c r="P25" s="9" t="str">
        <f>IF('[1]2_개행동'!P33="","",'[1]2_개행동'!P33)</f>
        <v/>
      </c>
      <c r="Q25" s="9" t="str">
        <f>IF('[1]2_개행동'!Q33="","",'[1]2_개행동'!Q33)</f>
        <v/>
      </c>
      <c r="R25" s="9" t="str">
        <f>IF('[1]2_개행동'!R33="","",'[1]2_개행동'!R33)</f>
        <v/>
      </c>
      <c r="S25" s="9" t="str">
        <f>IF('[1]2_개행동'!S33="","",'[1]2_개행동'!S33)</f>
        <v/>
      </c>
      <c r="T25" s="9" t="str">
        <f>IF('[1]2_개행동'!T33="","",'[1]2_개행동'!T33)</f>
        <v/>
      </c>
      <c r="U25" s="9" t="str">
        <f>IF('[1]2_개행동'!U33="","",'[1]2_개행동'!U33)</f>
        <v/>
      </c>
      <c r="V25" s="9" t="str">
        <f>IF('[1]2_개행동'!V33="","",'[1]2_개행동'!V33)</f>
        <v/>
      </c>
      <c r="W25" s="9" t="str">
        <f>IF('[1]2_개행동'!W33="","",'[1]2_개행동'!W33)</f>
        <v/>
      </c>
      <c r="X25" s="9" t="str">
        <f>IF('[1]2_개행동'!X33="","",'[1]2_개행동'!X33)</f>
        <v/>
      </c>
      <c r="Y25" s="9" t="str">
        <f>IF('[1]2_개행동'!Y33="","",'[1]2_개행동'!Y33)</f>
        <v/>
      </c>
      <c r="Z25" s="9" t="str">
        <f>IF('[1]2_개행동'!Z33="","",'[1]2_개행동'!Z33)</f>
        <v/>
      </c>
      <c r="AA25" s="9" t="str">
        <f>IF('[1]2_개행동'!AA33="","",'[1]2_개행동'!AA33)</f>
        <v/>
      </c>
      <c r="AB25" s="9" t="str">
        <f>IF('[1]2_개행동'!AB33="","",'[1]2_개행동'!AB33)</f>
        <v/>
      </c>
      <c r="AC25" s="9" t="str">
        <f>IF('[1]2_개행동'!AC33="","",'[1]2_개행동'!AC33)</f>
        <v/>
      </c>
    </row>
  </sheetData>
  <sheetProtection sheet="1" objects="1" scenarios="1" formatColumns="0" formatRows="0"/>
  <mergeCells count="9">
    <mergeCell ref="C20:G20"/>
    <mergeCell ref="C21:G21"/>
    <mergeCell ref="C22:G22"/>
    <mergeCell ref="C23:G23"/>
    <mergeCell ref="A1:I1"/>
    <mergeCell ref="A2:I2"/>
    <mergeCell ref="A3:I3"/>
    <mergeCell ref="C14:G14"/>
    <mergeCell ref="C17:G1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3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43</v>
      </c>
      <c r="B5" s="6" t="str">
        <f>IF('[1]1_바디시그널'!B38="","",'[1]1_바디시그널'!B38)</f>
        <v>[기준] 꼬리 위치 ※낯선 장소의 기준 20초. 평소 꼬리의 대표값이 아님. 다른 구간과 형태만 비교하며 꼬리 형태·단미·가림은 메모.</v>
      </c>
      <c r="C5" s="6" t="str">
        <f>IF('[1]1_바디시그널'!C38="","",'[1]1_바디시그널'!C38)</f>
        <v>다리 사이로 말아 넣음</v>
      </c>
      <c r="D5" s="6" t="str">
        <f>IF('[1]1_바디시그널'!D38="","",'[1]1_바디시그널'!D38)</f>
        <v>등선보다 아래로 늘어뜨림 — 꼬리끝이 바닥을 가리킴</v>
      </c>
      <c r="E5" s="6" t="str">
        <f>IF('[1]1_바디시그널'!E38="","",'[1]1_바디시그널'!E38)</f>
        <v>등선 높이 — 꼬리끝이 바닥보다 위</v>
      </c>
      <c r="F5" s="6" t="str">
        <f>IF('[1]1_바디시그널'!F38="","",'[1]1_바디시그널'!F38)</f>
        <v>등선보다 높이 올라옴</v>
      </c>
      <c r="G5" s="6" t="str">
        <f>IF('[1]1_바디시그널'!G38="","",'[1]1_바디시그널'!G38)</f>
        <v>등 위로 높이 세우거나 말아 올림</v>
      </c>
      <c r="H5" s="6" t="str">
        <f>IF('[1]1_바디시그널'!H38="","",'[1]1_바디시그널'!H38)</f>
        <v>별도 관찰 · 꼬리 형태</v>
      </c>
      <c r="I5" s="6" t="str">
        <f>IF('[1]1_바디시그널'!I38="","",'[1]1_바디시그널'!I38)</f>
        <v>양쪽·위치</v>
      </c>
      <c r="J5" s="9" t="str">
        <f>IF('[1]1_바디시그널'!J38="","",'[1]1_바디시그널'!J38)</f>
        <v/>
      </c>
      <c r="K5" s="9" t="str">
        <f>IF('[1]1_바디시그널'!K38="","",'[1]1_바디시그널'!K38)</f>
        <v/>
      </c>
      <c r="L5" s="9" t="str">
        <f>IF('[1]1_바디시그널'!L38="","",'[1]1_바디시그널'!L38)</f>
        <v/>
      </c>
      <c r="M5" s="9" t="str">
        <f>IF('[1]1_바디시그널'!M38="","",'[1]1_바디시그널'!M38)</f>
        <v/>
      </c>
      <c r="N5" s="9" t="str">
        <f>IF('[1]1_바디시그널'!N38="","",'[1]1_바디시그널'!N38)</f>
        <v/>
      </c>
      <c r="O5" s="9" t="str">
        <f>IF('[1]1_바디시그널'!O38="","",'[1]1_바디시그널'!O38)</f>
        <v/>
      </c>
      <c r="P5" s="9" t="str">
        <f>IF('[1]1_바디시그널'!P38="","",'[1]1_바디시그널'!P38)</f>
        <v/>
      </c>
      <c r="Q5" s="9" t="str">
        <f>IF('[1]1_바디시그널'!Q38="","",'[1]1_바디시그널'!Q38)</f>
        <v/>
      </c>
      <c r="R5" s="9" t="str">
        <f>IF('[1]1_바디시그널'!R38="","",'[1]1_바디시그널'!R38)</f>
        <v/>
      </c>
      <c r="S5" s="9" t="str">
        <f>IF('[1]1_바디시그널'!S38="","",'[1]1_바디시그널'!S38)</f>
        <v/>
      </c>
      <c r="T5" s="9" t="str">
        <f>IF('[1]1_바디시그널'!T38="","",'[1]1_바디시그널'!T38)</f>
        <v/>
      </c>
      <c r="U5" s="9" t="str">
        <f>IF('[1]1_바디시그널'!U38="","",'[1]1_바디시그널'!U38)</f>
        <v/>
      </c>
      <c r="V5" s="9" t="str">
        <f>IF('[1]1_바디시그널'!V38="","",'[1]1_바디시그널'!V38)</f>
        <v/>
      </c>
      <c r="W5" s="9" t="str">
        <f>IF('[1]1_바디시그널'!W38="","",'[1]1_바디시그널'!W38)</f>
        <v/>
      </c>
      <c r="X5" s="9" t="str">
        <f>IF('[1]1_바디시그널'!X38="","",'[1]1_바디시그널'!X38)</f>
        <v/>
      </c>
      <c r="Y5" s="9" t="str">
        <f>IF('[1]1_바디시그널'!Y38="","",'[1]1_바디시그널'!Y38)</f>
        <v/>
      </c>
      <c r="Z5" s="9" t="str">
        <f>IF('[1]1_바디시그널'!Z38="","",'[1]1_바디시그널'!Z38)</f>
        <v/>
      </c>
      <c r="AA5" s="9" t="str">
        <f>IF('[1]1_바디시그널'!AA38="","",'[1]1_바디시그널'!AA38)</f>
        <v/>
      </c>
      <c r="AB5" s="9" t="str">
        <f>IF('[1]1_바디시그널'!AB38="","",'[1]1_바디시그널'!AB38)</f>
        <v/>
      </c>
      <c r="AC5" s="9" t="str">
        <f>IF('[1]1_바디시그널'!AC38="","",'[1]1_바디시그널'!AC38)</f>
        <v/>
      </c>
    </row>
    <row r="6" spans="1:29" ht="63.95" customHeight="1">
      <c r="A6" s="5" t="s">
        <v>45</v>
      </c>
      <c r="B6" s="6" t="str">
        <f>IF('[1]1_바디시그널'!B40="","",'[1]1_바디시그널'!B40)</f>
        <v>[기준] 꼬리 움직임 ※낯선 장소의 기준 20초. 원속도 연속 영상으로 관찰. 평소 흔들림·감정의 확정값이 아님.</v>
      </c>
      <c r="C6" s="6" t="str">
        <f>IF('[1]1_바디시그널'!C40="","",'[1]1_바디시그널'!C40)</f>
        <v>몸도 굳고 꼬리 움직임도 멎은 상태가 주된 모습</v>
      </c>
      <c r="D6" s="6" t="str">
        <f>IF('[1]1_바디시그널'!D40="","",'[1]1_바디시그널'!D40)</f>
        <v>몸은 굳지 않았으나 작은 꼬리 움직임만 간헐적으로 보임</v>
      </c>
      <c r="E6" s="6" t="str">
        <f>IF('[1]1_바디시그널'!E40="","",'[1]1_바디시그널'!E40)</f>
        <v>편안한 자세로 꼬리가 멈춰 있거나 느리고 넓게 움직임</v>
      </c>
      <c r="F6" s="6" t="str">
        <f>IF('[1]1_바디시그널'!F40="","",'[1]1_바디시그널'!F40)</f>
        <v>빠른 좌우 움직임이 주된 모습</v>
      </c>
      <c r="G6" s="6" t="str">
        <f>IF('[1]1_바디시그널'!G40="","",'[1]1_바디시그널'!G40)</f>
        <v>짧은 진폭으로 떨듯 빠른 움직임이 주된 모습</v>
      </c>
      <c r="H6" s="6" t="str">
        <f>IF('[1]1_바디시그널'!H40="","",'[1]1_바디시그널'!H40)</f>
        <v>별도 관찰 · 꼬리 움직임</v>
      </c>
      <c r="I6" s="6" t="str">
        <f>IF('[1]1_바디시그널'!I40="","",'[1]1_바디시그널'!I40)</f>
        <v>양쪽·움직임</v>
      </c>
      <c r="J6" s="9" t="str">
        <f>IF('[1]1_바디시그널'!J40="","",'[1]1_바디시그널'!J40)</f>
        <v/>
      </c>
      <c r="K6" s="9" t="str">
        <f>IF('[1]1_바디시그널'!K40="","",'[1]1_바디시그널'!K40)</f>
        <v/>
      </c>
      <c r="L6" s="9" t="str">
        <f>IF('[1]1_바디시그널'!L40="","",'[1]1_바디시그널'!L40)</f>
        <v/>
      </c>
      <c r="M6" s="9" t="str">
        <f>IF('[1]1_바디시그널'!M40="","",'[1]1_바디시그널'!M40)</f>
        <v/>
      </c>
      <c r="N6" s="9" t="str">
        <f>IF('[1]1_바디시그널'!N40="","",'[1]1_바디시그널'!N40)</f>
        <v/>
      </c>
      <c r="O6" s="9" t="str">
        <f>IF('[1]1_바디시그널'!O40="","",'[1]1_바디시그널'!O40)</f>
        <v/>
      </c>
      <c r="P6" s="9" t="str">
        <f>IF('[1]1_바디시그널'!P40="","",'[1]1_바디시그널'!P40)</f>
        <v/>
      </c>
      <c r="Q6" s="9" t="str">
        <f>IF('[1]1_바디시그널'!Q40="","",'[1]1_바디시그널'!Q40)</f>
        <v/>
      </c>
      <c r="R6" s="9" t="str">
        <f>IF('[1]1_바디시그널'!R40="","",'[1]1_바디시그널'!R40)</f>
        <v/>
      </c>
      <c r="S6" s="9" t="str">
        <f>IF('[1]1_바디시그널'!S40="","",'[1]1_바디시그널'!S40)</f>
        <v/>
      </c>
      <c r="T6" s="9" t="str">
        <f>IF('[1]1_바디시그널'!T40="","",'[1]1_바디시그널'!T40)</f>
        <v/>
      </c>
      <c r="U6" s="9" t="str">
        <f>IF('[1]1_바디시그널'!U40="","",'[1]1_바디시그널'!U40)</f>
        <v/>
      </c>
      <c r="V6" s="9" t="str">
        <f>IF('[1]1_바디시그널'!V40="","",'[1]1_바디시그널'!V40)</f>
        <v/>
      </c>
      <c r="W6" s="9" t="str">
        <f>IF('[1]1_바디시그널'!W40="","",'[1]1_바디시그널'!W40)</f>
        <v/>
      </c>
      <c r="X6" s="9" t="str">
        <f>IF('[1]1_바디시그널'!X40="","",'[1]1_바디시그널'!X40)</f>
        <v/>
      </c>
      <c r="Y6" s="9" t="str">
        <f>IF('[1]1_바디시그널'!Y40="","",'[1]1_바디시그널'!Y40)</f>
        <v/>
      </c>
      <c r="Z6" s="9" t="str">
        <f>IF('[1]1_바디시그널'!Z40="","",'[1]1_바디시그널'!Z40)</f>
        <v/>
      </c>
      <c r="AA6" s="9" t="str">
        <f>IF('[1]1_바디시그널'!AA40="","",'[1]1_바디시그널'!AA40)</f>
        <v/>
      </c>
      <c r="AB6" s="9" t="str">
        <f>IF('[1]1_바디시그널'!AB40="","",'[1]1_바디시그널'!AB40)</f>
        <v/>
      </c>
      <c r="AC6" s="9" t="str">
        <f>IF('[1]1_바디시그널'!AC40="","",'[1]1_바디시그널'!AC40)</f>
        <v/>
      </c>
    </row>
    <row r="7" spans="1:29" ht="80.099999999999994" customHeight="1">
      <c r="A7" s="5" t="s">
        <v>46</v>
      </c>
      <c r="B7" s="6" t="str">
        <f>IF('[1]2_개행동'!B8="","",'[1]2_개행동'!B8)</f>
        <v>[기준] 몸 상태 ※목줄을 푼 뒤 20초. 낯선 실험실의 초기 상태이며 평소 안정 상태로 간주하지 않음.</v>
      </c>
      <c r="C7" s="6" t="str">
        <f>IF('[1]2_개행동'!C8="","",'[1]2_개행동'!C8)</f>
        <v>관찰 가능 시간의 절반 초과 동안 움직임이 멎고 몸이 뻣뻣함</v>
      </c>
      <c r="D7" s="6" t="str">
        <f>IF('[1]2_개행동'!D8="","",'[1]2_개행동'!D8)</f>
        <v>절반 초과 동안 낮춘 자세·조심스러운 움직임, 지속 굳음은 없음</v>
      </c>
      <c r="E7" s="6" t="str">
        <f>IF('[1]2_개행동'!E8="","",'[1]2_개행동'!E8)</f>
        <v>어느 극단도 절반을 넘지 않음; 주로 자연스러운 자세·이동. 반대 반응 혼재는 메모</v>
      </c>
      <c r="F7" s="6" t="str">
        <f>IF('[1]2_개행동'!F8="","",'[1]2_개행동'!F8)</f>
        <v>절반 초과 동안 같은 경로를 반복 이동하거나 자세를 자주 바꿈; 지속 뛰기 수준은 아님</v>
      </c>
      <c r="G7" s="6" t="str">
        <f>IF('[1]2_개행동'!G8="","",'[1]2_개행동'!G8)</f>
        <v>절반 초과 동안 뛰기·몸 부딪치기·급한 반복 이동이 이어짐</v>
      </c>
      <c r="H7" s="6" t="str">
        <f>IF('[1]2_개행동'!H8="","",'[1]2_개행동'!H8)</f>
        <v>— 참고 (기준선)</v>
      </c>
      <c r="I7" s="6" t="str">
        <f>IF('[1]2_개행동'!I8="","",'[1]2_개행동'!I8)</f>
        <v>양쪽·몸상태</v>
      </c>
      <c r="J7" s="9" t="str">
        <f>IF('[1]2_개행동'!J8="","",'[1]2_개행동'!J8)</f>
        <v/>
      </c>
      <c r="K7" s="9" t="str">
        <f>IF('[1]2_개행동'!K8="","",'[1]2_개행동'!K8)</f>
        <v/>
      </c>
      <c r="L7" s="9" t="str">
        <f>IF('[1]2_개행동'!L8="","",'[1]2_개행동'!L8)</f>
        <v/>
      </c>
      <c r="M7" s="9" t="str">
        <f>IF('[1]2_개행동'!M8="","",'[1]2_개행동'!M8)</f>
        <v/>
      </c>
      <c r="N7" s="9" t="str">
        <f>IF('[1]2_개행동'!N8="","",'[1]2_개행동'!N8)</f>
        <v/>
      </c>
      <c r="O7" s="9" t="str">
        <f>IF('[1]2_개행동'!O8="","",'[1]2_개행동'!O8)</f>
        <v/>
      </c>
      <c r="P7" s="9" t="str">
        <f>IF('[1]2_개행동'!P8="","",'[1]2_개행동'!P8)</f>
        <v/>
      </c>
      <c r="Q7" s="9" t="str">
        <f>IF('[1]2_개행동'!Q8="","",'[1]2_개행동'!Q8)</f>
        <v/>
      </c>
      <c r="R7" s="9" t="str">
        <f>IF('[1]2_개행동'!R8="","",'[1]2_개행동'!R8)</f>
        <v/>
      </c>
      <c r="S7" s="9" t="str">
        <f>IF('[1]2_개행동'!S8="","",'[1]2_개행동'!S8)</f>
        <v/>
      </c>
      <c r="T7" s="9" t="str">
        <f>IF('[1]2_개행동'!T8="","",'[1]2_개행동'!T8)</f>
        <v/>
      </c>
      <c r="U7" s="9" t="str">
        <f>IF('[1]2_개행동'!U8="","",'[1]2_개행동'!U8)</f>
        <v/>
      </c>
      <c r="V7" s="9" t="str">
        <f>IF('[1]2_개행동'!V8="","",'[1]2_개행동'!V8)</f>
        <v/>
      </c>
      <c r="W7" s="9" t="str">
        <f>IF('[1]2_개행동'!W8="","",'[1]2_개행동'!W8)</f>
        <v/>
      </c>
      <c r="X7" s="9" t="str">
        <f>IF('[1]2_개행동'!X8="","",'[1]2_개행동'!X8)</f>
        <v/>
      </c>
      <c r="Y7" s="9" t="str">
        <f>IF('[1]2_개행동'!Y8="","",'[1]2_개행동'!Y8)</f>
        <v/>
      </c>
      <c r="Z7" s="9" t="str">
        <f>IF('[1]2_개행동'!Z8="","",'[1]2_개행동'!Z8)</f>
        <v/>
      </c>
      <c r="AA7" s="9" t="str">
        <f>IF('[1]2_개행동'!AA8="","",'[1]2_개행동'!AA8)</f>
        <v/>
      </c>
      <c r="AB7" s="9" t="str">
        <f>IF('[1]2_개행동'!AB8="","",'[1]2_개행동'!AB8)</f>
        <v/>
      </c>
      <c r="AC7" s="9" t="str">
        <f>IF('[1]2_개행동'!AC8="","",'[1]2_개행동'!AC8)</f>
        <v/>
      </c>
    </row>
    <row r="8" spans="1:29" ht="60" customHeight="1">
      <c r="A8" s="5" t="s">
        <v>47</v>
      </c>
      <c r="B8" s="6" t="str">
        <f>IF('[1]1_바디시그널'!B17="","",'[1]1_바디시그널'!B17)</f>
        <v>[기준] 몸 털기 횟수  ※구간 전체 20초 · 참고</v>
      </c>
      <c r="C8" s="18" t="str">
        <f>IF('[1]1_바디시그널'!C17="","",'[1]1_바디시그널'!C17)</f>
        <v>온몸을 좌우로 빠르게 턴 횟수를 셉니다. 머리만 흔든 것은 빼고, 몸이 안 보인 구간이면 빈칸(0 과 다름).</v>
      </c>
      <c r="D8" s="18"/>
      <c r="E8" s="18"/>
      <c r="F8" s="18"/>
      <c r="G8" s="18"/>
      <c r="H8" s="6" t="str">
        <f>IF('[1]1_바디시그널'!H17="","",'[1]1_바디시그널'!H17)</f>
        <v>별도 관찰 · 행동 횟수</v>
      </c>
      <c r="I8" s="6" t="str">
        <f>IF('[1]1_바디시그널'!I17="","",'[1]1_바디시그널'!I17)</f>
        <v>참고</v>
      </c>
      <c r="J8" s="9" t="str">
        <f>IF('[1]1_바디시그널'!J17="","",'[1]1_바디시그널'!J17)</f>
        <v/>
      </c>
      <c r="K8" s="9" t="str">
        <f>IF('[1]1_바디시그널'!K17="","",'[1]1_바디시그널'!K17)</f>
        <v/>
      </c>
      <c r="L8" s="9" t="str">
        <f>IF('[1]1_바디시그널'!L17="","",'[1]1_바디시그널'!L17)</f>
        <v/>
      </c>
      <c r="M8" s="9" t="str">
        <f>IF('[1]1_바디시그널'!M17="","",'[1]1_바디시그널'!M17)</f>
        <v/>
      </c>
      <c r="N8" s="9" t="str">
        <f>IF('[1]1_바디시그널'!N17="","",'[1]1_바디시그널'!N17)</f>
        <v/>
      </c>
      <c r="O8" s="9" t="str">
        <f>IF('[1]1_바디시그널'!O17="","",'[1]1_바디시그널'!O17)</f>
        <v/>
      </c>
      <c r="P8" s="9" t="str">
        <f>IF('[1]1_바디시그널'!P17="","",'[1]1_바디시그널'!P17)</f>
        <v/>
      </c>
      <c r="Q8" s="9" t="str">
        <f>IF('[1]1_바디시그널'!Q17="","",'[1]1_바디시그널'!Q17)</f>
        <v/>
      </c>
      <c r="R8" s="9" t="str">
        <f>IF('[1]1_바디시그널'!R17="","",'[1]1_바디시그널'!R17)</f>
        <v/>
      </c>
      <c r="S8" s="9" t="str">
        <f>IF('[1]1_바디시그널'!S17="","",'[1]1_바디시그널'!S17)</f>
        <v/>
      </c>
      <c r="T8" s="9" t="str">
        <f>IF('[1]1_바디시그널'!T17="","",'[1]1_바디시그널'!T17)</f>
        <v/>
      </c>
      <c r="U8" s="9" t="str">
        <f>IF('[1]1_바디시그널'!U17="","",'[1]1_바디시그널'!U17)</f>
        <v/>
      </c>
      <c r="V8" s="9" t="str">
        <f>IF('[1]1_바디시그널'!V17="","",'[1]1_바디시그널'!V17)</f>
        <v/>
      </c>
      <c r="W8" s="9" t="str">
        <f>IF('[1]1_바디시그널'!W17="","",'[1]1_바디시그널'!W17)</f>
        <v/>
      </c>
      <c r="X8" s="9" t="str">
        <f>IF('[1]1_바디시그널'!X17="","",'[1]1_바디시그널'!X17)</f>
        <v/>
      </c>
      <c r="Y8" s="9" t="str">
        <f>IF('[1]1_바디시그널'!Y17="","",'[1]1_바디시그널'!Y17)</f>
        <v/>
      </c>
      <c r="Z8" s="9" t="str">
        <f>IF('[1]1_바디시그널'!Z17="","",'[1]1_바디시그널'!Z17)</f>
        <v/>
      </c>
      <c r="AA8" s="9" t="str">
        <f>IF('[1]1_바디시그널'!AA17="","",'[1]1_바디시그널'!AA17)</f>
        <v/>
      </c>
      <c r="AB8" s="9" t="str">
        <f>IF('[1]1_바디시그널'!AB17="","",'[1]1_바디시그널'!AB17)</f>
        <v/>
      </c>
      <c r="AC8" s="9" t="str">
        <f>IF('[1]1_바디시그널'!AC17="","",'[1]1_바디시그널'!AC17)</f>
        <v/>
      </c>
    </row>
    <row r="9" spans="1:29" ht="60" customHeight="1">
      <c r="A9" s="5" t="s">
        <v>48</v>
      </c>
      <c r="B9" s="6" t="str">
        <f>IF('[1]1_바디시그널'!B18="","",'[1]1_바디시그널'!B18)</f>
        <v>[기준] 하품 횟수  ※구간 전체 20초 · 참고</v>
      </c>
      <c r="C9" s="18" t="str">
        <f>IF('[1]1_바디시그널'!C18="","",'[1]1_바디시그널'!C18)</f>
        <v>입을 크게 벌렸다 닫은 횟수를 셉니다. 짖음 · 헐떡임과 구분하고, 얼굴이 안 보인 구간이면 빈칸(0 과 다름).</v>
      </c>
      <c r="D9" s="18"/>
      <c r="E9" s="18"/>
      <c r="F9" s="18"/>
      <c r="G9" s="18"/>
      <c r="H9" s="6" t="str">
        <f>IF('[1]1_바디시그널'!H18="","",'[1]1_바디시그널'!H18)</f>
        <v>별도 관찰 · 행동 횟수</v>
      </c>
      <c r="I9" s="6" t="str">
        <f>IF('[1]1_바디시그널'!I18="","",'[1]1_바디시그널'!I18)</f>
        <v>참고</v>
      </c>
      <c r="J9" s="9" t="str">
        <f>IF('[1]1_바디시그널'!J18="","",'[1]1_바디시그널'!J18)</f>
        <v/>
      </c>
      <c r="K9" s="9" t="str">
        <f>IF('[1]1_바디시그널'!K18="","",'[1]1_바디시그널'!K18)</f>
        <v/>
      </c>
      <c r="L9" s="9" t="str">
        <f>IF('[1]1_바디시그널'!L18="","",'[1]1_바디시그널'!L18)</f>
        <v/>
      </c>
      <c r="M9" s="9" t="str">
        <f>IF('[1]1_바디시그널'!M18="","",'[1]1_바디시그널'!M18)</f>
        <v/>
      </c>
      <c r="N9" s="9" t="str">
        <f>IF('[1]1_바디시그널'!N18="","",'[1]1_바디시그널'!N18)</f>
        <v/>
      </c>
      <c r="O9" s="9" t="str">
        <f>IF('[1]1_바디시그널'!O18="","",'[1]1_바디시그널'!O18)</f>
        <v/>
      </c>
      <c r="P9" s="9" t="str">
        <f>IF('[1]1_바디시그널'!P18="","",'[1]1_바디시그널'!P18)</f>
        <v/>
      </c>
      <c r="Q9" s="9" t="str">
        <f>IF('[1]1_바디시그널'!Q18="","",'[1]1_바디시그널'!Q18)</f>
        <v/>
      </c>
      <c r="R9" s="9" t="str">
        <f>IF('[1]1_바디시그널'!R18="","",'[1]1_바디시그널'!R18)</f>
        <v/>
      </c>
      <c r="S9" s="9" t="str">
        <f>IF('[1]1_바디시그널'!S18="","",'[1]1_바디시그널'!S18)</f>
        <v/>
      </c>
      <c r="T9" s="9" t="str">
        <f>IF('[1]1_바디시그널'!T18="","",'[1]1_바디시그널'!T18)</f>
        <v/>
      </c>
      <c r="U9" s="9" t="str">
        <f>IF('[1]1_바디시그널'!U18="","",'[1]1_바디시그널'!U18)</f>
        <v/>
      </c>
      <c r="V9" s="9" t="str">
        <f>IF('[1]1_바디시그널'!V18="","",'[1]1_바디시그널'!V18)</f>
        <v/>
      </c>
      <c r="W9" s="9" t="str">
        <f>IF('[1]1_바디시그널'!W18="","",'[1]1_바디시그널'!W18)</f>
        <v/>
      </c>
      <c r="X9" s="9" t="str">
        <f>IF('[1]1_바디시그널'!X18="","",'[1]1_바디시그널'!X18)</f>
        <v/>
      </c>
      <c r="Y9" s="9" t="str">
        <f>IF('[1]1_바디시그널'!Y18="","",'[1]1_바디시그널'!Y18)</f>
        <v/>
      </c>
      <c r="Z9" s="9" t="str">
        <f>IF('[1]1_바디시그널'!Z18="","",'[1]1_바디시그널'!Z18)</f>
        <v/>
      </c>
      <c r="AA9" s="9" t="str">
        <f>IF('[1]1_바디시그널'!AA18="","",'[1]1_바디시그널'!AA18)</f>
        <v/>
      </c>
      <c r="AB9" s="9" t="str">
        <f>IF('[1]1_바디시그널'!AB18="","",'[1]1_바디시그널'!AB18)</f>
        <v/>
      </c>
      <c r="AC9" s="9" t="str">
        <f>IF('[1]1_바디시그널'!AC18="","",'[1]1_바디시그널'!AC18)</f>
        <v/>
      </c>
    </row>
    <row r="10" spans="1:29" ht="60" customHeight="1">
      <c r="A10" s="5" t="s">
        <v>49</v>
      </c>
      <c r="B10" s="6" t="str">
        <f>IF('[1]1_바디시그널'!B19="","",'[1]1_바디시그널'!B19)</f>
        <v>[기준] 코 핥기 횟수  ※구간 전체 20초 · 참고</v>
      </c>
      <c r="C10" s="18" t="str">
        <f>IF('[1]1_바디시그널'!C19="","",'[1]1_바디시그널'!C19)</f>
        <v>혀가 나와 코나 윗입술을 스친 횟수를 셉니다. 1초 이상 떨어져야 따로 세고, 먹이를 먹은 뒤 30초는 세지 않습니다. 얼굴이 안 보이면 빈칸.</v>
      </c>
      <c r="D10" s="18"/>
      <c r="E10" s="18"/>
      <c r="F10" s="18"/>
      <c r="G10" s="18"/>
      <c r="H10" s="6" t="str">
        <f>IF('[1]1_바디시그널'!H19="","",'[1]1_바디시그널'!H19)</f>
        <v>별도 관찰 · 행동 횟수</v>
      </c>
      <c r="I10" s="6" t="str">
        <f>IF('[1]1_바디시그널'!I19="","",'[1]1_바디시그널'!I19)</f>
        <v>참고</v>
      </c>
      <c r="J10" s="9" t="str">
        <f>IF('[1]1_바디시그널'!J19="","",'[1]1_바디시그널'!J19)</f>
        <v/>
      </c>
      <c r="K10" s="9" t="str">
        <f>IF('[1]1_바디시그널'!K19="","",'[1]1_바디시그널'!K19)</f>
        <v/>
      </c>
      <c r="L10" s="9" t="str">
        <f>IF('[1]1_바디시그널'!L19="","",'[1]1_바디시그널'!L19)</f>
        <v/>
      </c>
      <c r="M10" s="9" t="str">
        <f>IF('[1]1_바디시그널'!M19="","",'[1]1_바디시그널'!M19)</f>
        <v/>
      </c>
      <c r="N10" s="9" t="str">
        <f>IF('[1]1_바디시그널'!N19="","",'[1]1_바디시그널'!N19)</f>
        <v/>
      </c>
      <c r="O10" s="9" t="str">
        <f>IF('[1]1_바디시그널'!O19="","",'[1]1_바디시그널'!O19)</f>
        <v/>
      </c>
      <c r="P10" s="9" t="str">
        <f>IF('[1]1_바디시그널'!P19="","",'[1]1_바디시그널'!P19)</f>
        <v/>
      </c>
      <c r="Q10" s="9" t="str">
        <f>IF('[1]1_바디시그널'!Q19="","",'[1]1_바디시그널'!Q19)</f>
        <v/>
      </c>
      <c r="R10" s="9" t="str">
        <f>IF('[1]1_바디시그널'!R19="","",'[1]1_바디시그널'!R19)</f>
        <v/>
      </c>
      <c r="S10" s="9" t="str">
        <f>IF('[1]1_바디시그널'!S19="","",'[1]1_바디시그널'!S19)</f>
        <v/>
      </c>
      <c r="T10" s="9" t="str">
        <f>IF('[1]1_바디시그널'!T19="","",'[1]1_바디시그널'!T19)</f>
        <v/>
      </c>
      <c r="U10" s="9" t="str">
        <f>IF('[1]1_바디시그널'!U19="","",'[1]1_바디시그널'!U19)</f>
        <v/>
      </c>
      <c r="V10" s="9" t="str">
        <f>IF('[1]1_바디시그널'!V19="","",'[1]1_바디시그널'!V19)</f>
        <v/>
      </c>
      <c r="W10" s="9" t="str">
        <f>IF('[1]1_바디시그널'!W19="","",'[1]1_바디시그널'!W19)</f>
        <v/>
      </c>
      <c r="X10" s="9" t="str">
        <f>IF('[1]1_바디시그널'!X19="","",'[1]1_바디시그널'!X19)</f>
        <v/>
      </c>
      <c r="Y10" s="9" t="str">
        <f>IF('[1]1_바디시그널'!Y19="","",'[1]1_바디시그널'!Y19)</f>
        <v/>
      </c>
      <c r="Z10" s="9" t="str">
        <f>IF('[1]1_바디시그널'!Z19="","",'[1]1_바디시그널'!Z19)</f>
        <v/>
      </c>
      <c r="AA10" s="9" t="str">
        <f>IF('[1]1_바디시그널'!AA19="","",'[1]1_바디시그널'!AA19)</f>
        <v/>
      </c>
      <c r="AB10" s="9" t="str">
        <f>IF('[1]1_바디시그널'!AB19="","",'[1]1_바디시그널'!AB19)</f>
        <v/>
      </c>
      <c r="AC10" s="9" t="str">
        <f>IF('[1]1_바디시그널'!AC19="","",'[1]1_바디시그널'!AC19)</f>
        <v/>
      </c>
    </row>
  </sheetData>
  <sheetProtection sheet="1" objects="1" scenarios="1" formatColumns="0" formatRows="0"/>
  <mergeCells count="6">
    <mergeCell ref="C10:G10"/>
    <mergeCell ref="A1:I1"/>
    <mergeCell ref="A2:I2"/>
    <mergeCell ref="A3:I3"/>
    <mergeCell ref="C8:G8"/>
    <mergeCell ref="C9:G9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4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80.099999999999994" customHeight="1">
      <c r="A5" s="5" t="s">
        <v>50</v>
      </c>
      <c r="B5" s="6" t="str">
        <f>IF('[1]3_보호자행동'!B10="","",'[1]3_보호자행동'!B10)</f>
        <v>[분리] 출입문으로 나가기 전 상호작용 · G→C 순으로 먼저 해당하는 범주 선택. 말·접촉 동시 또는 연속 상호작용은 1회, 멈췄다가 다시 시작하면 새 1회. 횟수·시각은 개59 메모. 숫자는 행동 종류 코드임.</v>
      </c>
      <c r="C5" s="6" t="str">
        <f>IF('[1]3_보호자행동'!C10="","",'[1]3_보호자행동'!C10)</f>
        <v>-2 (범주): 개를 바라보거나 말·접촉을 하지 않고 나감</v>
      </c>
      <c r="D5" s="6" t="str">
        <f>IF('[1]3_보호자행동'!D10="","",'[1]3_보호자행동'!D10)</f>
        <v>-1 (범주): 개를 바라보지만 말·접촉 없이 나감</v>
      </c>
      <c r="E5" s="6" t="str">
        <f>IF('[1]3_보호자행동'!E10="","",'[1]3_보호자행동'!E10)</f>
        <v>0 (범주): 말 또는 접촉을 1회 하고 나감</v>
      </c>
      <c r="F5" s="6" t="str">
        <f>IF('[1]3_보호자행동'!F10="","",'[1]3_보호자행동'!F10)</f>
        <v>+1 (범주): 말 또는 접촉을 2회 하고 나감</v>
      </c>
      <c r="G5" s="6" t="str">
        <f>IF('[1]3_보호자행동'!G10="","",'[1]3_보호자행동'!G10)</f>
        <v>+2 (범주): 말 또는 접촉을 3회 이상 하거나, 이동 중 멈추거나 되돌아와 다시 상호작용함</v>
      </c>
      <c r="H5" s="6" t="str">
        <f>IF('[1]3_보호자행동'!H10="","",'[1]3_보호자행동'!H10)</f>
        <v>보호자 유형 판정 근거
(점수 합계 제외)</v>
      </c>
      <c r="I5" s="6" t="str">
        <f>IF('[1]3_보호자행동'!I10="","",'[1]3_보호자행동'!I10)</f>
        <v>범주 · 유형 근거</v>
      </c>
      <c r="J5" s="9" t="str">
        <f>IF('[1]3_보호자행동'!J10="","",'[1]3_보호자행동'!J10)</f>
        <v/>
      </c>
      <c r="K5" s="9" t="str">
        <f>IF('[1]3_보호자행동'!K10="","",'[1]3_보호자행동'!K10)</f>
        <v/>
      </c>
      <c r="L5" s="9" t="str">
        <f>IF('[1]3_보호자행동'!L10="","",'[1]3_보호자행동'!L10)</f>
        <v/>
      </c>
      <c r="M5" s="9" t="str">
        <f>IF('[1]3_보호자행동'!M10="","",'[1]3_보호자행동'!M10)</f>
        <v/>
      </c>
      <c r="N5" s="9" t="str">
        <f>IF('[1]3_보호자행동'!N10="","",'[1]3_보호자행동'!N10)</f>
        <v/>
      </c>
      <c r="O5" s="9" t="str">
        <f>IF('[1]3_보호자행동'!O10="","",'[1]3_보호자행동'!O10)</f>
        <v/>
      </c>
      <c r="P5" s="9" t="str">
        <f>IF('[1]3_보호자행동'!P10="","",'[1]3_보호자행동'!P10)</f>
        <v/>
      </c>
      <c r="Q5" s="9" t="str">
        <f>IF('[1]3_보호자행동'!Q10="","",'[1]3_보호자행동'!Q10)</f>
        <v/>
      </c>
      <c r="R5" s="9" t="str">
        <f>IF('[1]3_보호자행동'!R10="","",'[1]3_보호자행동'!R10)</f>
        <v/>
      </c>
      <c r="S5" s="9" t="str">
        <f>IF('[1]3_보호자행동'!S10="","",'[1]3_보호자행동'!S10)</f>
        <v/>
      </c>
      <c r="T5" s="9" t="str">
        <f>IF('[1]3_보호자행동'!T10="","",'[1]3_보호자행동'!T10)</f>
        <v/>
      </c>
      <c r="U5" s="9" t="str">
        <f>IF('[1]3_보호자행동'!U10="","",'[1]3_보호자행동'!U10)</f>
        <v/>
      </c>
      <c r="V5" s="9" t="str">
        <f>IF('[1]3_보호자행동'!V10="","",'[1]3_보호자행동'!V10)</f>
        <v/>
      </c>
      <c r="W5" s="9" t="str">
        <f>IF('[1]3_보호자행동'!W10="","",'[1]3_보호자행동'!W10)</f>
        <v/>
      </c>
      <c r="X5" s="9" t="str">
        <f>IF('[1]3_보호자행동'!X10="","",'[1]3_보호자행동'!X10)</f>
        <v/>
      </c>
      <c r="Y5" s="9" t="str">
        <f>IF('[1]3_보호자행동'!Y10="","",'[1]3_보호자행동'!Y10)</f>
        <v/>
      </c>
      <c r="Z5" s="9" t="str">
        <f>IF('[1]3_보호자행동'!Z10="","",'[1]3_보호자행동'!Z10)</f>
        <v/>
      </c>
      <c r="AA5" s="9" t="str">
        <f>IF('[1]3_보호자행동'!AA10="","",'[1]3_보호자행동'!AA10)</f>
        <v/>
      </c>
      <c r="AB5" s="9" t="str">
        <f>IF('[1]3_보호자행동'!AB10="","",'[1]3_보호자행동'!AB10)</f>
        <v/>
      </c>
      <c r="AC5" s="9" t="str">
        <f>IF('[1]3_보호자행동'!AC10="","",'[1]3_보호자행동'!AC10)</f>
        <v/>
      </c>
    </row>
    <row r="6" spans="1:29" ht="80.099999999999994" customHeight="1">
      <c r="A6" s="5" t="s">
        <v>52</v>
      </c>
      <c r="B6" s="6" t="str">
        <f>IF('[1]2_개행동'!B9="","",'[1]2_개행동'!B9)</f>
        <v>[혼자 초기] 나간 문 쪽 반응 · 보호자의 몸이 완전히 문밖으로 나간 순간부터 처음 10초. C→G 순으로 먼저 해당하는 범주를 선택. 문 지향 반응이며 불안의 단독 증거가 아님.</v>
      </c>
      <c r="C6" s="6" t="str">
        <f>IF('[1]2_개행동'!C9="","",'[1]2_개행동'!C9)</f>
        <v>문·안전문을 향해 뛰거나 앞발을 걸어 올림</v>
      </c>
      <c r="D6" s="6" t="str">
        <f>IF('[1]2_개행동'!D9="","",'[1]2_개행동'!D9)</f>
        <v>위 행동 없이 문을 코·앞발로 건드림</v>
      </c>
      <c r="E6" s="6" t="str">
        <f>IF('[1]2_개행동'!E9="","",'[1]2_개행동'!E9)</f>
        <v>접촉 없이 문 앞 몸길이 1개 이내에서 처음 10초 중 합계 5초 초과 머묾</v>
      </c>
      <c r="F6" s="6" t="str">
        <f>IF('[1]2_개행동'!F9="","",'[1]2_개행동'!F9)</f>
        <v>문 쪽을 향하거나 다가갔으나 위 행동은 없음</v>
      </c>
      <c r="G6" s="6" t="str">
        <f>IF('[1]2_개행동'!G9="","",'[1]2_개행동'!G9)</f>
        <v>문 쪽 방향 전환·접근이 관찰되지 않음</v>
      </c>
      <c r="H6" s="6" t="str">
        <f>IF('[1]2_개행동'!H9="","",'[1]2_개행동'!H9)</f>
        <v>분리·재회 · 문 지향</v>
      </c>
      <c r="I6" s="6" t="str">
        <f>IF('[1]2_개행동'!I9="","",'[1]2_개행동'!I9)</f>
        <v>양쪽·거리</v>
      </c>
      <c r="J6" s="9" t="str">
        <f>IF('[1]2_개행동'!J9="","",'[1]2_개행동'!J9)</f>
        <v/>
      </c>
      <c r="K6" s="9" t="str">
        <f>IF('[1]2_개행동'!K9="","",'[1]2_개행동'!K9)</f>
        <v/>
      </c>
      <c r="L6" s="9" t="str">
        <f>IF('[1]2_개행동'!L9="","",'[1]2_개행동'!L9)</f>
        <v/>
      </c>
      <c r="M6" s="9" t="str">
        <f>IF('[1]2_개행동'!M9="","",'[1]2_개행동'!M9)</f>
        <v/>
      </c>
      <c r="N6" s="9" t="str">
        <f>IF('[1]2_개행동'!N9="","",'[1]2_개행동'!N9)</f>
        <v/>
      </c>
      <c r="O6" s="9" t="str">
        <f>IF('[1]2_개행동'!O9="","",'[1]2_개행동'!O9)</f>
        <v/>
      </c>
      <c r="P6" s="9" t="str">
        <f>IF('[1]2_개행동'!P9="","",'[1]2_개행동'!P9)</f>
        <v/>
      </c>
      <c r="Q6" s="9" t="str">
        <f>IF('[1]2_개행동'!Q9="","",'[1]2_개행동'!Q9)</f>
        <v/>
      </c>
      <c r="R6" s="9" t="str">
        <f>IF('[1]2_개행동'!R9="","",'[1]2_개행동'!R9)</f>
        <v/>
      </c>
      <c r="S6" s="9" t="str">
        <f>IF('[1]2_개행동'!S9="","",'[1]2_개행동'!S9)</f>
        <v/>
      </c>
      <c r="T6" s="9" t="str">
        <f>IF('[1]2_개행동'!T9="","",'[1]2_개행동'!T9)</f>
        <v/>
      </c>
      <c r="U6" s="9" t="str">
        <f>IF('[1]2_개행동'!U9="","",'[1]2_개행동'!U9)</f>
        <v/>
      </c>
      <c r="V6" s="9" t="str">
        <f>IF('[1]2_개행동'!V9="","",'[1]2_개행동'!V9)</f>
        <v/>
      </c>
      <c r="W6" s="9" t="str">
        <f>IF('[1]2_개행동'!W9="","",'[1]2_개행동'!W9)</f>
        <v/>
      </c>
      <c r="X6" s="9" t="str">
        <f>IF('[1]2_개행동'!X9="","",'[1]2_개행동'!X9)</f>
        <v/>
      </c>
      <c r="Y6" s="9" t="str">
        <f>IF('[1]2_개행동'!Y9="","",'[1]2_개행동'!Y9)</f>
        <v/>
      </c>
      <c r="Z6" s="9" t="str">
        <f>IF('[1]2_개행동'!Z9="","",'[1]2_개행동'!Z9)</f>
        <v/>
      </c>
      <c r="AA6" s="9" t="str">
        <f>IF('[1]2_개행동'!AA9="","",'[1]2_개행동'!AA9)</f>
        <v/>
      </c>
      <c r="AB6" s="9" t="str">
        <f>IF('[1]2_개행동'!AB9="","",'[1]2_개행동'!AB9)</f>
        <v/>
      </c>
      <c r="AC6" s="9" t="str">
        <f>IF('[1]2_개행동'!AC9="","",'[1]2_개행동'!AC9)</f>
        <v/>
      </c>
    </row>
    <row r="7" spans="1:29" ht="96" customHeight="1">
      <c r="A7" s="5" t="s">
        <v>53</v>
      </c>
      <c r="B7" s="6" t="str">
        <f>IF('[1]2_개행동'!B10="","",'[1]2_개행동'!B10)</f>
        <v>[혼자 이후] 공간 사용 양상 · 처음 10초 이후~60초까지 50초. C→G 순으로 먼저 해당하는 범주를 선택. 아래 초는 이후 50초 안에서 셈. 해당 없음·관찰 불가·구간 단축은 빈칸과 개59 메모.</v>
      </c>
      <c r="C7" s="6" t="str">
        <f>IF('[1]2_개행동'!C10="","",'[1]2_개행동'!C10)</f>
        <v>문을 긁거나 문·안전문을 넘으려 지속적 시도함</v>
      </c>
      <c r="D7" s="6" t="str">
        <f>IF('[1]2_개행동'!D10="","",'[1]2_개행동'!D10)</f>
        <v>가끔씩 코나 앞발로 문을 건들음</v>
      </c>
      <c r="E7" s="6" t="str">
        <f>IF('[1]2_개행동'!E10="","",'[1]2_개행동'!E10)</f>
        <v>안전문 앞에 20초 이상 있다가 다른 곳을 둘러봄,  그 뒤 위 두 행동 없이 주로 머물다가 둘러보거나 위치를 바꿈</v>
      </c>
      <c r="F7" s="6" t="str">
        <f>IF('[1]2_개행동'!F10="","",'[1]2_개행동'!F10)</f>
        <v>앞선 범주에 해당하지 않고, 안전문 앞에 5초 이상~20초 미만 있다가 다른 곳으로 감.</v>
      </c>
      <c r="G7" s="6" t="str">
        <f>IF('[1]2_개행동'!G10="","",'[1]2_개행동'!G10)</f>
        <v>위 행동 없이 다른 곳을 살피며 문 쪽으로 돌아오지 않음</v>
      </c>
      <c r="H7" s="6" t="str">
        <f>IF('[1]2_개행동'!H10="","",'[1]2_개행동'!H10)</f>
        <v>분리·재회 · 개별</v>
      </c>
      <c r="I7" s="6" t="str">
        <f>IF('[1]2_개행동'!I10="","",'[1]2_개행동'!I10)</f>
        <v>범주 · 이후 50초</v>
      </c>
      <c r="J7" s="9" t="str">
        <f>IF('[1]2_개행동'!J10="","",'[1]2_개행동'!J10)</f>
        <v/>
      </c>
      <c r="K7" s="9" t="str">
        <f>IF('[1]2_개행동'!K10="","",'[1]2_개행동'!K10)</f>
        <v/>
      </c>
      <c r="L7" s="9" t="str">
        <f>IF('[1]2_개행동'!L10="","",'[1]2_개행동'!L10)</f>
        <v/>
      </c>
      <c r="M7" s="9" t="str">
        <f>IF('[1]2_개행동'!M10="","",'[1]2_개행동'!M10)</f>
        <v/>
      </c>
      <c r="N7" s="9" t="str">
        <f>IF('[1]2_개행동'!N10="","",'[1]2_개행동'!N10)</f>
        <v/>
      </c>
      <c r="O7" s="9" t="str">
        <f>IF('[1]2_개행동'!O10="","",'[1]2_개행동'!O10)</f>
        <v/>
      </c>
      <c r="P7" s="9" t="str">
        <f>IF('[1]2_개행동'!P10="","",'[1]2_개행동'!P10)</f>
        <v/>
      </c>
      <c r="Q7" s="9" t="str">
        <f>IF('[1]2_개행동'!Q10="","",'[1]2_개행동'!Q10)</f>
        <v/>
      </c>
      <c r="R7" s="9" t="str">
        <f>IF('[1]2_개행동'!R10="","",'[1]2_개행동'!R10)</f>
        <v/>
      </c>
      <c r="S7" s="9" t="str">
        <f>IF('[1]2_개행동'!S10="","",'[1]2_개행동'!S10)</f>
        <v/>
      </c>
      <c r="T7" s="9" t="str">
        <f>IF('[1]2_개행동'!T10="","",'[1]2_개행동'!T10)</f>
        <v/>
      </c>
      <c r="U7" s="9" t="str">
        <f>IF('[1]2_개행동'!U10="","",'[1]2_개행동'!U10)</f>
        <v/>
      </c>
      <c r="V7" s="9" t="str">
        <f>IF('[1]2_개행동'!V10="","",'[1]2_개행동'!V10)</f>
        <v/>
      </c>
      <c r="W7" s="9" t="str">
        <f>IF('[1]2_개행동'!W10="","",'[1]2_개행동'!W10)</f>
        <v/>
      </c>
      <c r="X7" s="9" t="str">
        <f>IF('[1]2_개행동'!X10="","",'[1]2_개행동'!X10)</f>
        <v/>
      </c>
      <c r="Y7" s="9" t="str">
        <f>IF('[1]2_개행동'!Y10="","",'[1]2_개행동'!Y10)</f>
        <v/>
      </c>
      <c r="Z7" s="9" t="str">
        <f>IF('[1]2_개행동'!Z10="","",'[1]2_개행동'!Z10)</f>
        <v/>
      </c>
      <c r="AA7" s="9" t="str">
        <f>IF('[1]2_개행동'!AA10="","",'[1]2_개행동'!AA10)</f>
        <v/>
      </c>
      <c r="AB7" s="9" t="str">
        <f>IF('[1]2_개행동'!AB10="","",'[1]2_개행동'!AB10)</f>
        <v/>
      </c>
      <c r="AC7" s="9" t="str">
        <f>IF('[1]2_개행동'!AC10="","",'[1]2_개행동'!AC10)</f>
        <v/>
      </c>
    </row>
    <row r="8" spans="1:29" ht="80.099999999999994" customHeight="1">
      <c r="A8" s="5" t="s">
        <v>54</v>
      </c>
      <c r="B8" s="6" t="str">
        <f>IF('[1]2_개행동'!B58="","",'[1]2_개행동'!B58)</f>
        <v>[혼자] 몸 상태 ※실제 분리 구간 전체의 주된 상태. 개8·18·23과 같은 눈금. 복지 중단·구간 길이는 메모.</v>
      </c>
      <c r="C8" s="6" t="str">
        <f>IF('[1]2_개행동'!C58="","",'[1]2_개행동'!C58)</f>
        <v>관찰 가능 시간의 절반 초과 동안 움직임이 멎고 몸이 뻣뻣함</v>
      </c>
      <c r="D8" s="6" t="str">
        <f>IF('[1]2_개행동'!D58="","",'[1]2_개행동'!D58)</f>
        <v>절반 초과 동안 낮춘 자세·조심스러운 움직임, 지속 굳음은 없음</v>
      </c>
      <c r="E8" s="6" t="str">
        <f>IF('[1]2_개행동'!E58="","",'[1]2_개행동'!E58)</f>
        <v>어느 극단도 절반을 넘지 않음; 주로 자연스러운 자세·이동. 반대 반응 혼재는 메모</v>
      </c>
      <c r="F8" s="6" t="str">
        <f>IF('[1]2_개행동'!F58="","",'[1]2_개행동'!F58)</f>
        <v>절반 초과 동안 같은 경로를 반복 이동하거나 자세를 자주 바꿈; 지속 뛰기 수준은 아님</v>
      </c>
      <c r="G8" s="6" t="str">
        <f>IF('[1]2_개행동'!G58="","",'[1]2_개행동'!G58)</f>
        <v>절반 초과 동안 뛰기·몸 부딪치기·급한 반복 이동이 이어짐</v>
      </c>
      <c r="H8" s="6" t="str">
        <f>IF('[1]2_개행동'!H58="","",'[1]2_개행동'!H58)</f>
        <v>몸 상태 변화용</v>
      </c>
      <c r="I8" s="6" t="str">
        <f>IF('[1]2_개행동'!I58="","",'[1]2_개행동'!I58)</f>
        <v>양쪽·몸상태</v>
      </c>
      <c r="J8" s="9" t="str">
        <f>IF('[1]2_개행동'!J58="","",'[1]2_개행동'!J58)</f>
        <v/>
      </c>
      <c r="K8" s="9" t="str">
        <f>IF('[1]2_개행동'!K58="","",'[1]2_개행동'!K58)</f>
        <v/>
      </c>
      <c r="L8" s="9" t="str">
        <f>IF('[1]2_개행동'!L58="","",'[1]2_개행동'!L58)</f>
        <v/>
      </c>
      <c r="M8" s="9" t="str">
        <f>IF('[1]2_개행동'!M58="","",'[1]2_개행동'!M58)</f>
        <v/>
      </c>
      <c r="N8" s="9" t="str">
        <f>IF('[1]2_개행동'!N58="","",'[1]2_개행동'!N58)</f>
        <v/>
      </c>
      <c r="O8" s="9" t="str">
        <f>IF('[1]2_개행동'!O58="","",'[1]2_개행동'!O58)</f>
        <v/>
      </c>
      <c r="P8" s="9" t="str">
        <f>IF('[1]2_개행동'!P58="","",'[1]2_개행동'!P58)</f>
        <v/>
      </c>
      <c r="Q8" s="9" t="str">
        <f>IF('[1]2_개행동'!Q58="","",'[1]2_개행동'!Q58)</f>
        <v/>
      </c>
      <c r="R8" s="9" t="str">
        <f>IF('[1]2_개행동'!R58="","",'[1]2_개행동'!R58)</f>
        <v/>
      </c>
      <c r="S8" s="9" t="str">
        <f>IF('[1]2_개행동'!S58="","",'[1]2_개행동'!S58)</f>
        <v/>
      </c>
      <c r="T8" s="9" t="str">
        <f>IF('[1]2_개행동'!T58="","",'[1]2_개행동'!T58)</f>
        <v/>
      </c>
      <c r="U8" s="9" t="str">
        <f>IF('[1]2_개행동'!U58="","",'[1]2_개행동'!U58)</f>
        <v/>
      </c>
      <c r="V8" s="9" t="str">
        <f>IF('[1]2_개행동'!V58="","",'[1]2_개행동'!V58)</f>
        <v/>
      </c>
      <c r="W8" s="9" t="str">
        <f>IF('[1]2_개행동'!W58="","",'[1]2_개행동'!W58)</f>
        <v/>
      </c>
      <c r="X8" s="9" t="str">
        <f>IF('[1]2_개행동'!X58="","",'[1]2_개행동'!X58)</f>
        <v/>
      </c>
      <c r="Y8" s="9" t="str">
        <f>IF('[1]2_개행동'!Y58="","",'[1]2_개행동'!Y58)</f>
        <v/>
      </c>
      <c r="Z8" s="9" t="str">
        <f>IF('[1]2_개행동'!Z58="","",'[1]2_개행동'!Z58)</f>
        <v/>
      </c>
      <c r="AA8" s="9" t="str">
        <f>IF('[1]2_개행동'!AA58="","",'[1]2_개행동'!AA58)</f>
        <v/>
      </c>
      <c r="AB8" s="9" t="str">
        <f>IF('[1]2_개행동'!AB58="","",'[1]2_개행동'!AB58)</f>
        <v/>
      </c>
      <c r="AC8" s="9" t="str">
        <f>IF('[1]2_개행동'!AC58="","",'[1]2_개행동'!AC58)</f>
        <v/>
      </c>
    </row>
    <row r="9" spans="1:29" ht="63.95" customHeight="1">
      <c r="A9" s="5" t="s">
        <v>55</v>
      </c>
      <c r="B9" s="6" t="str">
        <f>IF('[1]2_개행동'!B11="","",'[1]2_개행동'!B11)</f>
        <v>[혼자] 발성량 ※0~3 시간 비중 · 혼자 실제 구간. 못 들으면 빈칸; 0은 들었으나 없음. 종류·시각·관찰 초는 메모. 꼬리로 소리 의미를 정하지 않음.</v>
      </c>
      <c r="C9" s="6" t="str">
        <f>IF('[1]2_개행동'!C11="","",'[1]2_개행동'!C11)</f>
        <v>0 — 발성 없음</v>
      </c>
      <c r="D9" s="6" t="str">
        <f>IF('[1]2_개행동'!D11="","",'[1]2_개행동'!D11)</f>
        <v>1 — 발성 누적 비중 0 초과~1/3 이하</v>
      </c>
      <c r="E9" s="6" t="str">
        <f>IF('[1]2_개행동'!E11="","",'[1]2_개행동'!E11)</f>
        <v>2 — 1/3 초과~2/3 이하</v>
      </c>
      <c r="F9" s="6" t="str">
        <f>IF('[1]2_개행동'!F11="","",'[1]2_개행동'!F11)</f>
        <v>3 — 2/3 초과</v>
      </c>
      <c r="G9" s="6" t="str">
        <f>IF('[1]2_개행동'!G11="","",'[1]2_개행동'!G11)</f>
        <v/>
      </c>
      <c r="H9" s="6" t="str">
        <f>IF('[1]2_개행동'!H11="","",'[1]2_개행동'!H11)</f>
        <v>별도 관찰 · 발성</v>
      </c>
      <c r="I9" s="6" t="str">
        <f>IF('[1]2_개행동'!I11="","",'[1]2_개행동'!I11)</f>
        <v>한쪽·발성량</v>
      </c>
      <c r="J9" s="9" t="str">
        <f>IF('[1]2_개행동'!J11="","",'[1]2_개행동'!J11)</f>
        <v/>
      </c>
      <c r="K9" s="9" t="str">
        <f>IF('[1]2_개행동'!K11="","",'[1]2_개행동'!K11)</f>
        <v/>
      </c>
      <c r="L9" s="9" t="str">
        <f>IF('[1]2_개행동'!L11="","",'[1]2_개행동'!L11)</f>
        <v/>
      </c>
      <c r="M9" s="9" t="str">
        <f>IF('[1]2_개행동'!M11="","",'[1]2_개행동'!M11)</f>
        <v/>
      </c>
      <c r="N9" s="9" t="str">
        <f>IF('[1]2_개행동'!N11="","",'[1]2_개행동'!N11)</f>
        <v/>
      </c>
      <c r="O9" s="9" t="str">
        <f>IF('[1]2_개행동'!O11="","",'[1]2_개행동'!O11)</f>
        <v/>
      </c>
      <c r="P9" s="9" t="str">
        <f>IF('[1]2_개행동'!P11="","",'[1]2_개행동'!P11)</f>
        <v/>
      </c>
      <c r="Q9" s="9" t="str">
        <f>IF('[1]2_개행동'!Q11="","",'[1]2_개행동'!Q11)</f>
        <v/>
      </c>
      <c r="R9" s="9" t="str">
        <f>IF('[1]2_개행동'!R11="","",'[1]2_개행동'!R11)</f>
        <v/>
      </c>
      <c r="S9" s="9" t="str">
        <f>IF('[1]2_개행동'!S11="","",'[1]2_개행동'!S11)</f>
        <v/>
      </c>
      <c r="T9" s="9" t="str">
        <f>IF('[1]2_개행동'!T11="","",'[1]2_개행동'!T11)</f>
        <v/>
      </c>
      <c r="U9" s="9" t="str">
        <f>IF('[1]2_개행동'!U11="","",'[1]2_개행동'!U11)</f>
        <v/>
      </c>
      <c r="V9" s="9" t="str">
        <f>IF('[1]2_개행동'!V11="","",'[1]2_개행동'!V11)</f>
        <v/>
      </c>
      <c r="W9" s="9" t="str">
        <f>IF('[1]2_개행동'!W11="","",'[1]2_개행동'!W11)</f>
        <v/>
      </c>
      <c r="X9" s="9" t="str">
        <f>IF('[1]2_개행동'!X11="","",'[1]2_개행동'!X11)</f>
        <v/>
      </c>
      <c r="Y9" s="9" t="str">
        <f>IF('[1]2_개행동'!Y11="","",'[1]2_개행동'!Y11)</f>
        <v/>
      </c>
      <c r="Z9" s="9" t="str">
        <f>IF('[1]2_개행동'!Z11="","",'[1]2_개행동'!Z11)</f>
        <v/>
      </c>
      <c r="AA9" s="9" t="str">
        <f>IF('[1]2_개행동'!AA11="","",'[1]2_개행동'!AA11)</f>
        <v/>
      </c>
      <c r="AB9" s="9" t="str">
        <f>IF('[1]2_개행동'!AB11="","",'[1]2_개행동'!AB11)</f>
        <v/>
      </c>
      <c r="AC9" s="9" t="str">
        <f>IF('[1]2_개행동'!AC11="","",'[1]2_개행동'!AC11)</f>
        <v/>
      </c>
    </row>
    <row r="10" spans="1:29" ht="80.099999999999994" customHeight="1">
      <c r="A10" s="5" t="s">
        <v>56</v>
      </c>
      <c r="B10" s="6" t="str">
        <f>IF('[1]2_개행동'!B12="","",'[1]2_개행동'!B12)</f>
        <v>[혼자] 탐색 변화 ※보호자 유무의 균형·반복 비교가 아니므로 안전기지 효과의 단독 판정 제외. 실제 탐색 초와 기준·혼자 관찰 가능 초를 개59에 기록. 아래는 참고 범주.</v>
      </c>
      <c r="C10" s="6" t="str">
        <f>IF('[1]2_개행동'!C12="","",'[1]2_개행동'!C12)</f>
        <v>보호자가 있을 때도 탐색이 거의 없다</v>
      </c>
      <c r="D10" s="6" t="str">
        <f>IF('[1]2_개행동'!D12="","",'[1]2_개행동'!D12)</f>
        <v>멀리 떨어지지 않고 탐색한다</v>
      </c>
      <c r="E10" s="6" t="str">
        <f>IF('[1]2_개행동'!E12="","",'[1]2_개행동'!E12)</f>
        <v>있을 때 탐색하고 나간 뒤 눈에 띄게 줄어든다</v>
      </c>
      <c r="F10" s="6" t="str">
        <f>IF('[1]2_개행동'!F12="","",'[1]2_개행동'!F12)</f>
        <v>잠시 신경 쓰고 탐색한다</v>
      </c>
      <c r="G10" s="6" t="str">
        <f>IF('[1]2_개행동'!G12="","",'[1]2_개행동'!G12)</f>
        <v>없어져도 있을 때와 마찬가지로 탐색</v>
      </c>
      <c r="H10" s="6" t="str">
        <f>IF('[1]2_개행동'!H12="","",'[1]2_개행동'!H12)</f>
        <v>— 참고 (Rehn 2013 · 순서효과)</v>
      </c>
      <c r="I10" s="6" t="str">
        <f>IF('[1]2_개행동'!I12="","",'[1]2_개행동'!I12)</f>
        <v>참고</v>
      </c>
      <c r="J10" s="9" t="str">
        <f>IF('[1]2_개행동'!J12="","",'[1]2_개행동'!J12)</f>
        <v/>
      </c>
      <c r="K10" s="9" t="str">
        <f>IF('[1]2_개행동'!K12="","",'[1]2_개행동'!K12)</f>
        <v/>
      </c>
      <c r="L10" s="9" t="str">
        <f>IF('[1]2_개행동'!L12="","",'[1]2_개행동'!L12)</f>
        <v/>
      </c>
      <c r="M10" s="9" t="str">
        <f>IF('[1]2_개행동'!M12="","",'[1]2_개행동'!M12)</f>
        <v/>
      </c>
      <c r="N10" s="9" t="str">
        <f>IF('[1]2_개행동'!N12="","",'[1]2_개행동'!N12)</f>
        <v/>
      </c>
      <c r="O10" s="9" t="str">
        <f>IF('[1]2_개행동'!O12="","",'[1]2_개행동'!O12)</f>
        <v/>
      </c>
      <c r="P10" s="9" t="str">
        <f>IF('[1]2_개행동'!P12="","",'[1]2_개행동'!P12)</f>
        <v/>
      </c>
      <c r="Q10" s="9" t="str">
        <f>IF('[1]2_개행동'!Q12="","",'[1]2_개행동'!Q12)</f>
        <v/>
      </c>
      <c r="R10" s="9" t="str">
        <f>IF('[1]2_개행동'!R12="","",'[1]2_개행동'!R12)</f>
        <v/>
      </c>
      <c r="S10" s="9" t="str">
        <f>IF('[1]2_개행동'!S12="","",'[1]2_개행동'!S12)</f>
        <v/>
      </c>
      <c r="T10" s="9" t="str">
        <f>IF('[1]2_개행동'!T12="","",'[1]2_개행동'!T12)</f>
        <v/>
      </c>
      <c r="U10" s="9" t="str">
        <f>IF('[1]2_개행동'!U12="","",'[1]2_개행동'!U12)</f>
        <v/>
      </c>
      <c r="V10" s="9" t="str">
        <f>IF('[1]2_개행동'!V12="","",'[1]2_개행동'!V12)</f>
        <v/>
      </c>
      <c r="W10" s="9" t="str">
        <f>IF('[1]2_개행동'!W12="","",'[1]2_개행동'!W12)</f>
        <v/>
      </c>
      <c r="X10" s="9" t="str">
        <f>IF('[1]2_개행동'!X12="","",'[1]2_개행동'!X12)</f>
        <v/>
      </c>
      <c r="Y10" s="9" t="str">
        <f>IF('[1]2_개행동'!Y12="","",'[1]2_개행동'!Y12)</f>
        <v/>
      </c>
      <c r="Z10" s="9" t="str">
        <f>IF('[1]2_개행동'!Z12="","",'[1]2_개행동'!Z12)</f>
        <v/>
      </c>
      <c r="AA10" s="9" t="str">
        <f>IF('[1]2_개행동'!AA12="","",'[1]2_개행동'!AA12)</f>
        <v/>
      </c>
      <c r="AB10" s="9" t="str">
        <f>IF('[1]2_개행동'!AB12="","",'[1]2_개행동'!AB12)</f>
        <v/>
      </c>
      <c r="AC10" s="9" t="str">
        <f>IF('[1]2_개행동'!AC12="","",'[1]2_개행동'!AC12)</f>
        <v/>
      </c>
    </row>
    <row r="11" spans="1:29" ht="63.95" customHeight="1">
      <c r="A11" s="5" t="s">
        <v>57</v>
      </c>
      <c r="B11" s="6" t="str">
        <f>IF('[1]1_바디시그널'!B9="","",'[1]1_바디시그널'!B9)</f>
        <v>[혼자] 꼬리 — 위치 ※형태 관찰. 기준 20초(바38)와 원값을 나란히 봄. 기준도 낯선 장소에서의 상태이며 평소 꼬리가 아님. 가림·단미 등 판독 불가면 빈칸.</v>
      </c>
      <c r="C11" s="6" t="str">
        <f>IF('[1]1_바디시그널'!C9="","",'[1]1_바디시그널'!C9)</f>
        <v>다리 사이로 말아 넣음</v>
      </c>
      <c r="D11" s="6" t="str">
        <f>IF('[1]1_바디시그널'!D9="","",'[1]1_바디시그널'!D9)</f>
        <v>등선보다 아래로 늘어뜨림 — 꼬리끝이 바닥을 가리킴</v>
      </c>
      <c r="E11" s="6" t="str">
        <f>IF('[1]1_바디시그널'!E9="","",'[1]1_바디시그널'!E9)</f>
        <v>등선 높이 — 꼬리끝이 바닥보다 위</v>
      </c>
      <c r="F11" s="6" t="str">
        <f>IF('[1]1_바디시그널'!F9="","",'[1]1_바디시그널'!F9)</f>
        <v>등선보다 높이 올라옴</v>
      </c>
      <c r="G11" s="6" t="str">
        <f>IF('[1]1_바디시그널'!G9="","",'[1]1_바디시그널'!G9)</f>
        <v>등 위로 높이 세우거나 말아 올림</v>
      </c>
      <c r="H11" s="6" t="str">
        <f>IF('[1]1_바디시그널'!H9="","",'[1]1_바디시그널'!H9)</f>
        <v>별도 관찰 · 꼬리 형태</v>
      </c>
      <c r="I11" s="6" t="str">
        <f>IF('[1]1_바디시그널'!I9="","",'[1]1_바디시그널'!I9)</f>
        <v>양쪽·위치</v>
      </c>
      <c r="J11" s="9" t="str">
        <f>IF('[1]1_바디시그널'!J9="","",'[1]1_바디시그널'!J9)</f>
        <v/>
      </c>
      <c r="K11" s="9" t="str">
        <f>IF('[1]1_바디시그널'!K9="","",'[1]1_바디시그널'!K9)</f>
        <v/>
      </c>
      <c r="L11" s="9" t="str">
        <f>IF('[1]1_바디시그널'!L9="","",'[1]1_바디시그널'!L9)</f>
        <v/>
      </c>
      <c r="M11" s="9" t="str">
        <f>IF('[1]1_바디시그널'!M9="","",'[1]1_바디시그널'!M9)</f>
        <v/>
      </c>
      <c r="N11" s="9" t="str">
        <f>IF('[1]1_바디시그널'!N9="","",'[1]1_바디시그널'!N9)</f>
        <v/>
      </c>
      <c r="O11" s="9" t="str">
        <f>IF('[1]1_바디시그널'!O9="","",'[1]1_바디시그널'!O9)</f>
        <v/>
      </c>
      <c r="P11" s="9" t="str">
        <f>IF('[1]1_바디시그널'!P9="","",'[1]1_바디시그널'!P9)</f>
        <v/>
      </c>
      <c r="Q11" s="9" t="str">
        <f>IF('[1]1_바디시그널'!Q9="","",'[1]1_바디시그널'!Q9)</f>
        <v/>
      </c>
      <c r="R11" s="9" t="str">
        <f>IF('[1]1_바디시그널'!R9="","",'[1]1_바디시그널'!R9)</f>
        <v/>
      </c>
      <c r="S11" s="9" t="str">
        <f>IF('[1]1_바디시그널'!S9="","",'[1]1_바디시그널'!S9)</f>
        <v/>
      </c>
      <c r="T11" s="9" t="str">
        <f>IF('[1]1_바디시그널'!T9="","",'[1]1_바디시그널'!T9)</f>
        <v/>
      </c>
      <c r="U11" s="9" t="str">
        <f>IF('[1]1_바디시그널'!U9="","",'[1]1_바디시그널'!U9)</f>
        <v/>
      </c>
      <c r="V11" s="9" t="str">
        <f>IF('[1]1_바디시그널'!V9="","",'[1]1_바디시그널'!V9)</f>
        <v/>
      </c>
      <c r="W11" s="9" t="str">
        <f>IF('[1]1_바디시그널'!W9="","",'[1]1_바디시그널'!W9)</f>
        <v/>
      </c>
      <c r="X11" s="9" t="str">
        <f>IF('[1]1_바디시그널'!X9="","",'[1]1_바디시그널'!X9)</f>
        <v/>
      </c>
      <c r="Y11" s="9" t="str">
        <f>IF('[1]1_바디시그널'!Y9="","",'[1]1_바디시그널'!Y9)</f>
        <v/>
      </c>
      <c r="Z11" s="9" t="str">
        <f>IF('[1]1_바디시그널'!Z9="","",'[1]1_바디시그널'!Z9)</f>
        <v/>
      </c>
      <c r="AA11" s="9" t="str">
        <f>IF('[1]1_바디시그널'!AA9="","",'[1]1_바디시그널'!AA9)</f>
        <v/>
      </c>
      <c r="AB11" s="9" t="str">
        <f>IF('[1]1_바디시그널'!AB9="","",'[1]1_바디시그널'!AB9)</f>
        <v/>
      </c>
      <c r="AC11" s="9" t="str">
        <f>IF('[1]1_바디시그널'!AC9="","",'[1]1_바디시그널'!AC9)</f>
        <v/>
      </c>
    </row>
    <row r="12" spans="1:29" ht="60" customHeight="1">
      <c r="A12" s="5" t="s">
        <v>58</v>
      </c>
      <c r="B12" s="6" t="str">
        <f>IF('[1]1_바디시그널'!B10="","",'[1]1_바디시그널'!B10)</f>
        <v>분리 — 몸 털기  ※횟수 · 점수가 아닙니다</v>
      </c>
      <c r="C12" s="18" t="str">
        <f>SUBSTITUTE(IF('[1]1_바디시그널'!C10="","",'[1]1_바디시그널'!C10),"아래 구간별 횟수 칸(14~37행)","구간별 횟수 항목(바14~바37)")</f>
        <v>보호자가 나간 순간부터 5초 안에 개가 몸을 턴 횟수를 셉니다. 물기를 털듯 온몸을 흔드는 동작입니다. 하품 · 코 핥기는 여기서 세지 않고 구간별 횟수 항목(바14~바37)에 적습니다.</v>
      </c>
      <c r="D12" s="18"/>
      <c r="E12" s="18"/>
      <c r="F12" s="18"/>
      <c r="G12" s="18"/>
      <c r="H12" s="6" t="str">
        <f>IF('[1]1_바디시그널'!H10="","",'[1]1_바디시그널'!H10)</f>
        <v>— 참고 · 횟수</v>
      </c>
      <c r="I12" s="6" t="str">
        <f>IF('[1]1_바디시그널'!I10="","",'[1]1_바디시그널'!I10)</f>
        <v>참고</v>
      </c>
      <c r="J12" s="9" t="str">
        <f>IF('[1]1_바디시그널'!J10="","",'[1]1_바디시그널'!J10)</f>
        <v/>
      </c>
      <c r="K12" s="9" t="str">
        <f>IF('[1]1_바디시그널'!K10="","",'[1]1_바디시그널'!K10)</f>
        <v/>
      </c>
      <c r="L12" s="9" t="str">
        <f>IF('[1]1_바디시그널'!L10="","",'[1]1_바디시그널'!L10)</f>
        <v/>
      </c>
      <c r="M12" s="9" t="str">
        <f>IF('[1]1_바디시그널'!M10="","",'[1]1_바디시그널'!M10)</f>
        <v/>
      </c>
      <c r="N12" s="9" t="str">
        <f>IF('[1]1_바디시그널'!N10="","",'[1]1_바디시그널'!N10)</f>
        <v/>
      </c>
      <c r="O12" s="9" t="str">
        <f>IF('[1]1_바디시그널'!O10="","",'[1]1_바디시그널'!O10)</f>
        <v/>
      </c>
      <c r="P12" s="9" t="str">
        <f>IF('[1]1_바디시그널'!P10="","",'[1]1_바디시그널'!P10)</f>
        <v/>
      </c>
      <c r="Q12" s="9" t="str">
        <f>IF('[1]1_바디시그널'!Q10="","",'[1]1_바디시그널'!Q10)</f>
        <v/>
      </c>
      <c r="R12" s="9" t="str">
        <f>IF('[1]1_바디시그널'!R10="","",'[1]1_바디시그널'!R10)</f>
        <v/>
      </c>
      <c r="S12" s="9" t="str">
        <f>IF('[1]1_바디시그널'!S10="","",'[1]1_바디시그널'!S10)</f>
        <v/>
      </c>
      <c r="T12" s="9" t="str">
        <f>IF('[1]1_바디시그널'!T10="","",'[1]1_바디시그널'!T10)</f>
        <v/>
      </c>
      <c r="U12" s="9" t="str">
        <f>IF('[1]1_바디시그널'!U10="","",'[1]1_바디시그널'!U10)</f>
        <v/>
      </c>
      <c r="V12" s="9" t="str">
        <f>IF('[1]1_바디시그널'!V10="","",'[1]1_바디시그널'!V10)</f>
        <v/>
      </c>
      <c r="W12" s="9" t="str">
        <f>IF('[1]1_바디시그널'!W10="","",'[1]1_바디시그널'!W10)</f>
        <v/>
      </c>
      <c r="X12" s="9" t="str">
        <f>IF('[1]1_바디시그널'!X10="","",'[1]1_바디시그널'!X10)</f>
        <v/>
      </c>
      <c r="Y12" s="9" t="str">
        <f>IF('[1]1_바디시그널'!Y10="","",'[1]1_바디시그널'!Y10)</f>
        <v/>
      </c>
      <c r="Z12" s="9" t="str">
        <f>IF('[1]1_바디시그널'!Z10="","",'[1]1_바디시그널'!Z10)</f>
        <v/>
      </c>
      <c r="AA12" s="9" t="str">
        <f>IF('[1]1_바디시그널'!AA10="","",'[1]1_바디시그널'!AA10)</f>
        <v/>
      </c>
      <c r="AB12" s="9" t="str">
        <f>IF('[1]1_바디시그널'!AB10="","",'[1]1_바디시그널'!AB10)</f>
        <v/>
      </c>
      <c r="AC12" s="9" t="str">
        <f>IF('[1]1_바디시그널'!AC10="","",'[1]1_바디시그널'!AC10)</f>
        <v/>
      </c>
    </row>
    <row r="13" spans="1:29" ht="60" customHeight="1">
      <c r="A13" s="5" t="s">
        <v>59</v>
      </c>
      <c r="B13" s="6" t="str">
        <f>IF('[1]1_바디시그널'!B20="","",'[1]1_바디시그널'!B20)</f>
        <v>[혼자] 몸 털기 횟수  ※구간 전체 1분 · 참고</v>
      </c>
      <c r="C13" s="18" t="str">
        <f>IF('[1]1_바디시그널'!C20="","",'[1]1_바디시그널'!C20)</f>
        <v>온몸을 좌우로 빠르게 턴 횟수를 셉니다. 머리만 흔든 것은 빼고, 몸이 안 보인 구간이면 빈칸(0 과 다름).</v>
      </c>
      <c r="D13" s="18"/>
      <c r="E13" s="18"/>
      <c r="F13" s="18"/>
      <c r="G13" s="18"/>
      <c r="H13" s="6" t="str">
        <f>IF('[1]1_바디시그널'!H20="","",'[1]1_바디시그널'!H20)</f>
        <v>별도 관찰 · 행동 횟수</v>
      </c>
      <c r="I13" s="6" t="str">
        <f>IF('[1]1_바디시그널'!I20="","",'[1]1_바디시그널'!I20)</f>
        <v>참고</v>
      </c>
      <c r="J13" s="9" t="str">
        <f>IF('[1]1_바디시그널'!J20="","",'[1]1_바디시그널'!J20)</f>
        <v/>
      </c>
      <c r="K13" s="9" t="str">
        <f>IF('[1]1_바디시그널'!K20="","",'[1]1_바디시그널'!K20)</f>
        <v/>
      </c>
      <c r="L13" s="9" t="str">
        <f>IF('[1]1_바디시그널'!L20="","",'[1]1_바디시그널'!L20)</f>
        <v/>
      </c>
      <c r="M13" s="9" t="str">
        <f>IF('[1]1_바디시그널'!M20="","",'[1]1_바디시그널'!M20)</f>
        <v/>
      </c>
      <c r="N13" s="9" t="str">
        <f>IF('[1]1_바디시그널'!N20="","",'[1]1_바디시그널'!N20)</f>
        <v/>
      </c>
      <c r="O13" s="9" t="str">
        <f>IF('[1]1_바디시그널'!O20="","",'[1]1_바디시그널'!O20)</f>
        <v/>
      </c>
      <c r="P13" s="9" t="str">
        <f>IF('[1]1_바디시그널'!P20="","",'[1]1_바디시그널'!P20)</f>
        <v/>
      </c>
      <c r="Q13" s="9" t="str">
        <f>IF('[1]1_바디시그널'!Q20="","",'[1]1_바디시그널'!Q20)</f>
        <v/>
      </c>
      <c r="R13" s="9" t="str">
        <f>IF('[1]1_바디시그널'!R20="","",'[1]1_바디시그널'!R20)</f>
        <v/>
      </c>
      <c r="S13" s="9" t="str">
        <f>IF('[1]1_바디시그널'!S20="","",'[1]1_바디시그널'!S20)</f>
        <v/>
      </c>
      <c r="T13" s="9" t="str">
        <f>IF('[1]1_바디시그널'!T20="","",'[1]1_바디시그널'!T20)</f>
        <v/>
      </c>
      <c r="U13" s="9" t="str">
        <f>IF('[1]1_바디시그널'!U20="","",'[1]1_바디시그널'!U20)</f>
        <v/>
      </c>
      <c r="V13" s="9" t="str">
        <f>IF('[1]1_바디시그널'!V20="","",'[1]1_바디시그널'!V20)</f>
        <v/>
      </c>
      <c r="W13" s="9" t="str">
        <f>IF('[1]1_바디시그널'!W20="","",'[1]1_바디시그널'!W20)</f>
        <v/>
      </c>
      <c r="X13" s="9" t="str">
        <f>IF('[1]1_바디시그널'!X20="","",'[1]1_바디시그널'!X20)</f>
        <v/>
      </c>
      <c r="Y13" s="9" t="str">
        <f>IF('[1]1_바디시그널'!Y20="","",'[1]1_바디시그널'!Y20)</f>
        <v/>
      </c>
      <c r="Z13" s="9" t="str">
        <f>IF('[1]1_바디시그널'!Z20="","",'[1]1_바디시그널'!Z20)</f>
        <v/>
      </c>
      <c r="AA13" s="9" t="str">
        <f>IF('[1]1_바디시그널'!AA20="","",'[1]1_바디시그널'!AA20)</f>
        <v/>
      </c>
      <c r="AB13" s="9" t="str">
        <f>IF('[1]1_바디시그널'!AB20="","",'[1]1_바디시그널'!AB20)</f>
        <v/>
      </c>
      <c r="AC13" s="9" t="str">
        <f>IF('[1]1_바디시그널'!AC20="","",'[1]1_바디시그널'!AC20)</f>
        <v/>
      </c>
    </row>
    <row r="14" spans="1:29" ht="60" customHeight="1">
      <c r="A14" s="5" t="s">
        <v>60</v>
      </c>
      <c r="B14" s="6" t="str">
        <f>IF('[1]1_바디시그널'!B21="","",'[1]1_바디시그널'!B21)</f>
        <v>[혼자] 하품 횟수  ※구간 전체 1분 · 참고</v>
      </c>
      <c r="C14" s="18" t="str">
        <f>IF('[1]1_바디시그널'!C21="","",'[1]1_바디시그널'!C21)</f>
        <v>입을 크게 벌렸다 닫은 횟수를 셉니다. 짖음 · 헐떡임과 구분하고, 얼굴이 안 보인 구간이면 빈칸(0 과 다름).</v>
      </c>
      <c r="D14" s="18"/>
      <c r="E14" s="18"/>
      <c r="F14" s="18"/>
      <c r="G14" s="18"/>
      <c r="H14" s="6" t="str">
        <f>IF('[1]1_바디시그널'!H21="","",'[1]1_바디시그널'!H21)</f>
        <v>별도 관찰 · 행동 횟수</v>
      </c>
      <c r="I14" s="6" t="str">
        <f>IF('[1]1_바디시그널'!I21="","",'[1]1_바디시그널'!I21)</f>
        <v>참고</v>
      </c>
      <c r="J14" s="9" t="str">
        <f>IF('[1]1_바디시그널'!J21="","",'[1]1_바디시그널'!J21)</f>
        <v/>
      </c>
      <c r="K14" s="9" t="str">
        <f>IF('[1]1_바디시그널'!K21="","",'[1]1_바디시그널'!K21)</f>
        <v/>
      </c>
      <c r="L14" s="9" t="str">
        <f>IF('[1]1_바디시그널'!L21="","",'[1]1_바디시그널'!L21)</f>
        <v/>
      </c>
      <c r="M14" s="9" t="str">
        <f>IF('[1]1_바디시그널'!M21="","",'[1]1_바디시그널'!M21)</f>
        <v/>
      </c>
      <c r="N14" s="9" t="str">
        <f>IF('[1]1_바디시그널'!N21="","",'[1]1_바디시그널'!N21)</f>
        <v/>
      </c>
      <c r="O14" s="9" t="str">
        <f>IF('[1]1_바디시그널'!O21="","",'[1]1_바디시그널'!O21)</f>
        <v/>
      </c>
      <c r="P14" s="9" t="str">
        <f>IF('[1]1_바디시그널'!P21="","",'[1]1_바디시그널'!P21)</f>
        <v/>
      </c>
      <c r="Q14" s="9" t="str">
        <f>IF('[1]1_바디시그널'!Q21="","",'[1]1_바디시그널'!Q21)</f>
        <v/>
      </c>
      <c r="R14" s="9" t="str">
        <f>IF('[1]1_바디시그널'!R21="","",'[1]1_바디시그널'!R21)</f>
        <v/>
      </c>
      <c r="S14" s="9" t="str">
        <f>IF('[1]1_바디시그널'!S21="","",'[1]1_바디시그널'!S21)</f>
        <v/>
      </c>
      <c r="T14" s="9" t="str">
        <f>IF('[1]1_바디시그널'!T21="","",'[1]1_바디시그널'!T21)</f>
        <v/>
      </c>
      <c r="U14" s="9" t="str">
        <f>IF('[1]1_바디시그널'!U21="","",'[1]1_바디시그널'!U21)</f>
        <v/>
      </c>
      <c r="V14" s="9" t="str">
        <f>IF('[1]1_바디시그널'!V21="","",'[1]1_바디시그널'!V21)</f>
        <v/>
      </c>
      <c r="W14" s="9" t="str">
        <f>IF('[1]1_바디시그널'!W21="","",'[1]1_바디시그널'!W21)</f>
        <v/>
      </c>
      <c r="X14" s="9" t="str">
        <f>IF('[1]1_바디시그널'!X21="","",'[1]1_바디시그널'!X21)</f>
        <v/>
      </c>
      <c r="Y14" s="9" t="str">
        <f>IF('[1]1_바디시그널'!Y21="","",'[1]1_바디시그널'!Y21)</f>
        <v/>
      </c>
      <c r="Z14" s="9" t="str">
        <f>IF('[1]1_바디시그널'!Z21="","",'[1]1_바디시그널'!Z21)</f>
        <v/>
      </c>
      <c r="AA14" s="9" t="str">
        <f>IF('[1]1_바디시그널'!AA21="","",'[1]1_바디시그널'!AA21)</f>
        <v/>
      </c>
      <c r="AB14" s="9" t="str">
        <f>IF('[1]1_바디시그널'!AB21="","",'[1]1_바디시그널'!AB21)</f>
        <v/>
      </c>
      <c r="AC14" s="9" t="str">
        <f>IF('[1]1_바디시그널'!AC21="","",'[1]1_바디시그널'!AC21)</f>
        <v/>
      </c>
    </row>
    <row r="15" spans="1:29" ht="60" customHeight="1">
      <c r="A15" s="5" t="s">
        <v>61</v>
      </c>
      <c r="B15" s="6" t="str">
        <f>IF('[1]1_바디시그널'!B22="","",'[1]1_바디시그널'!B22)</f>
        <v>[혼자] 코 핥기 횟수  ※구간 전체 1분 · 참고</v>
      </c>
      <c r="C15" s="18" t="str">
        <f>IF('[1]1_바디시그널'!C22="","",'[1]1_바디시그널'!C22)</f>
        <v>혀가 나와 코나 윗입술을 스친 횟수를 셉니다. 1초 이상 떨어져야 따로 세고, 먹이를 먹은 뒤 30초는 세지 않습니다. 얼굴이 안 보이면 빈칸.</v>
      </c>
      <c r="D15" s="18"/>
      <c r="E15" s="18"/>
      <c r="F15" s="18"/>
      <c r="G15" s="18"/>
      <c r="H15" s="6" t="str">
        <f>IF('[1]1_바디시그널'!H22="","",'[1]1_바디시그널'!H22)</f>
        <v>별도 관찰 · 행동 횟수</v>
      </c>
      <c r="I15" s="6" t="str">
        <f>IF('[1]1_바디시그널'!I22="","",'[1]1_바디시그널'!I22)</f>
        <v>참고</v>
      </c>
      <c r="J15" s="9" t="str">
        <f>IF('[1]1_바디시그널'!J22="","",'[1]1_바디시그널'!J22)</f>
        <v/>
      </c>
      <c r="K15" s="9" t="str">
        <f>IF('[1]1_바디시그널'!K22="","",'[1]1_바디시그널'!K22)</f>
        <v/>
      </c>
      <c r="L15" s="9" t="str">
        <f>IF('[1]1_바디시그널'!L22="","",'[1]1_바디시그널'!L22)</f>
        <v/>
      </c>
      <c r="M15" s="9" t="str">
        <f>IF('[1]1_바디시그널'!M22="","",'[1]1_바디시그널'!M22)</f>
        <v/>
      </c>
      <c r="N15" s="9" t="str">
        <f>IF('[1]1_바디시그널'!N22="","",'[1]1_바디시그널'!N22)</f>
        <v/>
      </c>
      <c r="O15" s="9" t="str">
        <f>IF('[1]1_바디시그널'!O22="","",'[1]1_바디시그널'!O22)</f>
        <v/>
      </c>
      <c r="P15" s="9" t="str">
        <f>IF('[1]1_바디시그널'!P22="","",'[1]1_바디시그널'!P22)</f>
        <v/>
      </c>
      <c r="Q15" s="9" t="str">
        <f>IF('[1]1_바디시그널'!Q22="","",'[1]1_바디시그널'!Q22)</f>
        <v/>
      </c>
      <c r="R15" s="9" t="str">
        <f>IF('[1]1_바디시그널'!R22="","",'[1]1_바디시그널'!R22)</f>
        <v/>
      </c>
      <c r="S15" s="9" t="str">
        <f>IF('[1]1_바디시그널'!S22="","",'[1]1_바디시그널'!S22)</f>
        <v/>
      </c>
      <c r="T15" s="9" t="str">
        <f>IF('[1]1_바디시그널'!T22="","",'[1]1_바디시그널'!T22)</f>
        <v/>
      </c>
      <c r="U15" s="9" t="str">
        <f>IF('[1]1_바디시그널'!U22="","",'[1]1_바디시그널'!U22)</f>
        <v/>
      </c>
      <c r="V15" s="9" t="str">
        <f>IF('[1]1_바디시그널'!V22="","",'[1]1_바디시그널'!V22)</f>
        <v/>
      </c>
      <c r="W15" s="9" t="str">
        <f>IF('[1]1_바디시그널'!W22="","",'[1]1_바디시그널'!W22)</f>
        <v/>
      </c>
      <c r="X15" s="9" t="str">
        <f>IF('[1]1_바디시그널'!X22="","",'[1]1_바디시그널'!X22)</f>
        <v/>
      </c>
      <c r="Y15" s="9" t="str">
        <f>IF('[1]1_바디시그널'!Y22="","",'[1]1_바디시그널'!Y22)</f>
        <v/>
      </c>
      <c r="Z15" s="9" t="str">
        <f>IF('[1]1_바디시그널'!Z22="","",'[1]1_바디시그널'!Z22)</f>
        <v/>
      </c>
      <c r="AA15" s="9" t="str">
        <f>IF('[1]1_바디시그널'!AA22="","",'[1]1_바디시그널'!AA22)</f>
        <v/>
      </c>
      <c r="AB15" s="9" t="str">
        <f>IF('[1]1_바디시그널'!AB22="","",'[1]1_바디시그널'!AB22)</f>
        <v/>
      </c>
      <c r="AC15" s="9" t="str">
        <f>IF('[1]1_바디시그널'!AC22="","",'[1]1_바디시그널'!AC22)</f>
        <v/>
      </c>
    </row>
    <row r="16" spans="1:29" ht="60" customHeight="1">
      <c r="A16" s="5" t="s">
        <v>62</v>
      </c>
      <c r="B16" s="6" t="str">
        <f>IF('[1]2_개행동'!B60="","",'[1]2_개행동'!B60)</f>
        <v>개9 → 개10 조합 + 개58 · 개11 · 자동</v>
      </c>
      <c r="C16" s="18" t="str">
        <f>SUBSTITUTE(IF('[1]2_개행동'!C60="","",'[1]2_개행동'!C60),"25개 조합 문장은 성향문장 65~89행에서 관리합니다.","25개 관찰 조합 기준과 계산은 02에서 관리하며, 이 파일은 02의 결과를 표시합니다.")</f>
        <v>초기 10초(개9)와 이후 50초(개10)의 실제 행동을 순서대로 연결합니다. 25개 관찰 조합 기준과 계산은 02에서 관리하며, 이 파일은 02의 결과를 표시합니다. 몸 상태(개58)와 발성(개11)은 분리 구간 전체의 기록입니다. 서로 다른 시간창의 값으로 동시 행동이나 감정의 원인을 추정하지 않습니다.</v>
      </c>
      <c r="D16" s="18"/>
      <c r="E16" s="18"/>
      <c r="F16" s="18"/>
      <c r="G16" s="18"/>
      <c r="H16" s="6" t="str">
        <f>IF('[1]2_개행동'!H60="","",'[1]2_개행동'!H60)</f>
        <v/>
      </c>
      <c r="I16" s="6" t="str">
        <f>IF('[1]2_개행동'!I60="","",'[1]2_개행동'!I60)</f>
        <v/>
      </c>
      <c r="J16" s="12" t="str">
        <f>IF('[1]2_개행동'!J60="","",'[1]2_개행동'!J60)</f>
        <v>미채점</v>
      </c>
      <c r="K16" s="12" t="str">
        <f>IF('[1]2_개행동'!K60="","",'[1]2_개행동'!K60)</f>
        <v>미채점</v>
      </c>
      <c r="L16" s="12" t="str">
        <f>IF('[1]2_개행동'!L60="","",'[1]2_개행동'!L60)</f>
        <v>미채점</v>
      </c>
      <c r="M16" s="12" t="str">
        <f>IF('[1]2_개행동'!M60="","",'[1]2_개행동'!M60)</f>
        <v>미채점</v>
      </c>
      <c r="N16" s="12" t="str">
        <f>IF('[1]2_개행동'!N60="","",'[1]2_개행동'!N60)</f>
        <v>미채점</v>
      </c>
      <c r="O16" s="12" t="str">
        <f>IF('[1]2_개행동'!O60="","",'[1]2_개행동'!O60)</f>
        <v>미채점</v>
      </c>
      <c r="P16" s="12" t="str">
        <f>IF('[1]2_개행동'!P60="","",'[1]2_개행동'!P60)</f>
        <v>미채점</v>
      </c>
      <c r="Q16" s="12" t="str">
        <f>IF('[1]2_개행동'!Q60="","",'[1]2_개행동'!Q60)</f>
        <v>미채점</v>
      </c>
      <c r="R16" s="12" t="str">
        <f>IF('[1]2_개행동'!R60="","",'[1]2_개행동'!R60)</f>
        <v>미채점</v>
      </c>
      <c r="S16" s="12" t="str">
        <f>IF('[1]2_개행동'!S60="","",'[1]2_개행동'!S60)</f>
        <v>미채점</v>
      </c>
      <c r="T16" s="12" t="str">
        <f>IF('[1]2_개행동'!T60="","",'[1]2_개행동'!T60)</f>
        <v>미채점</v>
      </c>
      <c r="U16" s="12" t="str">
        <f>IF('[1]2_개행동'!U60="","",'[1]2_개행동'!U60)</f>
        <v>미채점</v>
      </c>
      <c r="V16" s="12" t="str">
        <f>IF('[1]2_개행동'!V60="","",'[1]2_개행동'!V60)</f>
        <v>미채점</v>
      </c>
      <c r="W16" s="12" t="str">
        <f>IF('[1]2_개행동'!W60="","",'[1]2_개행동'!W60)</f>
        <v>미채점</v>
      </c>
      <c r="X16" s="12" t="str">
        <f>IF('[1]2_개행동'!X60="","",'[1]2_개행동'!X60)</f>
        <v>미채점</v>
      </c>
      <c r="Y16" s="12" t="str">
        <f>IF('[1]2_개행동'!Y60="","",'[1]2_개행동'!Y60)</f>
        <v>미채점</v>
      </c>
      <c r="Z16" s="12" t="str">
        <f>IF('[1]2_개행동'!Z60="","",'[1]2_개행동'!Z60)</f>
        <v>미채점</v>
      </c>
      <c r="AA16" s="12" t="str">
        <f>IF('[1]2_개행동'!AA60="","",'[1]2_개행동'!AA60)</f>
        <v>미채점</v>
      </c>
      <c r="AB16" s="12" t="str">
        <f>IF('[1]2_개행동'!AB60="","",'[1]2_개행동'!AB60)</f>
        <v>미채점</v>
      </c>
      <c r="AC16" s="12" t="str">
        <f>IF('[1]2_개행동'!AC60="","",'[1]2_개행동'!AC60)</f>
        <v>미채점</v>
      </c>
    </row>
    <row r="19" spans="1:9" ht="30" customHeight="1">
      <c r="A19" s="22" t="s">
        <v>155</v>
      </c>
      <c r="B19" s="22"/>
      <c r="C19" s="22"/>
      <c r="D19" s="14">
        <v>1</v>
      </c>
      <c r="E19" s="22" t="s">
        <v>156</v>
      </c>
      <c r="F19" s="22"/>
      <c r="G19" s="22"/>
      <c r="H19" s="22"/>
      <c r="I19" s="22"/>
    </row>
    <row r="20" spans="1:9" ht="32.1" customHeight="1">
      <c r="A20" s="21" t="str">
        <f>IF(OR(D19&lt;1,D19&gt;20,MOD(D19,1)&lt;&gt;0),"번호 확인",INDEX(J16:AC16,1,D19))</f>
        <v>미채점</v>
      </c>
      <c r="B20" s="21"/>
      <c r="C20" s="21"/>
      <c r="D20" s="21"/>
      <c r="E20" s="21"/>
      <c r="F20" s="21"/>
      <c r="G20" s="21"/>
      <c r="H20" s="21"/>
      <c r="I20" s="21"/>
    </row>
    <row r="21" spans="1:9" ht="32.1" customHeight="1">
      <c r="A21" s="21"/>
      <c r="B21" s="21"/>
      <c r="C21" s="21"/>
      <c r="D21" s="21"/>
      <c r="E21" s="21"/>
      <c r="F21" s="21"/>
      <c r="G21" s="21"/>
      <c r="H21" s="21"/>
      <c r="I21" s="21"/>
    </row>
    <row r="22" spans="1:9" ht="32.1" customHeight="1">
      <c r="A22" s="21"/>
      <c r="B22" s="21"/>
      <c r="C22" s="21"/>
      <c r="D22" s="21"/>
      <c r="E22" s="21"/>
      <c r="F22" s="21"/>
      <c r="G22" s="21"/>
      <c r="H22" s="21"/>
      <c r="I22" s="21"/>
    </row>
  </sheetData>
  <sheetProtection sheet="1" objects="1" scenarios="1" formatColumns="0" formatRows="0"/>
  <mergeCells count="11">
    <mergeCell ref="A1:I1"/>
    <mergeCell ref="A2:I2"/>
    <mergeCell ref="A3:I3"/>
    <mergeCell ref="C12:G12"/>
    <mergeCell ref="C13:G13"/>
    <mergeCell ref="A20:I22"/>
    <mergeCell ref="C14:G14"/>
    <mergeCell ref="C15:G15"/>
    <mergeCell ref="C16:G16"/>
    <mergeCell ref="A19:C19"/>
    <mergeCell ref="E19:I19"/>
  </mergeCells>
  <phoneticPr fontId="5" type="noConversion"/>
  <dataValidations count="1">
    <dataValidation type="whole" allowBlank="1" showErrorMessage="1" errorTitle="입력값 확인" error="해당 항목의 눈금과 입력 범위를 확인해 주세요. 미관찰은 빈칸입니다." sqref="D19">
      <formula1>1</formula1>
      <formula2>20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5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63</v>
      </c>
      <c r="B5" s="6" t="str">
        <f>IF('[1]2_개행동'!B17="","",'[1]2_개행동'!B17)</f>
        <v>[재회] 접근·거리 ※문 열림 0~15초, 보호자 이동·착석·대기 중 먼저 부르거나 만지지 않음. 앉는 시점과 관계없이 15초로 고정.</v>
      </c>
      <c r="C5" s="6" t="str">
        <f>IF('[1]2_개행동'!C17="","",'[1]2_개행동'!C17)</f>
        <v>걸어가는 내내 매달려 떨어지지 않음</v>
      </c>
      <c r="D5" s="6" t="str">
        <f>IF('[1]2_개행동'!D17="","",'[1]2_개행동'!D17)</f>
        <v>바로 다가와 몸을 붙임</v>
      </c>
      <c r="E5" s="6" t="str">
        <f>IF('[1]2_개행동'!E17="","",'[1]2_개행동'!E17)</f>
        <v>다가와 같이 의자로 걸어감</v>
      </c>
      <c r="F5" s="6" t="str">
        <f>IF('[1]2_개행동'!F17="","",'[1]2_개행동'!F17)</f>
        <v>한 번 쳐다보고 만다</v>
      </c>
      <c r="G5" s="6" t="str">
        <f>IF('[1]2_개행동'!G17="","",'[1]2_개행동'!G17)</f>
        <v>본체만체 · 오지 않음</v>
      </c>
      <c r="H5" s="6" t="str">
        <f>IF('[1]2_개행동'!H17="","",'[1]2_개행동'!H17)</f>
        <v>애착·관계 관찰</v>
      </c>
      <c r="I5" s="6" t="str">
        <f>IF('[1]2_개행동'!I17="","",'[1]2_개행동'!I17)</f>
        <v>양쪽·거리</v>
      </c>
      <c r="J5" s="9" t="str">
        <f>IF('[1]2_개행동'!J17="","",'[1]2_개행동'!J17)</f>
        <v/>
      </c>
      <c r="K5" s="9" t="str">
        <f>IF('[1]2_개행동'!K17="","",'[1]2_개행동'!K17)</f>
        <v/>
      </c>
      <c r="L5" s="9" t="str">
        <f>IF('[1]2_개행동'!L17="","",'[1]2_개행동'!L17)</f>
        <v/>
      </c>
      <c r="M5" s="9" t="str">
        <f>IF('[1]2_개행동'!M17="","",'[1]2_개행동'!M17)</f>
        <v/>
      </c>
      <c r="N5" s="9" t="str">
        <f>IF('[1]2_개행동'!N17="","",'[1]2_개행동'!N17)</f>
        <v/>
      </c>
      <c r="O5" s="9" t="str">
        <f>IF('[1]2_개행동'!O17="","",'[1]2_개행동'!O17)</f>
        <v/>
      </c>
      <c r="P5" s="9" t="str">
        <f>IF('[1]2_개행동'!P17="","",'[1]2_개행동'!P17)</f>
        <v/>
      </c>
      <c r="Q5" s="9" t="str">
        <f>IF('[1]2_개행동'!Q17="","",'[1]2_개행동'!Q17)</f>
        <v/>
      </c>
      <c r="R5" s="9" t="str">
        <f>IF('[1]2_개행동'!R17="","",'[1]2_개행동'!R17)</f>
        <v/>
      </c>
      <c r="S5" s="9" t="str">
        <f>IF('[1]2_개행동'!S17="","",'[1]2_개행동'!S17)</f>
        <v/>
      </c>
      <c r="T5" s="9" t="str">
        <f>IF('[1]2_개행동'!T17="","",'[1]2_개행동'!T17)</f>
        <v/>
      </c>
      <c r="U5" s="9" t="str">
        <f>IF('[1]2_개행동'!U17="","",'[1]2_개행동'!U17)</f>
        <v/>
      </c>
      <c r="V5" s="9" t="str">
        <f>IF('[1]2_개행동'!V17="","",'[1]2_개행동'!V17)</f>
        <v/>
      </c>
      <c r="W5" s="9" t="str">
        <f>IF('[1]2_개행동'!W17="","",'[1]2_개행동'!W17)</f>
        <v/>
      </c>
      <c r="X5" s="9" t="str">
        <f>IF('[1]2_개행동'!X17="","",'[1]2_개행동'!X17)</f>
        <v/>
      </c>
      <c r="Y5" s="9" t="str">
        <f>IF('[1]2_개행동'!Y17="","",'[1]2_개행동'!Y17)</f>
        <v/>
      </c>
      <c r="Z5" s="9" t="str">
        <f>IF('[1]2_개행동'!Z17="","",'[1]2_개행동'!Z17)</f>
        <v/>
      </c>
      <c r="AA5" s="9" t="str">
        <f>IF('[1]2_개행동'!AA17="","",'[1]2_개행동'!AA17)</f>
        <v/>
      </c>
      <c r="AB5" s="9" t="str">
        <f>IF('[1]2_개행동'!AB17="","",'[1]2_개행동'!AB17)</f>
        <v/>
      </c>
      <c r="AC5" s="9" t="str">
        <f>IF('[1]2_개행동'!AC17="","",'[1]2_개행동'!AC17)</f>
        <v/>
      </c>
    </row>
    <row r="6" spans="1:29" ht="80.099999999999994" customHeight="1">
      <c r="A6" s="5" t="s">
        <v>65</v>
      </c>
      <c r="B6" s="6" t="str">
        <f>IF('[1]2_개행동'!B18="","",'[1]2_개행동'!B18)</f>
        <v>[재회] 후반 몸 상태 ※문 열림 15~30초, 접촉 지시 구간 전체. 실제 접촉 여부를 별도 기록. 개58과 같은 눈금의 기술적 변화만 계산.</v>
      </c>
      <c r="C6" s="6" t="str">
        <f>IF('[1]2_개행동'!C18="","",'[1]2_개행동'!C18)</f>
        <v>관찰 가능 시간의 절반 초과 동안 움직임이 멎고 몸이 뻣뻣함</v>
      </c>
      <c r="D6" s="6" t="str">
        <f>IF('[1]2_개행동'!D18="","",'[1]2_개행동'!D18)</f>
        <v>절반 초과 동안 낮춘 자세·조심스러운 움직임, 지속 굳음은 없음</v>
      </c>
      <c r="E6" s="6" t="str">
        <f>IF('[1]2_개행동'!E18="","",'[1]2_개행동'!E18)</f>
        <v>어느 극단도 절반을 넘지 않음; 주로 자연스러운 자세·이동. 반대 반응 혼재는 메모</v>
      </c>
      <c r="F6" s="6" t="str">
        <f>IF('[1]2_개행동'!F18="","",'[1]2_개행동'!F18)</f>
        <v>절반 초과 동안 같은 경로를 반복 이동하거나 자세를 자주 바꿈; 지속 뛰기 수준은 아님</v>
      </c>
      <c r="G6" s="6" t="str">
        <f>IF('[1]2_개행동'!G18="","",'[1]2_개행동'!G18)</f>
        <v>절반 초과 동안 뛰기·몸 부딪치기·급한 반복 이동이 이어짐</v>
      </c>
      <c r="H6" s="6" t="str">
        <f>IF('[1]2_개행동'!H18="","",'[1]2_개행동'!H18)</f>
        <v>애착·관계 관찰</v>
      </c>
      <c r="I6" s="6" t="str">
        <f>IF('[1]2_개행동'!I18="","",'[1]2_개행동'!I18)</f>
        <v>양쪽·몸상태</v>
      </c>
      <c r="J6" s="9" t="str">
        <f>IF('[1]2_개행동'!J18="","",'[1]2_개행동'!J18)</f>
        <v/>
      </c>
      <c r="K6" s="9" t="str">
        <f>IF('[1]2_개행동'!K18="","",'[1]2_개행동'!K18)</f>
        <v/>
      </c>
      <c r="L6" s="9" t="str">
        <f>IF('[1]2_개행동'!L18="","",'[1]2_개행동'!L18)</f>
        <v/>
      </c>
      <c r="M6" s="9" t="str">
        <f>IF('[1]2_개행동'!M18="","",'[1]2_개행동'!M18)</f>
        <v/>
      </c>
      <c r="N6" s="9" t="str">
        <f>IF('[1]2_개행동'!N18="","",'[1]2_개행동'!N18)</f>
        <v/>
      </c>
      <c r="O6" s="9" t="str">
        <f>IF('[1]2_개행동'!O18="","",'[1]2_개행동'!O18)</f>
        <v/>
      </c>
      <c r="P6" s="9" t="str">
        <f>IF('[1]2_개행동'!P18="","",'[1]2_개행동'!P18)</f>
        <v/>
      </c>
      <c r="Q6" s="9" t="str">
        <f>IF('[1]2_개행동'!Q18="","",'[1]2_개행동'!Q18)</f>
        <v/>
      </c>
      <c r="R6" s="9" t="str">
        <f>IF('[1]2_개행동'!R18="","",'[1]2_개행동'!R18)</f>
        <v/>
      </c>
      <c r="S6" s="9" t="str">
        <f>IF('[1]2_개행동'!S18="","",'[1]2_개행동'!S18)</f>
        <v/>
      </c>
      <c r="T6" s="9" t="str">
        <f>IF('[1]2_개행동'!T18="","",'[1]2_개행동'!T18)</f>
        <v/>
      </c>
      <c r="U6" s="9" t="str">
        <f>IF('[1]2_개행동'!U18="","",'[1]2_개행동'!U18)</f>
        <v/>
      </c>
      <c r="V6" s="9" t="str">
        <f>IF('[1]2_개행동'!V18="","",'[1]2_개행동'!V18)</f>
        <v/>
      </c>
      <c r="W6" s="9" t="str">
        <f>IF('[1]2_개행동'!W18="","",'[1]2_개행동'!W18)</f>
        <v/>
      </c>
      <c r="X6" s="9" t="str">
        <f>IF('[1]2_개행동'!X18="","",'[1]2_개행동'!X18)</f>
        <v/>
      </c>
      <c r="Y6" s="9" t="str">
        <f>IF('[1]2_개행동'!Y18="","",'[1]2_개행동'!Y18)</f>
        <v/>
      </c>
      <c r="Z6" s="9" t="str">
        <f>IF('[1]2_개행동'!Z18="","",'[1]2_개행동'!Z18)</f>
        <v/>
      </c>
      <c r="AA6" s="9" t="str">
        <f>IF('[1]2_개행동'!AA18="","",'[1]2_개행동'!AA18)</f>
        <v/>
      </c>
      <c r="AB6" s="9" t="str">
        <f>IF('[1]2_개행동'!AB18="","",'[1]2_개행동'!AB18)</f>
        <v/>
      </c>
      <c r="AC6" s="9" t="str">
        <f>IF('[1]2_개행동'!AC18="","",'[1]2_개행동'!AC18)</f>
        <v/>
      </c>
    </row>
    <row r="7" spans="1:29" ht="80.099999999999994" customHeight="1">
      <c r="A7" s="5" t="s">
        <v>66</v>
      </c>
      <c r="B7" s="6" t="str">
        <f>IF('[1]2_개행동'!B19="","",'[1]2_개행동'!B19)</f>
        <v>[재회 접촉] 몸의 중심 ※15~30초 실제 접촉이 이루어진 시간만. 미접촉이면 빈칸. 낯선 접촉과 부호 방향은 반대이며 시간·자세도 달라 직접 점수 차이를 애착으로 해석하지 않음.</v>
      </c>
      <c r="C7" s="6" t="str">
        <f>IF('[1]2_개행동'!C19="","",'[1]2_개행동'!C19)</f>
        <v>몸을 얹거나 무릎에 올라감 · 기대어 떨어지지 않음</v>
      </c>
      <c r="D7" s="6" t="str">
        <f>IF('[1]2_개행동'!D19="","",'[1]2_개행동'!D19)</f>
        <v>몸이 닿을 만큼 앞으로 붙임</v>
      </c>
      <c r="E7" s="6" t="str">
        <f>IF('[1]2_개행동'!E19="","",'[1]2_개행동'!E19)</f>
        <v>앞으로 살짝 기울여 손을 받음</v>
      </c>
      <c r="F7" s="6" t="str">
        <f>IF('[1]2_개행동'!F19="","",'[1]2_개행동'!F19)</f>
        <v>선 자리를 지킴 · 몸을 앞으로 옮기지 않음</v>
      </c>
      <c r="G7" s="6" t="str">
        <f>IF('[1]2_개행동'!G19="","",'[1]2_개행동'!G19)</f>
        <v>뒤로 물러남 · 옆으로 피함 · 등을 돌림</v>
      </c>
      <c r="H7" s="6" t="str">
        <f>IF('[1]2_개행동'!H19="","",'[1]2_개행동'!H19)</f>
        <v>애착·관계 관찰</v>
      </c>
      <c r="I7" s="6" t="str">
        <f>IF('[1]2_개행동'!I19="","",'[1]2_개행동'!I19)</f>
        <v>양쪽·거리</v>
      </c>
      <c r="J7" s="9" t="str">
        <f>IF('[1]2_개행동'!J19="","",'[1]2_개행동'!J19)</f>
        <v/>
      </c>
      <c r="K7" s="9" t="str">
        <f>IF('[1]2_개행동'!K19="","",'[1]2_개행동'!K19)</f>
        <v/>
      </c>
      <c r="L7" s="9" t="str">
        <f>IF('[1]2_개행동'!L19="","",'[1]2_개행동'!L19)</f>
        <v/>
      </c>
      <c r="M7" s="9" t="str">
        <f>IF('[1]2_개행동'!M19="","",'[1]2_개행동'!M19)</f>
        <v/>
      </c>
      <c r="N7" s="9" t="str">
        <f>IF('[1]2_개행동'!N19="","",'[1]2_개행동'!N19)</f>
        <v/>
      </c>
      <c r="O7" s="9" t="str">
        <f>IF('[1]2_개행동'!O19="","",'[1]2_개행동'!O19)</f>
        <v/>
      </c>
      <c r="P7" s="9" t="str">
        <f>IF('[1]2_개행동'!P19="","",'[1]2_개행동'!P19)</f>
        <v/>
      </c>
      <c r="Q7" s="9" t="str">
        <f>IF('[1]2_개행동'!Q19="","",'[1]2_개행동'!Q19)</f>
        <v/>
      </c>
      <c r="R7" s="9" t="str">
        <f>IF('[1]2_개행동'!R19="","",'[1]2_개행동'!R19)</f>
        <v/>
      </c>
      <c r="S7" s="9" t="str">
        <f>IF('[1]2_개행동'!S19="","",'[1]2_개행동'!S19)</f>
        <v/>
      </c>
      <c r="T7" s="9" t="str">
        <f>IF('[1]2_개행동'!T19="","",'[1]2_개행동'!T19)</f>
        <v/>
      </c>
      <c r="U7" s="9" t="str">
        <f>IF('[1]2_개행동'!U19="","",'[1]2_개행동'!U19)</f>
        <v/>
      </c>
      <c r="V7" s="9" t="str">
        <f>IF('[1]2_개행동'!V19="","",'[1]2_개행동'!V19)</f>
        <v/>
      </c>
      <c r="W7" s="9" t="str">
        <f>IF('[1]2_개행동'!W19="","",'[1]2_개행동'!W19)</f>
        <v/>
      </c>
      <c r="X7" s="9" t="str">
        <f>IF('[1]2_개행동'!X19="","",'[1]2_개행동'!X19)</f>
        <v/>
      </c>
      <c r="Y7" s="9" t="str">
        <f>IF('[1]2_개행동'!Y19="","",'[1]2_개행동'!Y19)</f>
        <v/>
      </c>
      <c r="Z7" s="9" t="str">
        <f>IF('[1]2_개행동'!Z19="","",'[1]2_개행동'!Z19)</f>
        <v/>
      </c>
      <c r="AA7" s="9" t="str">
        <f>IF('[1]2_개행동'!AA19="","",'[1]2_개행동'!AA19)</f>
        <v/>
      </c>
      <c r="AB7" s="9" t="str">
        <f>IF('[1]2_개행동'!AB19="","",'[1]2_개행동'!AB19)</f>
        <v/>
      </c>
      <c r="AC7" s="9" t="str">
        <f>IF('[1]2_개행동'!AC19="","",'[1]2_개행동'!AC19)</f>
        <v/>
      </c>
    </row>
    <row r="8" spans="1:29" ht="80.099999999999994" customHeight="1">
      <c r="A8" s="5" t="s">
        <v>67</v>
      </c>
      <c r="B8" s="6" t="str">
        <f>IF('[1]2_개행동'!B44="","",'[1]2_개행동'!B44)</f>
        <v>[재회 접촉] 몸의 움직임 · 실제 접촉 시간 ※몸통 자세·자발적 움직임을 함께 봄. 엉덩이 흔들림이나 C자 자세가 없다는 이유만으로 긴장 판정하지 않음. 미접촉은 빈칸.</v>
      </c>
      <c r="C8" s="6" t="str">
        <f>IF('[1]2_개행동'!C44="","",'[1]2_개행동'!C44)</f>
        <v>몸통·다리가 굳고 자세 변화 없이 버티는 모습</v>
      </c>
      <c r="D8" s="6" t="str">
        <f>IF('[1]2_개행동'!D44="","",'[1]2_개행동'!D44)</f>
        <v>몸을 낮추거나 긴장된 자세로 움직임이 제한됨</v>
      </c>
      <c r="E8" s="6" t="str">
        <f>IF('[1]2_개행동'!E44="","",'[1]2_개행동'!E44)</f>
        <v>뻣뻣한 버팀 없이 자연스러운 자세를 유지·변경함; 엉덩이 흔들림은 필수 아님</v>
      </c>
      <c r="F8" s="6" t="str">
        <f>IF('[1]2_개행동'!F44="","",'[1]2_개행동'!F44)</f>
        <v>몸을 크게 흔들거나 발 구르기·회전 움직임이 주됨</v>
      </c>
      <c r="G8" s="6" t="str">
        <f>IF('[1]2_개행동'!G44="","",'[1]2_개행동'!G44)</f>
        <v>반복 뛰어오름·몸 부딪치기 때문에 접촉 유지가 어려움</v>
      </c>
      <c r="H8" s="6" t="str">
        <f>IF('[1]2_개행동'!H44="","",'[1]2_개행동'!H44)</f>
        <v>애착·관계 관찰</v>
      </c>
      <c r="I8" s="6" t="str">
        <f>IF('[1]2_개행동'!I44="","",'[1]2_개행동'!I44)</f>
        <v>양쪽·몸상태</v>
      </c>
      <c r="J8" s="9" t="str">
        <f>IF('[1]2_개행동'!J44="","",'[1]2_개행동'!J44)</f>
        <v/>
      </c>
      <c r="K8" s="9" t="str">
        <f>IF('[1]2_개행동'!K44="","",'[1]2_개행동'!K44)</f>
        <v/>
      </c>
      <c r="L8" s="9" t="str">
        <f>IF('[1]2_개행동'!L44="","",'[1]2_개행동'!L44)</f>
        <v/>
      </c>
      <c r="M8" s="9" t="str">
        <f>IF('[1]2_개행동'!M44="","",'[1]2_개행동'!M44)</f>
        <v/>
      </c>
      <c r="N8" s="9" t="str">
        <f>IF('[1]2_개행동'!N44="","",'[1]2_개행동'!N44)</f>
        <v/>
      </c>
      <c r="O8" s="9" t="str">
        <f>IF('[1]2_개행동'!O44="","",'[1]2_개행동'!O44)</f>
        <v/>
      </c>
      <c r="P8" s="9" t="str">
        <f>IF('[1]2_개행동'!P44="","",'[1]2_개행동'!P44)</f>
        <v/>
      </c>
      <c r="Q8" s="9" t="str">
        <f>IF('[1]2_개행동'!Q44="","",'[1]2_개행동'!Q44)</f>
        <v/>
      </c>
      <c r="R8" s="9" t="str">
        <f>IF('[1]2_개행동'!R44="","",'[1]2_개행동'!R44)</f>
        <v/>
      </c>
      <c r="S8" s="9" t="str">
        <f>IF('[1]2_개행동'!S44="","",'[1]2_개행동'!S44)</f>
        <v/>
      </c>
      <c r="T8" s="9" t="str">
        <f>IF('[1]2_개행동'!T44="","",'[1]2_개행동'!T44)</f>
        <v/>
      </c>
      <c r="U8" s="9" t="str">
        <f>IF('[1]2_개행동'!U44="","",'[1]2_개행동'!U44)</f>
        <v/>
      </c>
      <c r="V8" s="9" t="str">
        <f>IF('[1]2_개행동'!V44="","",'[1]2_개행동'!V44)</f>
        <v/>
      </c>
      <c r="W8" s="9" t="str">
        <f>IF('[1]2_개행동'!W44="","",'[1]2_개행동'!W44)</f>
        <v/>
      </c>
      <c r="X8" s="9" t="str">
        <f>IF('[1]2_개행동'!X44="","",'[1]2_개행동'!X44)</f>
        <v/>
      </c>
      <c r="Y8" s="9" t="str">
        <f>IF('[1]2_개행동'!Y44="","",'[1]2_개행동'!Y44)</f>
        <v/>
      </c>
      <c r="Z8" s="9" t="str">
        <f>IF('[1]2_개행동'!Z44="","",'[1]2_개행동'!Z44)</f>
        <v/>
      </c>
      <c r="AA8" s="9" t="str">
        <f>IF('[1]2_개행동'!AA44="","",'[1]2_개행동'!AA44)</f>
        <v/>
      </c>
      <c r="AB8" s="9" t="str">
        <f>IF('[1]2_개행동'!AB44="","",'[1]2_개행동'!AB44)</f>
        <v/>
      </c>
      <c r="AC8" s="9" t="str">
        <f>IF('[1]2_개행동'!AC44="","",'[1]2_개행동'!AC44)</f>
        <v/>
      </c>
    </row>
    <row r="9" spans="1:29" ht="80.099999999999994" customHeight="1">
      <c r="A9" s="5" t="s">
        <v>68</v>
      </c>
      <c r="B9" s="6" t="str">
        <f>IF('[1]3_보호자행동'!B11="","",'[1]3_보호자행동'!B11)</f>
        <v>[재회] 신체접촉 방식 · 후반 15초. G→C 순으로 먼저 해당하는 범주 선택. 칭찬 톤·횟수, 밀어 내려보냄, 접촉이 없었던 이유는 개59 메모. 보22 회피 후 대응과 함께 유형 판단에 사용. 숫자는 행동 종류 코드임.</v>
      </c>
      <c r="C9" s="6" t="str">
        <f>IF('[1]3_보호자행동'!C11="","",'[1]3_보호자행동'!C11)</f>
        <v>-2 (범주): 손으로 만지거나 몸을 밀착하는 인사 접촉이 관찰되지 않음</v>
      </c>
      <c r="D9" s="6" t="str">
        <f>IF('[1]3_보호자행동'!D11="","",'[1]3_보호자행동'!D11)</f>
        <v>-1 (범주): 상체를 크게 기울이지 않고 손으로 만짐</v>
      </c>
      <c r="E9" s="6" t="str">
        <f>IF('[1]3_보호자행동'!E11="","",'[1]3_보호자행동'!E11)</f>
        <v>0 (범주): 개 쪽으로 상체를 기울여 가까이에서 만짐</v>
      </c>
      <c r="F9" s="6" t="str">
        <f>IF('[1]3_보호자행동'!F11="","",'[1]3_보호자행동'!F11)</f>
        <v>+1 (범주): 개가 먼저 몸을 기대거나 앞발을 올리는 등 밀착을 시도하면 받아주거나 받쳐 줌</v>
      </c>
      <c r="G9" s="6" t="str">
        <f>IF('[1]3_보호자행동'!G11="","",'[1]3_보호자행동'!G11)</f>
        <v>+2 (범주): 개의 밀착 시도 전에 보호자가 먼저 안아 올리거나 끌어안아 몸·얼굴을 밀착함</v>
      </c>
      <c r="H9" s="6" t="str">
        <f>IF('[1]3_보호자행동'!H11="","",'[1]3_보호자행동'!H11)</f>
        <v>보호자 유형 판정 근거
(점수 합계 제외)</v>
      </c>
      <c r="I9" s="6" t="str">
        <f>IF('[1]3_보호자행동'!I11="","",'[1]3_보호자행동'!I11)</f>
        <v>범주 · 유형 근거</v>
      </c>
      <c r="J9" s="9" t="str">
        <f>IF('[1]3_보호자행동'!J11="","",'[1]3_보호자행동'!J11)</f>
        <v/>
      </c>
      <c r="K9" s="9" t="str">
        <f>IF('[1]3_보호자행동'!K11="","",'[1]3_보호자행동'!K11)</f>
        <v/>
      </c>
      <c r="L9" s="9" t="str">
        <f>IF('[1]3_보호자행동'!L11="","",'[1]3_보호자행동'!L11)</f>
        <v/>
      </c>
      <c r="M9" s="9" t="str">
        <f>IF('[1]3_보호자행동'!M11="","",'[1]3_보호자행동'!M11)</f>
        <v/>
      </c>
      <c r="N9" s="9" t="str">
        <f>IF('[1]3_보호자행동'!N11="","",'[1]3_보호자행동'!N11)</f>
        <v/>
      </c>
      <c r="O9" s="9" t="str">
        <f>IF('[1]3_보호자행동'!O11="","",'[1]3_보호자행동'!O11)</f>
        <v/>
      </c>
      <c r="P9" s="9" t="str">
        <f>IF('[1]3_보호자행동'!P11="","",'[1]3_보호자행동'!P11)</f>
        <v/>
      </c>
      <c r="Q9" s="9" t="str">
        <f>IF('[1]3_보호자행동'!Q11="","",'[1]3_보호자행동'!Q11)</f>
        <v/>
      </c>
      <c r="R9" s="9" t="str">
        <f>IF('[1]3_보호자행동'!R11="","",'[1]3_보호자행동'!R11)</f>
        <v/>
      </c>
      <c r="S9" s="9" t="str">
        <f>IF('[1]3_보호자행동'!S11="","",'[1]3_보호자행동'!S11)</f>
        <v/>
      </c>
      <c r="T9" s="9" t="str">
        <f>IF('[1]3_보호자행동'!T11="","",'[1]3_보호자행동'!T11)</f>
        <v/>
      </c>
      <c r="U9" s="9" t="str">
        <f>IF('[1]3_보호자행동'!U11="","",'[1]3_보호자행동'!U11)</f>
        <v/>
      </c>
      <c r="V9" s="9" t="str">
        <f>IF('[1]3_보호자행동'!V11="","",'[1]3_보호자행동'!V11)</f>
        <v/>
      </c>
      <c r="W9" s="9" t="str">
        <f>IF('[1]3_보호자행동'!W11="","",'[1]3_보호자행동'!W11)</f>
        <v/>
      </c>
      <c r="X9" s="9" t="str">
        <f>IF('[1]3_보호자행동'!X11="","",'[1]3_보호자행동'!X11)</f>
        <v/>
      </c>
      <c r="Y9" s="9" t="str">
        <f>IF('[1]3_보호자행동'!Y11="","",'[1]3_보호자행동'!Y11)</f>
        <v/>
      </c>
      <c r="Z9" s="9" t="str">
        <f>IF('[1]3_보호자행동'!Z11="","",'[1]3_보호자행동'!Z11)</f>
        <v/>
      </c>
      <c r="AA9" s="9" t="str">
        <f>IF('[1]3_보호자행동'!AA11="","",'[1]3_보호자행동'!AA11)</f>
        <v/>
      </c>
      <c r="AB9" s="9" t="str">
        <f>IF('[1]3_보호자행동'!AB11="","",'[1]3_보호자행동'!AB11)</f>
        <v/>
      </c>
      <c r="AC9" s="9" t="str">
        <f>IF('[1]3_보호자행동'!AC11="","",'[1]3_보호자행동'!AC11)</f>
        <v/>
      </c>
    </row>
    <row r="10" spans="1:29" ht="60" customHeight="1">
      <c r="A10" s="5" t="s">
        <v>69</v>
      </c>
      <c r="B10" s="6" t="str">
        <f>IF('[1]3_보호자행동'!B38="","",'[1]3_보호자행동'!B38)</f>
        <v>보22 관찰 기회 ※0~3. 개가 보인 사건, 보호자의 좋고 나쁨 아님.</v>
      </c>
      <c r="C10" s="6" t="str">
        <f>IF('[1]3_보호자행동'!C38="","",'[1]3_보호자행동'!C38)</f>
        <v>0 — 접근·회피 모두 없음</v>
      </c>
      <c r="D10" s="6" t="str">
        <f>IF('[1]3_보호자행동'!D38="","",'[1]3_보호자행동'!D38)</f>
        <v>1 — 접근만 있었음</v>
      </c>
      <c r="E10" s="6" t="str">
        <f>IF('[1]3_보호자행동'!E38="","",'[1]3_보호자행동'!E38)</f>
        <v>2 — 회피만 있었음</v>
      </c>
      <c r="F10" s="6" t="str">
        <f>IF('[1]3_보호자행동'!F38="","",'[1]3_보호자행동'!F38)</f>
        <v>3 — 접근·회피 모두 있었음</v>
      </c>
      <c r="G10" s="6" t="str">
        <f>IF('[1]3_보호자행동'!G38="","",'[1]3_보호자행동'!G38)</f>
        <v/>
      </c>
      <c r="H10" s="6" t="str">
        <f>IF('[1]3_보호자행동'!H38="","",'[1]3_보호자행동'!H38)</f>
        <v>조건 기록</v>
      </c>
      <c r="I10" s="6" t="str">
        <f>IF('[1]3_보호자행동'!I38="","",'[1]3_보호자행동'!I38)</f>
        <v>기회</v>
      </c>
      <c r="J10" s="9" t="str">
        <f>IF('[1]3_보호자행동'!J38="","",'[1]3_보호자행동'!J38)</f>
        <v/>
      </c>
      <c r="K10" s="9" t="str">
        <f>IF('[1]3_보호자행동'!K38="","",'[1]3_보호자행동'!K38)</f>
        <v/>
      </c>
      <c r="L10" s="9" t="str">
        <f>IF('[1]3_보호자행동'!L38="","",'[1]3_보호자행동'!L38)</f>
        <v/>
      </c>
      <c r="M10" s="9" t="str">
        <f>IF('[1]3_보호자행동'!M38="","",'[1]3_보호자행동'!M38)</f>
        <v/>
      </c>
      <c r="N10" s="9" t="str">
        <f>IF('[1]3_보호자행동'!N38="","",'[1]3_보호자행동'!N38)</f>
        <v/>
      </c>
      <c r="O10" s="9" t="str">
        <f>IF('[1]3_보호자행동'!O38="","",'[1]3_보호자행동'!O38)</f>
        <v/>
      </c>
      <c r="P10" s="9" t="str">
        <f>IF('[1]3_보호자행동'!P38="","",'[1]3_보호자행동'!P38)</f>
        <v/>
      </c>
      <c r="Q10" s="9" t="str">
        <f>IF('[1]3_보호자행동'!Q38="","",'[1]3_보호자행동'!Q38)</f>
        <v/>
      </c>
      <c r="R10" s="9" t="str">
        <f>IF('[1]3_보호자행동'!R38="","",'[1]3_보호자행동'!R38)</f>
        <v/>
      </c>
      <c r="S10" s="9" t="str">
        <f>IF('[1]3_보호자행동'!S38="","",'[1]3_보호자행동'!S38)</f>
        <v/>
      </c>
      <c r="T10" s="9" t="str">
        <f>IF('[1]3_보호자행동'!T38="","",'[1]3_보호자행동'!T38)</f>
        <v/>
      </c>
      <c r="U10" s="9" t="str">
        <f>IF('[1]3_보호자행동'!U38="","",'[1]3_보호자행동'!U38)</f>
        <v/>
      </c>
      <c r="V10" s="9" t="str">
        <f>IF('[1]3_보호자행동'!V38="","",'[1]3_보호자행동'!V38)</f>
        <v/>
      </c>
      <c r="W10" s="9" t="str">
        <f>IF('[1]3_보호자행동'!W38="","",'[1]3_보호자행동'!W38)</f>
        <v/>
      </c>
      <c r="X10" s="9" t="str">
        <f>IF('[1]3_보호자행동'!X38="","",'[1]3_보호자행동'!X38)</f>
        <v/>
      </c>
      <c r="Y10" s="9" t="str">
        <f>IF('[1]3_보호자행동'!Y38="","",'[1]3_보호자행동'!Y38)</f>
        <v/>
      </c>
      <c r="Z10" s="9" t="str">
        <f>IF('[1]3_보호자행동'!Z38="","",'[1]3_보호자행동'!Z38)</f>
        <v/>
      </c>
      <c r="AA10" s="9" t="str">
        <f>IF('[1]3_보호자행동'!AA38="","",'[1]3_보호자행동'!AA38)</f>
        <v/>
      </c>
      <c r="AB10" s="9" t="str">
        <f>IF('[1]3_보호자행동'!AB38="","",'[1]3_보호자행동'!AB38)</f>
        <v/>
      </c>
      <c r="AC10" s="9" t="str">
        <f>IF('[1]3_보호자행동'!AC38="","",'[1]3_보호자행동'!AC38)</f>
        <v/>
      </c>
    </row>
    <row r="11" spans="1:29" ht="63.95" customHeight="1">
      <c r="A11" s="5" t="s">
        <v>70</v>
      </c>
      <c r="B11" s="6" t="str">
        <f>IF('[1]3_보호자행동'!B22="","",'[1]3_보호자행동'!B22)</f>
        <v>[재회] 회피 뒤 접촉 변화 ※후반 15초 중 개가 고개·몸을 돌리거나 물러난 첫 명확한 사건 뒤 대응. 보38=2/3일 때만. 접근만 있었다면 채점하지 않음.</v>
      </c>
      <c r="C11" s="6" t="str">
        <f>IF('[1]3_보호자행동'!C22="","",'[1]3_보호자행동'!C22)</f>
        <v>손을 완전히 거두고 상체도 뒤로 옮겨 거리를 넓힘</v>
      </c>
      <c r="D11" s="6" t="str">
        <f>IF('[1]3_보호자행동'!D22="","",'[1]3_보호자행동'!D22)</f>
        <v>손 움직임·접촉을 멈추거나 손을 떼되 상체 위치 유지</v>
      </c>
      <c r="E11" s="6" t="str">
        <f>IF('[1]3_보호자행동'!E22="","",'[1]3_보호자행동'!E22)</f>
        <v>손을 기존 위치에 둔 채 접촉 방식을 바꾸지 않음</v>
      </c>
      <c r="F11" s="6" t="str">
        <f>IF('[1]3_보호자행동'!F22="","",'[1]3_보호자행동'!F22)</f>
        <v>물러나는 개를 따라 손을 뻗어 접촉을 이어감</v>
      </c>
      <c r="G11" s="6" t="str">
        <f>IF('[1]3_보호자행동'!G22="","",'[1]3_보호자행동'!G22)</f>
        <v>개 몸을 붙잡거나 안아 움직임을 제한하며 접촉 지속</v>
      </c>
      <c r="H11" s="6" t="str">
        <f>IF('[1]3_보호자행동'!H22="","",'[1]3_보호자행동'!H22)</f>
        <v>상호작용 · 시범 핵심</v>
      </c>
      <c r="I11" s="6" t="str">
        <f>IF('[1]3_보호자행동'!I22="","",'[1]3_보호자행동'!I22)</f>
        <v>양쪽 · 개입 정도</v>
      </c>
      <c r="J11" s="9" t="str">
        <f>IF('[1]3_보호자행동'!J22="","",'[1]3_보호자행동'!J22)</f>
        <v/>
      </c>
      <c r="K11" s="9" t="str">
        <f>IF('[1]3_보호자행동'!K22="","",'[1]3_보호자행동'!K22)</f>
        <v/>
      </c>
      <c r="L11" s="9" t="str">
        <f>IF('[1]3_보호자행동'!L22="","",'[1]3_보호자행동'!L22)</f>
        <v/>
      </c>
      <c r="M11" s="9" t="str">
        <f>IF('[1]3_보호자행동'!M22="","",'[1]3_보호자행동'!M22)</f>
        <v/>
      </c>
      <c r="N11" s="9" t="str">
        <f>IF('[1]3_보호자행동'!N22="","",'[1]3_보호자행동'!N22)</f>
        <v/>
      </c>
      <c r="O11" s="9" t="str">
        <f>IF('[1]3_보호자행동'!O22="","",'[1]3_보호자행동'!O22)</f>
        <v/>
      </c>
      <c r="P11" s="9" t="str">
        <f>IF('[1]3_보호자행동'!P22="","",'[1]3_보호자행동'!P22)</f>
        <v/>
      </c>
      <c r="Q11" s="9" t="str">
        <f>IF('[1]3_보호자행동'!Q22="","",'[1]3_보호자행동'!Q22)</f>
        <v/>
      </c>
      <c r="R11" s="9" t="str">
        <f>IF('[1]3_보호자행동'!R22="","",'[1]3_보호자행동'!R22)</f>
        <v/>
      </c>
      <c r="S11" s="9" t="str">
        <f>IF('[1]3_보호자행동'!S22="","",'[1]3_보호자행동'!S22)</f>
        <v/>
      </c>
      <c r="T11" s="9" t="str">
        <f>IF('[1]3_보호자행동'!T22="","",'[1]3_보호자행동'!T22)</f>
        <v/>
      </c>
      <c r="U11" s="9" t="str">
        <f>IF('[1]3_보호자행동'!U22="","",'[1]3_보호자행동'!U22)</f>
        <v/>
      </c>
      <c r="V11" s="9" t="str">
        <f>IF('[1]3_보호자행동'!V22="","",'[1]3_보호자행동'!V22)</f>
        <v/>
      </c>
      <c r="W11" s="9" t="str">
        <f>IF('[1]3_보호자행동'!W22="","",'[1]3_보호자행동'!W22)</f>
        <v/>
      </c>
      <c r="X11" s="9" t="str">
        <f>IF('[1]3_보호자행동'!X22="","",'[1]3_보호자행동'!X22)</f>
        <v/>
      </c>
      <c r="Y11" s="9" t="str">
        <f>IF('[1]3_보호자행동'!Y22="","",'[1]3_보호자행동'!Y22)</f>
        <v/>
      </c>
      <c r="Z11" s="9" t="str">
        <f>IF('[1]3_보호자행동'!Z22="","",'[1]3_보호자행동'!Z22)</f>
        <v/>
      </c>
      <c r="AA11" s="9" t="str">
        <f>IF('[1]3_보호자행동'!AA22="","",'[1]3_보호자행동'!AA22)</f>
        <v/>
      </c>
      <c r="AB11" s="9" t="str">
        <f>IF('[1]3_보호자행동'!AB22="","",'[1]3_보호자행동'!AB22)</f>
        <v/>
      </c>
      <c r="AC11" s="9" t="str">
        <f>IF('[1]3_보호자행동'!AC22="","",'[1]3_보호자행동'!AC22)</f>
        <v/>
      </c>
    </row>
    <row r="12" spans="1:29" ht="60" customHeight="1">
      <c r="A12" s="5" t="s">
        <v>71</v>
      </c>
      <c r="B12" s="6" t="str">
        <f>IF('[1]3_보호자행동'!B25="","",'[1]3_보호자행동'!B25)</f>
        <v>보22 사유・시각</v>
      </c>
      <c r="C12" s="18" t="str">
        <f>IF('[1]3_보호자행동'!C25="","",'[1]3_보호자행동'!C25)</f>
        <v>재회 회피·접근 사건 시각 / 개 신호 → 보호자 대응. 보39=1·2를 가른 근거와 보22와 같은 사건인지 기록. 접근 기회·판독 불가 사유.</v>
      </c>
      <c r="D12" s="18"/>
      <c r="E12" s="18"/>
      <c r="F12" s="18"/>
      <c r="G12" s="18"/>
      <c r="H12" s="6" t="str">
        <f>IF('[1]3_보호자행동'!H25="","",'[1]3_보호자행동'!H25)</f>
        <v/>
      </c>
      <c r="I12" s="6" t="str">
        <f>IF('[1]3_보호자행동'!I25="","",'[1]3_보호자행동'!I25)</f>
        <v/>
      </c>
      <c r="J12" s="11" t="str">
        <f>IF('[1]3_보호자행동'!J25="","",'[1]3_보호자행동'!J25)</f>
        <v/>
      </c>
      <c r="K12" s="11" t="str">
        <f>IF('[1]3_보호자행동'!K25="","",'[1]3_보호자행동'!K25)</f>
        <v/>
      </c>
      <c r="L12" s="11" t="str">
        <f>IF('[1]3_보호자행동'!L25="","",'[1]3_보호자행동'!L25)</f>
        <v/>
      </c>
      <c r="M12" s="11" t="str">
        <f>IF('[1]3_보호자행동'!M25="","",'[1]3_보호자행동'!M25)</f>
        <v/>
      </c>
      <c r="N12" s="11" t="str">
        <f>IF('[1]3_보호자행동'!N25="","",'[1]3_보호자행동'!N25)</f>
        <v/>
      </c>
      <c r="O12" s="11" t="str">
        <f>IF('[1]3_보호자행동'!O25="","",'[1]3_보호자행동'!O25)</f>
        <v/>
      </c>
      <c r="P12" s="11" t="str">
        <f>IF('[1]3_보호자행동'!P25="","",'[1]3_보호자행동'!P25)</f>
        <v/>
      </c>
      <c r="Q12" s="11" t="str">
        <f>IF('[1]3_보호자행동'!Q25="","",'[1]3_보호자행동'!Q25)</f>
        <v/>
      </c>
      <c r="R12" s="11" t="str">
        <f>IF('[1]3_보호자행동'!R25="","",'[1]3_보호자행동'!R25)</f>
        <v/>
      </c>
      <c r="S12" s="11" t="str">
        <f>IF('[1]3_보호자행동'!S25="","",'[1]3_보호자행동'!S25)</f>
        <v/>
      </c>
      <c r="T12" s="11" t="str">
        <f>IF('[1]3_보호자행동'!T25="","",'[1]3_보호자행동'!T25)</f>
        <v/>
      </c>
      <c r="U12" s="11" t="str">
        <f>IF('[1]3_보호자행동'!U25="","",'[1]3_보호자행동'!U25)</f>
        <v/>
      </c>
      <c r="V12" s="11" t="str">
        <f>IF('[1]3_보호자행동'!V25="","",'[1]3_보호자행동'!V25)</f>
        <v/>
      </c>
      <c r="W12" s="11" t="str">
        <f>IF('[1]3_보호자행동'!W25="","",'[1]3_보호자행동'!W25)</f>
        <v/>
      </c>
      <c r="X12" s="11" t="str">
        <f>IF('[1]3_보호자행동'!X25="","",'[1]3_보호자행동'!X25)</f>
        <v/>
      </c>
      <c r="Y12" s="11" t="str">
        <f>IF('[1]3_보호자행동'!Y25="","",'[1]3_보호자행동'!Y25)</f>
        <v/>
      </c>
      <c r="Z12" s="11" t="str">
        <f>IF('[1]3_보호자행동'!Z25="","",'[1]3_보호자행동'!Z25)</f>
        <v/>
      </c>
      <c r="AA12" s="11" t="str">
        <f>IF('[1]3_보호자행동'!AA25="","",'[1]3_보호자행동'!AA25)</f>
        <v/>
      </c>
      <c r="AB12" s="11" t="str">
        <f>IF('[1]3_보호자행동'!AB25="","",'[1]3_보호자행동'!AB25)</f>
        <v/>
      </c>
      <c r="AC12" s="11" t="str">
        <f>IF('[1]3_보호자행동'!AC25="","",'[1]3_보호자행동'!AC25)</f>
        <v/>
      </c>
    </row>
    <row r="13" spans="1:29" ht="111.95" customHeight="1">
      <c r="A13" s="5" t="s">
        <v>72</v>
      </c>
      <c r="B13" s="6" t="str">
        <f>IF('[1]3_보호자행동'!B39="","",'[1]3_보호자행동'!B39)</f>
        <v>[재회] 자발적 접근 뒤 접촉 대응 v0.2. 보38=1/3일 때. 개가 먼저 시작한 접촉에 맞춤과 이후 신호에 따른 대응 변화를 구분. 보22와 같은 사건이면 같은 재회 장면 안에서 평균.</v>
      </c>
      <c r="C13" s="6" t="str">
        <f>IF('[1]3_보호자행동'!C39="","",'[1]3_보호자행동'!C39)</f>
        <v>0 — 접근을 막거나 피함</v>
      </c>
      <c r="D13" s="6" t="str">
        <f>IF('[1]3_보호자행동'!D39="","",'[1]3_보호자행동'!D39)</f>
        <v>1 — 개가 기대거나 올라오는 접촉을 받아 주고, 개 움직임에 몸·손 위치를 맞춤. 보호자가 다른 접촉 형태·방향을 요구하지 않음</v>
      </c>
      <c r="E13" s="6" t="str">
        <f>IF('[1]3_보호자행동'!E39="","",'[1]3_보호자행동'!E39)</f>
        <v>2 — 개의 추가 접근·회피·멈춤 신호를 확인한 뒤 접촉을 시작·멈추거나 방법을 바꿈. 신호와 대응 변화 기록</v>
      </c>
      <c r="F13" s="6" t="str">
        <f>IF('[1]3_보호자행동'!F39="","",'[1]3_보호자행동'!F39)</f>
        <v>3 — 붙잡거나 안아 올림</v>
      </c>
      <c r="G13" s="6" t="str">
        <f>IF('[1]3_보호자행동'!G39="","",'[1]3_보호자행동'!G39)</f>
        <v/>
      </c>
      <c r="H13" s="6" t="str">
        <f>IF('[1]3_보호자행동'!H39="","",'[1]3_보호자행동'!H39)</f>
        <v>보호자 유형 배점 근거</v>
      </c>
      <c r="I13" s="6" t="str">
        <f>IF('[1]3_보호자행동'!I39="","",'[1]3_보호자행동'!I39)</f>
        <v>범주</v>
      </c>
      <c r="J13" s="9" t="str">
        <f>IF('[1]3_보호자행동'!J39="","",'[1]3_보호자행동'!J39)</f>
        <v/>
      </c>
      <c r="K13" s="9" t="str">
        <f>IF('[1]3_보호자행동'!K39="","",'[1]3_보호자행동'!K39)</f>
        <v/>
      </c>
      <c r="L13" s="9" t="str">
        <f>IF('[1]3_보호자행동'!L39="","",'[1]3_보호자행동'!L39)</f>
        <v/>
      </c>
      <c r="M13" s="9" t="str">
        <f>IF('[1]3_보호자행동'!M39="","",'[1]3_보호자행동'!M39)</f>
        <v/>
      </c>
      <c r="N13" s="9" t="str">
        <f>IF('[1]3_보호자행동'!N39="","",'[1]3_보호자행동'!N39)</f>
        <v/>
      </c>
      <c r="O13" s="9" t="str">
        <f>IF('[1]3_보호자행동'!O39="","",'[1]3_보호자행동'!O39)</f>
        <v/>
      </c>
      <c r="P13" s="9" t="str">
        <f>IF('[1]3_보호자행동'!P39="","",'[1]3_보호자행동'!P39)</f>
        <v/>
      </c>
      <c r="Q13" s="9" t="str">
        <f>IF('[1]3_보호자행동'!Q39="","",'[1]3_보호자행동'!Q39)</f>
        <v/>
      </c>
      <c r="R13" s="9" t="str">
        <f>IF('[1]3_보호자행동'!R39="","",'[1]3_보호자행동'!R39)</f>
        <v/>
      </c>
      <c r="S13" s="9" t="str">
        <f>IF('[1]3_보호자행동'!S39="","",'[1]3_보호자행동'!S39)</f>
        <v/>
      </c>
      <c r="T13" s="9" t="str">
        <f>IF('[1]3_보호자행동'!T39="","",'[1]3_보호자행동'!T39)</f>
        <v/>
      </c>
      <c r="U13" s="9" t="str">
        <f>IF('[1]3_보호자행동'!U39="","",'[1]3_보호자행동'!U39)</f>
        <v/>
      </c>
      <c r="V13" s="9" t="str">
        <f>IF('[1]3_보호자행동'!V39="","",'[1]3_보호자행동'!V39)</f>
        <v/>
      </c>
      <c r="W13" s="9" t="str">
        <f>IF('[1]3_보호자행동'!W39="","",'[1]3_보호자행동'!W39)</f>
        <v/>
      </c>
      <c r="X13" s="9" t="str">
        <f>IF('[1]3_보호자행동'!X39="","",'[1]3_보호자행동'!X39)</f>
        <v/>
      </c>
      <c r="Y13" s="9" t="str">
        <f>IF('[1]3_보호자행동'!Y39="","",'[1]3_보호자행동'!Y39)</f>
        <v/>
      </c>
      <c r="Z13" s="9" t="str">
        <f>IF('[1]3_보호자행동'!Z39="","",'[1]3_보호자행동'!Z39)</f>
        <v/>
      </c>
      <c r="AA13" s="9" t="str">
        <f>IF('[1]3_보호자행동'!AA39="","",'[1]3_보호자행동'!AA39)</f>
        <v/>
      </c>
      <c r="AB13" s="9" t="str">
        <f>IF('[1]3_보호자행동'!AB39="","",'[1]3_보호자행동'!AB39)</f>
        <v/>
      </c>
      <c r="AC13" s="9" t="str">
        <f>IF('[1]3_보호자행동'!AC39="","",'[1]3_보호자행동'!AC39)</f>
        <v/>
      </c>
    </row>
    <row r="14" spans="1:29" ht="63.95" customHeight="1">
      <c r="A14" s="5" t="s">
        <v>73</v>
      </c>
      <c r="B14" s="6" t="str">
        <f>IF('[1]1_바디시그널'!B42="","",'[1]1_바디시그널'!B42)</f>
        <v>[재회 접촉] 꼬리 — 흔들림 ※원속도 영상에서 관찰. 빠르기는 영상의 연속 움직임으로 확인하며 초당 5장 추출만으로 판단하지 않음. 감정 확정 금지.</v>
      </c>
      <c r="C14" s="6" t="str">
        <f>IF('[1]1_바디시그널'!C42="","",'[1]1_바디시그널'!C42)</f>
        <v>몸도 굳고 꼬리 움직임도 멎은 상태가 주된 모습</v>
      </c>
      <c r="D14" s="6" t="str">
        <f>IF('[1]1_바디시그널'!D42="","",'[1]1_바디시그널'!D42)</f>
        <v>몸은 굳지 않았으나 작은 꼬리 움직임만 간헐적으로 보임</v>
      </c>
      <c r="E14" s="6" t="str">
        <f>IF('[1]1_바디시그널'!E42="","",'[1]1_바디시그널'!E42)</f>
        <v>편안한 자세로 꼬리가 멈춰 있거나 느리고 넓게 움직임</v>
      </c>
      <c r="F14" s="6" t="str">
        <f>IF('[1]1_바디시그널'!F42="","",'[1]1_바디시그널'!F42)</f>
        <v>빠른 좌우 움직임이 주된 모습</v>
      </c>
      <c r="G14" s="6" t="str">
        <f>IF('[1]1_바디시그널'!G42="","",'[1]1_바디시그널'!G42)</f>
        <v>짧은 진폭으로 떨듯 빠른 움직임이 주된 모습</v>
      </c>
      <c r="H14" s="6" t="str">
        <f>IF('[1]1_바디시그널'!H42="","",'[1]1_바디시그널'!H42)</f>
        <v>별도 관찰 · 꼬리 움직임</v>
      </c>
      <c r="I14" s="6" t="str">
        <f>IF('[1]1_바디시그널'!I42="","",'[1]1_바디시그널'!I42)</f>
        <v>양쪽·움직임</v>
      </c>
      <c r="J14" s="9" t="str">
        <f>IF('[1]1_바디시그널'!J42="","",'[1]1_바디시그널'!J42)</f>
        <v/>
      </c>
      <c r="K14" s="9" t="str">
        <f>IF('[1]1_바디시그널'!K42="","",'[1]1_바디시그널'!K42)</f>
        <v/>
      </c>
      <c r="L14" s="9" t="str">
        <f>IF('[1]1_바디시그널'!L42="","",'[1]1_바디시그널'!L42)</f>
        <v/>
      </c>
      <c r="M14" s="9" t="str">
        <f>IF('[1]1_바디시그널'!M42="","",'[1]1_바디시그널'!M42)</f>
        <v/>
      </c>
      <c r="N14" s="9" t="str">
        <f>IF('[1]1_바디시그널'!N42="","",'[1]1_바디시그널'!N42)</f>
        <v/>
      </c>
      <c r="O14" s="9" t="str">
        <f>IF('[1]1_바디시그널'!O42="","",'[1]1_바디시그널'!O42)</f>
        <v/>
      </c>
      <c r="P14" s="9" t="str">
        <f>IF('[1]1_바디시그널'!P42="","",'[1]1_바디시그널'!P42)</f>
        <v/>
      </c>
      <c r="Q14" s="9" t="str">
        <f>IF('[1]1_바디시그널'!Q42="","",'[1]1_바디시그널'!Q42)</f>
        <v/>
      </c>
      <c r="R14" s="9" t="str">
        <f>IF('[1]1_바디시그널'!R42="","",'[1]1_바디시그널'!R42)</f>
        <v/>
      </c>
      <c r="S14" s="9" t="str">
        <f>IF('[1]1_바디시그널'!S42="","",'[1]1_바디시그널'!S42)</f>
        <v/>
      </c>
      <c r="T14" s="9" t="str">
        <f>IF('[1]1_바디시그널'!T42="","",'[1]1_바디시그널'!T42)</f>
        <v/>
      </c>
      <c r="U14" s="9" t="str">
        <f>IF('[1]1_바디시그널'!U42="","",'[1]1_바디시그널'!U42)</f>
        <v/>
      </c>
      <c r="V14" s="9" t="str">
        <f>IF('[1]1_바디시그널'!V42="","",'[1]1_바디시그널'!V42)</f>
        <v/>
      </c>
      <c r="W14" s="9" t="str">
        <f>IF('[1]1_바디시그널'!W42="","",'[1]1_바디시그널'!W42)</f>
        <v/>
      </c>
      <c r="X14" s="9" t="str">
        <f>IF('[1]1_바디시그널'!X42="","",'[1]1_바디시그널'!X42)</f>
        <v/>
      </c>
      <c r="Y14" s="9" t="str">
        <f>IF('[1]1_바디시그널'!Y42="","",'[1]1_바디시그널'!Y42)</f>
        <v/>
      </c>
      <c r="Z14" s="9" t="str">
        <f>IF('[1]1_바디시그널'!Z42="","",'[1]1_바디시그널'!Z42)</f>
        <v/>
      </c>
      <c r="AA14" s="9" t="str">
        <f>IF('[1]1_바디시그널'!AA42="","",'[1]1_바디시그널'!AA42)</f>
        <v/>
      </c>
      <c r="AB14" s="9" t="str">
        <f>IF('[1]1_바디시그널'!AB42="","",'[1]1_바디시그널'!AB42)</f>
        <v/>
      </c>
      <c r="AC14" s="9" t="str">
        <f>IF('[1]1_바디시그널'!AC42="","",'[1]1_바디시그널'!AC42)</f>
        <v/>
      </c>
    </row>
    <row r="15" spans="1:29" ht="63.95" customHeight="1">
      <c r="A15" s="5" t="s">
        <v>74</v>
      </c>
      <c r="B15" s="6" t="str">
        <f>IF('[1]1_바디시그널'!B43="","",'[1]1_바디시그널'!B43)</f>
        <v>[재회 접촉] 꼬리 — 위치 ※형태 관찰. 기준 20초(바38)와 원값을 나란히 봄. 기준도 낯선 장소에서의 상태이며 평소 꼬리가 아님. 가림·단미 등 판독 불가면 빈칸.</v>
      </c>
      <c r="C15" s="6" t="str">
        <f>IF('[1]1_바디시그널'!C43="","",'[1]1_바디시그널'!C43)</f>
        <v>다리 사이로 말아 넣음</v>
      </c>
      <c r="D15" s="6" t="str">
        <f>IF('[1]1_바디시그널'!D43="","",'[1]1_바디시그널'!D43)</f>
        <v>등선보다 아래로 늘어뜨림 — 꼬리끝이 바닥을 가리킴</v>
      </c>
      <c r="E15" s="6" t="str">
        <f>IF('[1]1_바디시그널'!E43="","",'[1]1_바디시그널'!E43)</f>
        <v>등선 높이 — 꼬리끝이 바닥보다 위</v>
      </c>
      <c r="F15" s="6" t="str">
        <f>IF('[1]1_바디시그널'!F43="","",'[1]1_바디시그널'!F43)</f>
        <v>등선보다 높이 올라옴</v>
      </c>
      <c r="G15" s="6" t="str">
        <f>IF('[1]1_바디시그널'!G43="","",'[1]1_바디시그널'!G43)</f>
        <v>등 위로 높이 세우거나 말아 올림</v>
      </c>
      <c r="H15" s="6" t="str">
        <f>IF('[1]1_바디시그널'!H43="","",'[1]1_바디시그널'!H43)</f>
        <v>별도 관찰 · 꼬리 형태</v>
      </c>
      <c r="I15" s="6" t="str">
        <f>IF('[1]1_바디시그널'!I43="","",'[1]1_바디시그널'!I43)</f>
        <v>양쪽·위치</v>
      </c>
      <c r="J15" s="9" t="str">
        <f>IF('[1]1_바디시그널'!J43="","",'[1]1_바디시그널'!J43)</f>
        <v/>
      </c>
      <c r="K15" s="9" t="str">
        <f>IF('[1]1_바디시그널'!K43="","",'[1]1_바디시그널'!K43)</f>
        <v/>
      </c>
      <c r="L15" s="9" t="str">
        <f>IF('[1]1_바디시그널'!L43="","",'[1]1_바디시그널'!L43)</f>
        <v/>
      </c>
      <c r="M15" s="9" t="str">
        <f>IF('[1]1_바디시그널'!M43="","",'[1]1_바디시그널'!M43)</f>
        <v/>
      </c>
      <c r="N15" s="9" t="str">
        <f>IF('[1]1_바디시그널'!N43="","",'[1]1_바디시그널'!N43)</f>
        <v/>
      </c>
      <c r="O15" s="9" t="str">
        <f>IF('[1]1_바디시그널'!O43="","",'[1]1_바디시그널'!O43)</f>
        <v/>
      </c>
      <c r="P15" s="9" t="str">
        <f>IF('[1]1_바디시그널'!P43="","",'[1]1_바디시그널'!P43)</f>
        <v/>
      </c>
      <c r="Q15" s="9" t="str">
        <f>IF('[1]1_바디시그널'!Q43="","",'[1]1_바디시그널'!Q43)</f>
        <v/>
      </c>
      <c r="R15" s="9" t="str">
        <f>IF('[1]1_바디시그널'!R43="","",'[1]1_바디시그널'!R43)</f>
        <v/>
      </c>
      <c r="S15" s="9" t="str">
        <f>IF('[1]1_바디시그널'!S43="","",'[1]1_바디시그널'!S43)</f>
        <v/>
      </c>
      <c r="T15" s="9" t="str">
        <f>IF('[1]1_바디시그널'!T43="","",'[1]1_바디시그널'!T43)</f>
        <v/>
      </c>
      <c r="U15" s="9" t="str">
        <f>IF('[1]1_바디시그널'!U43="","",'[1]1_바디시그널'!U43)</f>
        <v/>
      </c>
      <c r="V15" s="9" t="str">
        <f>IF('[1]1_바디시그널'!V43="","",'[1]1_바디시그널'!V43)</f>
        <v/>
      </c>
      <c r="W15" s="9" t="str">
        <f>IF('[1]1_바디시그널'!W43="","",'[1]1_바디시그널'!W43)</f>
        <v/>
      </c>
      <c r="X15" s="9" t="str">
        <f>IF('[1]1_바디시그널'!X43="","",'[1]1_바디시그널'!X43)</f>
        <v/>
      </c>
      <c r="Y15" s="9" t="str">
        <f>IF('[1]1_바디시그널'!Y43="","",'[1]1_바디시그널'!Y43)</f>
        <v/>
      </c>
      <c r="Z15" s="9" t="str">
        <f>IF('[1]1_바디시그널'!Z43="","",'[1]1_바디시그널'!Z43)</f>
        <v/>
      </c>
      <c r="AA15" s="9" t="str">
        <f>IF('[1]1_바디시그널'!AA43="","",'[1]1_바디시그널'!AA43)</f>
        <v/>
      </c>
      <c r="AB15" s="9" t="str">
        <f>IF('[1]1_바디시그널'!AB43="","",'[1]1_바디시그널'!AB43)</f>
        <v/>
      </c>
      <c r="AC15" s="9" t="str">
        <f>IF('[1]1_바디시그널'!AC43="","",'[1]1_바디시그널'!AC43)</f>
        <v/>
      </c>
    </row>
    <row r="16" spans="1:29" ht="63.95" customHeight="1">
      <c r="A16" s="5" t="s">
        <v>75</v>
      </c>
      <c r="B16" s="6" t="str">
        <f>IF('[1]2_개행동'!B47="","",'[1]2_개행동'!B47)</f>
        <v>[재회] 발성량 ※0~3 시간 비중 · 문 열림부터 30초 전체. 못 들으면 빈칸; 0은 들었으나 없음. 종류·시각·관찰 초는 메모. 꼬리로 소리 의미를 정하지 않음.</v>
      </c>
      <c r="C16" s="6" t="str">
        <f>IF('[1]2_개행동'!C47="","",'[1]2_개행동'!C47)</f>
        <v>0 — 발성 없음</v>
      </c>
      <c r="D16" s="6" t="str">
        <f>IF('[1]2_개행동'!D47="","",'[1]2_개행동'!D47)</f>
        <v>1 — 발성 누적 비중 0 초과~1/3 이하</v>
      </c>
      <c r="E16" s="6" t="str">
        <f>IF('[1]2_개행동'!E47="","",'[1]2_개행동'!E47)</f>
        <v>2 — 1/3 초과~2/3 이하</v>
      </c>
      <c r="F16" s="6" t="str">
        <f>IF('[1]2_개행동'!F47="","",'[1]2_개행동'!F47)</f>
        <v>3 — 2/3 초과</v>
      </c>
      <c r="G16" s="6" t="str">
        <f>IF('[1]2_개행동'!G47="","",'[1]2_개행동'!G47)</f>
        <v/>
      </c>
      <c r="H16" s="6" t="str">
        <f>IF('[1]2_개행동'!H47="","",'[1]2_개행동'!H47)</f>
        <v>별도 관찰 · 발성</v>
      </c>
      <c r="I16" s="6" t="str">
        <f>IF('[1]2_개행동'!I47="","",'[1]2_개행동'!I47)</f>
        <v>한쪽·발성량</v>
      </c>
      <c r="J16" s="9" t="str">
        <f>IF('[1]2_개행동'!J47="","",'[1]2_개행동'!J47)</f>
        <v/>
      </c>
      <c r="K16" s="9" t="str">
        <f>IF('[1]2_개행동'!K47="","",'[1]2_개행동'!K47)</f>
        <v/>
      </c>
      <c r="L16" s="9" t="str">
        <f>IF('[1]2_개행동'!L47="","",'[1]2_개행동'!L47)</f>
        <v/>
      </c>
      <c r="M16" s="9" t="str">
        <f>IF('[1]2_개행동'!M47="","",'[1]2_개행동'!M47)</f>
        <v/>
      </c>
      <c r="N16" s="9" t="str">
        <f>IF('[1]2_개행동'!N47="","",'[1]2_개행동'!N47)</f>
        <v/>
      </c>
      <c r="O16" s="9" t="str">
        <f>IF('[1]2_개행동'!O47="","",'[1]2_개행동'!O47)</f>
        <v/>
      </c>
      <c r="P16" s="9" t="str">
        <f>IF('[1]2_개행동'!P47="","",'[1]2_개행동'!P47)</f>
        <v/>
      </c>
      <c r="Q16" s="9" t="str">
        <f>IF('[1]2_개행동'!Q47="","",'[1]2_개행동'!Q47)</f>
        <v/>
      </c>
      <c r="R16" s="9" t="str">
        <f>IF('[1]2_개행동'!R47="","",'[1]2_개행동'!R47)</f>
        <v/>
      </c>
      <c r="S16" s="9" t="str">
        <f>IF('[1]2_개행동'!S47="","",'[1]2_개행동'!S47)</f>
        <v/>
      </c>
      <c r="T16" s="9" t="str">
        <f>IF('[1]2_개행동'!T47="","",'[1]2_개행동'!T47)</f>
        <v/>
      </c>
      <c r="U16" s="9" t="str">
        <f>IF('[1]2_개행동'!U47="","",'[1]2_개행동'!U47)</f>
        <v/>
      </c>
      <c r="V16" s="9" t="str">
        <f>IF('[1]2_개행동'!V47="","",'[1]2_개행동'!V47)</f>
        <v/>
      </c>
      <c r="W16" s="9" t="str">
        <f>IF('[1]2_개행동'!W47="","",'[1]2_개행동'!W47)</f>
        <v/>
      </c>
      <c r="X16" s="9" t="str">
        <f>IF('[1]2_개행동'!X47="","",'[1]2_개행동'!X47)</f>
        <v/>
      </c>
      <c r="Y16" s="9" t="str">
        <f>IF('[1]2_개행동'!Y47="","",'[1]2_개행동'!Y47)</f>
        <v/>
      </c>
      <c r="Z16" s="9" t="str">
        <f>IF('[1]2_개행동'!Z47="","",'[1]2_개행동'!Z47)</f>
        <v/>
      </c>
      <c r="AA16" s="9" t="str">
        <f>IF('[1]2_개행동'!AA47="","",'[1]2_개행동'!AA47)</f>
        <v/>
      </c>
      <c r="AB16" s="9" t="str">
        <f>IF('[1]2_개행동'!AB47="","",'[1]2_개행동'!AB47)</f>
        <v/>
      </c>
      <c r="AC16" s="9" t="str">
        <f>IF('[1]2_개행동'!AC47="","",'[1]2_개행동'!AC47)</f>
        <v/>
      </c>
    </row>
    <row r="17" spans="1:29" ht="80.099999999999994" customHeight="1">
      <c r="A17" s="5" t="s">
        <v>76</v>
      </c>
      <c r="B17" s="6" t="str">
        <f>IF('[1]2_개행동'!B21="","",'[1]2_개행동'!B21)</f>
        <v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v>
      </c>
      <c r="C17" s="18" t="str">
        <f>IF('[1]2_개행동'!C21="","",'[1]2_개행동'!C21)</f>
        <v>0은 관찰 가능했으나 해당 사건 없음. 빈칸은 판독 불가. 횟수는 개별 검토 근거이며 애착 혼란의 진단 기준이 아님.</v>
      </c>
      <c r="D17" s="18"/>
      <c r="E17" s="18"/>
      <c r="F17" s="18"/>
      <c r="G17" s="18"/>
      <c r="H17" s="6" t="str">
        <f>IF('[1]2_개행동'!H21="","",'[1]2_개행동'!H21)</f>
        <v>별도 관찰 · 사건 횟수</v>
      </c>
      <c r="I17" s="6" t="str">
        <f>IF('[1]2_개행동'!I21="","",'[1]2_개행동'!I21)</f>
        <v>참고</v>
      </c>
      <c r="J17" s="9" t="str">
        <f>IF('[1]2_개행동'!J21="","",'[1]2_개행동'!J21)</f>
        <v/>
      </c>
      <c r="K17" s="9" t="str">
        <f>IF('[1]2_개행동'!K21="","",'[1]2_개행동'!K21)</f>
        <v/>
      </c>
      <c r="L17" s="9" t="str">
        <f>IF('[1]2_개행동'!L21="","",'[1]2_개행동'!L21)</f>
        <v/>
      </c>
      <c r="M17" s="9" t="str">
        <f>IF('[1]2_개행동'!M21="","",'[1]2_개행동'!M21)</f>
        <v/>
      </c>
      <c r="N17" s="9" t="str">
        <f>IF('[1]2_개행동'!N21="","",'[1]2_개행동'!N21)</f>
        <v/>
      </c>
      <c r="O17" s="9" t="str">
        <f>IF('[1]2_개행동'!O21="","",'[1]2_개행동'!O21)</f>
        <v/>
      </c>
      <c r="P17" s="9" t="str">
        <f>IF('[1]2_개행동'!P21="","",'[1]2_개행동'!P21)</f>
        <v/>
      </c>
      <c r="Q17" s="9" t="str">
        <f>IF('[1]2_개행동'!Q21="","",'[1]2_개행동'!Q21)</f>
        <v/>
      </c>
      <c r="R17" s="9" t="str">
        <f>IF('[1]2_개행동'!R21="","",'[1]2_개행동'!R21)</f>
        <v/>
      </c>
      <c r="S17" s="9" t="str">
        <f>IF('[1]2_개행동'!S21="","",'[1]2_개행동'!S21)</f>
        <v/>
      </c>
      <c r="T17" s="9" t="str">
        <f>IF('[1]2_개행동'!T21="","",'[1]2_개행동'!T21)</f>
        <v/>
      </c>
      <c r="U17" s="9" t="str">
        <f>IF('[1]2_개행동'!U21="","",'[1]2_개행동'!U21)</f>
        <v/>
      </c>
      <c r="V17" s="9" t="str">
        <f>IF('[1]2_개행동'!V21="","",'[1]2_개행동'!V21)</f>
        <v/>
      </c>
      <c r="W17" s="9" t="str">
        <f>IF('[1]2_개행동'!W21="","",'[1]2_개행동'!W21)</f>
        <v/>
      </c>
      <c r="X17" s="9" t="str">
        <f>IF('[1]2_개행동'!X21="","",'[1]2_개행동'!X21)</f>
        <v/>
      </c>
      <c r="Y17" s="9" t="str">
        <f>IF('[1]2_개행동'!Y21="","",'[1]2_개행동'!Y21)</f>
        <v/>
      </c>
      <c r="Z17" s="9" t="str">
        <f>IF('[1]2_개행동'!Z21="","",'[1]2_개행동'!Z21)</f>
        <v/>
      </c>
      <c r="AA17" s="9" t="str">
        <f>IF('[1]2_개행동'!AA21="","",'[1]2_개행동'!AA21)</f>
        <v/>
      </c>
      <c r="AB17" s="9" t="str">
        <f>IF('[1]2_개행동'!AB21="","",'[1]2_개행동'!AB21)</f>
        <v/>
      </c>
      <c r="AC17" s="9" t="str">
        <f>IF('[1]2_개행동'!AC21="","",'[1]2_개행동'!AC21)</f>
        <v/>
      </c>
    </row>
    <row r="18" spans="1:29" ht="60" customHeight="1">
      <c r="A18" s="5" t="s">
        <v>77</v>
      </c>
      <c r="B18" s="6" t="str">
        <f>IF('[1]1_바디시그널'!B26="","",'[1]1_바디시그널'!B26)</f>
        <v>[재회] 몸 털기 횟수  ※구간 전체 30초 · 참고</v>
      </c>
      <c r="C18" s="18" t="str">
        <f>IF('[1]1_바디시그널'!C26="","",'[1]1_바디시그널'!C26)</f>
        <v>온몸을 좌우로 빠르게 턴 횟수를 셉니다. 머리만 흔든 것은 빼고, 몸이 안 보인 구간이면 빈칸(0 과 다름).</v>
      </c>
      <c r="D18" s="18"/>
      <c r="E18" s="18"/>
      <c r="F18" s="18"/>
      <c r="G18" s="18"/>
      <c r="H18" s="6" t="str">
        <f>IF('[1]1_바디시그널'!H26="","",'[1]1_바디시그널'!H26)</f>
        <v>별도 관찰 · 행동 횟수</v>
      </c>
      <c r="I18" s="6" t="str">
        <f>IF('[1]1_바디시그널'!I26="","",'[1]1_바디시그널'!I26)</f>
        <v>참고</v>
      </c>
      <c r="J18" s="9" t="str">
        <f>IF('[1]1_바디시그널'!J26="","",'[1]1_바디시그널'!J26)</f>
        <v/>
      </c>
      <c r="K18" s="9" t="str">
        <f>IF('[1]1_바디시그널'!K26="","",'[1]1_바디시그널'!K26)</f>
        <v/>
      </c>
      <c r="L18" s="9" t="str">
        <f>IF('[1]1_바디시그널'!L26="","",'[1]1_바디시그널'!L26)</f>
        <v/>
      </c>
      <c r="M18" s="9" t="str">
        <f>IF('[1]1_바디시그널'!M26="","",'[1]1_바디시그널'!M26)</f>
        <v/>
      </c>
      <c r="N18" s="9" t="str">
        <f>IF('[1]1_바디시그널'!N26="","",'[1]1_바디시그널'!N26)</f>
        <v/>
      </c>
      <c r="O18" s="9" t="str">
        <f>IF('[1]1_바디시그널'!O26="","",'[1]1_바디시그널'!O26)</f>
        <v/>
      </c>
      <c r="P18" s="9" t="str">
        <f>IF('[1]1_바디시그널'!P26="","",'[1]1_바디시그널'!P26)</f>
        <v/>
      </c>
      <c r="Q18" s="9" t="str">
        <f>IF('[1]1_바디시그널'!Q26="","",'[1]1_바디시그널'!Q26)</f>
        <v/>
      </c>
      <c r="R18" s="9" t="str">
        <f>IF('[1]1_바디시그널'!R26="","",'[1]1_바디시그널'!R26)</f>
        <v/>
      </c>
      <c r="S18" s="9" t="str">
        <f>IF('[1]1_바디시그널'!S26="","",'[1]1_바디시그널'!S26)</f>
        <v/>
      </c>
      <c r="T18" s="9" t="str">
        <f>IF('[1]1_바디시그널'!T26="","",'[1]1_바디시그널'!T26)</f>
        <v/>
      </c>
      <c r="U18" s="9" t="str">
        <f>IF('[1]1_바디시그널'!U26="","",'[1]1_바디시그널'!U26)</f>
        <v/>
      </c>
      <c r="V18" s="9" t="str">
        <f>IF('[1]1_바디시그널'!V26="","",'[1]1_바디시그널'!V26)</f>
        <v/>
      </c>
      <c r="W18" s="9" t="str">
        <f>IF('[1]1_바디시그널'!W26="","",'[1]1_바디시그널'!W26)</f>
        <v/>
      </c>
      <c r="X18" s="9" t="str">
        <f>IF('[1]1_바디시그널'!X26="","",'[1]1_바디시그널'!X26)</f>
        <v/>
      </c>
      <c r="Y18" s="9" t="str">
        <f>IF('[1]1_바디시그널'!Y26="","",'[1]1_바디시그널'!Y26)</f>
        <v/>
      </c>
      <c r="Z18" s="9" t="str">
        <f>IF('[1]1_바디시그널'!Z26="","",'[1]1_바디시그널'!Z26)</f>
        <v/>
      </c>
      <c r="AA18" s="9" t="str">
        <f>IF('[1]1_바디시그널'!AA26="","",'[1]1_바디시그널'!AA26)</f>
        <v/>
      </c>
      <c r="AB18" s="9" t="str">
        <f>IF('[1]1_바디시그널'!AB26="","",'[1]1_바디시그널'!AB26)</f>
        <v/>
      </c>
      <c r="AC18" s="9" t="str">
        <f>IF('[1]1_바디시그널'!AC26="","",'[1]1_바디시그널'!AC26)</f>
        <v/>
      </c>
    </row>
    <row r="19" spans="1:29" ht="60" customHeight="1">
      <c r="A19" s="5" t="s">
        <v>78</v>
      </c>
      <c r="B19" s="6" t="str">
        <f>IF('[1]1_바디시그널'!B27="","",'[1]1_바디시그널'!B27)</f>
        <v>[재회] 하품 횟수  ※구간 전체 30초 · 참고</v>
      </c>
      <c r="C19" s="18" t="str">
        <f>IF('[1]1_바디시그널'!C27="","",'[1]1_바디시그널'!C27)</f>
        <v>입을 크게 벌렸다 닫은 횟수를 셉니다. 짖음 · 헐떡임과 구분하고, 얼굴이 안 보인 구간이면 빈칸(0 과 다름).</v>
      </c>
      <c r="D19" s="18"/>
      <c r="E19" s="18"/>
      <c r="F19" s="18"/>
      <c r="G19" s="18"/>
      <c r="H19" s="6" t="str">
        <f>IF('[1]1_바디시그널'!H27="","",'[1]1_바디시그널'!H27)</f>
        <v>별도 관찰 · 행동 횟수</v>
      </c>
      <c r="I19" s="6" t="str">
        <f>IF('[1]1_바디시그널'!I27="","",'[1]1_바디시그널'!I27)</f>
        <v>참고</v>
      </c>
      <c r="J19" s="9" t="str">
        <f>IF('[1]1_바디시그널'!J27="","",'[1]1_바디시그널'!J27)</f>
        <v/>
      </c>
      <c r="K19" s="9" t="str">
        <f>IF('[1]1_바디시그널'!K27="","",'[1]1_바디시그널'!K27)</f>
        <v/>
      </c>
      <c r="L19" s="9" t="str">
        <f>IF('[1]1_바디시그널'!L27="","",'[1]1_바디시그널'!L27)</f>
        <v/>
      </c>
      <c r="M19" s="9" t="str">
        <f>IF('[1]1_바디시그널'!M27="","",'[1]1_바디시그널'!M27)</f>
        <v/>
      </c>
      <c r="N19" s="9" t="str">
        <f>IF('[1]1_바디시그널'!N27="","",'[1]1_바디시그널'!N27)</f>
        <v/>
      </c>
      <c r="O19" s="9" t="str">
        <f>IF('[1]1_바디시그널'!O27="","",'[1]1_바디시그널'!O27)</f>
        <v/>
      </c>
      <c r="P19" s="9" t="str">
        <f>IF('[1]1_바디시그널'!P27="","",'[1]1_바디시그널'!P27)</f>
        <v/>
      </c>
      <c r="Q19" s="9" t="str">
        <f>IF('[1]1_바디시그널'!Q27="","",'[1]1_바디시그널'!Q27)</f>
        <v/>
      </c>
      <c r="R19" s="9" t="str">
        <f>IF('[1]1_바디시그널'!R27="","",'[1]1_바디시그널'!R27)</f>
        <v/>
      </c>
      <c r="S19" s="9" t="str">
        <f>IF('[1]1_바디시그널'!S27="","",'[1]1_바디시그널'!S27)</f>
        <v/>
      </c>
      <c r="T19" s="9" t="str">
        <f>IF('[1]1_바디시그널'!T27="","",'[1]1_바디시그널'!T27)</f>
        <v/>
      </c>
      <c r="U19" s="9" t="str">
        <f>IF('[1]1_바디시그널'!U27="","",'[1]1_바디시그널'!U27)</f>
        <v/>
      </c>
      <c r="V19" s="9" t="str">
        <f>IF('[1]1_바디시그널'!V27="","",'[1]1_바디시그널'!V27)</f>
        <v/>
      </c>
      <c r="W19" s="9" t="str">
        <f>IF('[1]1_바디시그널'!W27="","",'[1]1_바디시그널'!W27)</f>
        <v/>
      </c>
      <c r="X19" s="9" t="str">
        <f>IF('[1]1_바디시그널'!X27="","",'[1]1_바디시그널'!X27)</f>
        <v/>
      </c>
      <c r="Y19" s="9" t="str">
        <f>IF('[1]1_바디시그널'!Y27="","",'[1]1_바디시그널'!Y27)</f>
        <v/>
      </c>
      <c r="Z19" s="9" t="str">
        <f>IF('[1]1_바디시그널'!Z27="","",'[1]1_바디시그널'!Z27)</f>
        <v/>
      </c>
      <c r="AA19" s="9" t="str">
        <f>IF('[1]1_바디시그널'!AA27="","",'[1]1_바디시그널'!AA27)</f>
        <v/>
      </c>
      <c r="AB19" s="9" t="str">
        <f>IF('[1]1_바디시그널'!AB27="","",'[1]1_바디시그널'!AB27)</f>
        <v/>
      </c>
      <c r="AC19" s="9" t="str">
        <f>IF('[1]1_바디시그널'!AC27="","",'[1]1_바디시그널'!AC27)</f>
        <v/>
      </c>
    </row>
    <row r="20" spans="1:29" ht="60" customHeight="1">
      <c r="A20" s="5" t="s">
        <v>79</v>
      </c>
      <c r="B20" s="6" t="str">
        <f>IF('[1]1_바디시그널'!B28="","",'[1]1_바디시그널'!B28)</f>
        <v>[재회] 코 핥기 횟수  ※구간 전체 30초 · 참고</v>
      </c>
      <c r="C20" s="18" t="str">
        <f>IF('[1]1_바디시그널'!C28="","",'[1]1_바디시그널'!C28)</f>
        <v>혀가 나와 코나 윗입술을 스친 횟수를 셉니다. 1초 이상 떨어져야 따로 세고, 먹이를 먹은 뒤 30초는 세지 않습니다. 얼굴이 안 보이면 빈칸.</v>
      </c>
      <c r="D20" s="18"/>
      <c r="E20" s="18"/>
      <c r="F20" s="18"/>
      <c r="G20" s="18"/>
      <c r="H20" s="6" t="str">
        <f>IF('[1]1_바디시그널'!H28="","",'[1]1_바디시그널'!H28)</f>
        <v>별도 관찰 · 행동 횟수</v>
      </c>
      <c r="I20" s="6" t="str">
        <f>IF('[1]1_바디시그널'!I28="","",'[1]1_바디시그널'!I28)</f>
        <v>참고</v>
      </c>
      <c r="J20" s="9" t="str">
        <f>IF('[1]1_바디시그널'!J28="","",'[1]1_바디시그널'!J28)</f>
        <v/>
      </c>
      <c r="K20" s="9" t="str">
        <f>IF('[1]1_바디시그널'!K28="","",'[1]1_바디시그널'!K28)</f>
        <v/>
      </c>
      <c r="L20" s="9" t="str">
        <f>IF('[1]1_바디시그널'!L28="","",'[1]1_바디시그널'!L28)</f>
        <v/>
      </c>
      <c r="M20" s="9" t="str">
        <f>IF('[1]1_바디시그널'!M28="","",'[1]1_바디시그널'!M28)</f>
        <v/>
      </c>
      <c r="N20" s="9" t="str">
        <f>IF('[1]1_바디시그널'!N28="","",'[1]1_바디시그널'!N28)</f>
        <v/>
      </c>
      <c r="O20" s="9" t="str">
        <f>IF('[1]1_바디시그널'!O28="","",'[1]1_바디시그널'!O28)</f>
        <v/>
      </c>
      <c r="P20" s="9" t="str">
        <f>IF('[1]1_바디시그널'!P28="","",'[1]1_바디시그널'!P28)</f>
        <v/>
      </c>
      <c r="Q20" s="9" t="str">
        <f>IF('[1]1_바디시그널'!Q28="","",'[1]1_바디시그널'!Q28)</f>
        <v/>
      </c>
      <c r="R20" s="9" t="str">
        <f>IF('[1]1_바디시그널'!R28="","",'[1]1_바디시그널'!R28)</f>
        <v/>
      </c>
      <c r="S20" s="9" t="str">
        <f>IF('[1]1_바디시그널'!S28="","",'[1]1_바디시그널'!S28)</f>
        <v/>
      </c>
      <c r="T20" s="9" t="str">
        <f>IF('[1]1_바디시그널'!T28="","",'[1]1_바디시그널'!T28)</f>
        <v/>
      </c>
      <c r="U20" s="9" t="str">
        <f>IF('[1]1_바디시그널'!U28="","",'[1]1_바디시그널'!U28)</f>
        <v/>
      </c>
      <c r="V20" s="9" t="str">
        <f>IF('[1]1_바디시그널'!V28="","",'[1]1_바디시그널'!V28)</f>
        <v/>
      </c>
      <c r="W20" s="9" t="str">
        <f>IF('[1]1_바디시그널'!W28="","",'[1]1_바디시그널'!W28)</f>
        <v/>
      </c>
      <c r="X20" s="9" t="str">
        <f>IF('[1]1_바디시그널'!X28="","",'[1]1_바디시그널'!X28)</f>
        <v/>
      </c>
      <c r="Y20" s="9" t="str">
        <f>IF('[1]1_바디시그널'!Y28="","",'[1]1_바디시그널'!Y28)</f>
        <v/>
      </c>
      <c r="Z20" s="9" t="str">
        <f>IF('[1]1_바디시그널'!Z28="","",'[1]1_바디시그널'!Z28)</f>
        <v/>
      </c>
      <c r="AA20" s="9" t="str">
        <f>IF('[1]1_바디시그널'!AA28="","",'[1]1_바디시그널'!AA28)</f>
        <v/>
      </c>
      <c r="AB20" s="9" t="str">
        <f>IF('[1]1_바디시그널'!AB28="","",'[1]1_바디시그널'!AB28)</f>
        <v/>
      </c>
      <c r="AC20" s="9" t="str">
        <f>IF('[1]1_바디시그널'!AC28="","",'[1]1_바디시그널'!AC28)</f>
        <v/>
      </c>
    </row>
    <row r="21" spans="1:29" ht="60" customHeight="1">
      <c r="A21" s="7" t="s">
        <v>80</v>
      </c>
      <c r="B21" s="8" t="str">
        <f>IF('[1]2_개행동'!B20="","",'[1]2_개행동'!B20)</f>
        <v>[재회 접촉] 꼬리  ※사용하지 않습니다 (2026-09-22) — 바43(재회 꼬리 — 위치)으로 옮겼습니다</v>
      </c>
      <c r="C21" s="8" t="str">
        <f>IF('[1]2_개행동'!C20="","",'[1]2_개행동'!C20)</f>
        <v/>
      </c>
      <c r="D21" s="8" t="str">
        <f>IF('[1]2_개행동'!D20="","",'[1]2_개행동'!D20)</f>
        <v/>
      </c>
      <c r="E21" s="8" t="str">
        <f>IF('[1]2_개행동'!E20="","",'[1]2_개행동'!E20)</f>
        <v/>
      </c>
      <c r="F21" s="8" t="str">
        <f>IF('[1]2_개행동'!F20="","",'[1]2_개행동'!F20)</f>
        <v/>
      </c>
      <c r="G21" s="8" t="str">
        <f>IF('[1]2_개행동'!G20="","",'[1]2_개행동'!G20)</f>
        <v/>
      </c>
      <c r="H21" s="8" t="str">
        <f>IF('[1]2_개행동'!H20="","",'[1]2_개행동'!H20)</f>
        <v>— 사용 안 함</v>
      </c>
      <c r="I21" s="8" t="str">
        <f>IF('[1]2_개행동'!I20="","",'[1]2_개행동'!I20)</f>
        <v>미사용</v>
      </c>
      <c r="J21" s="9" t="str">
        <f>IF('[1]2_개행동'!J20="","",'[1]2_개행동'!J20)</f>
        <v/>
      </c>
      <c r="K21" s="9" t="str">
        <f>IF('[1]2_개행동'!K20="","",'[1]2_개행동'!K20)</f>
        <v/>
      </c>
      <c r="L21" s="9" t="str">
        <f>IF('[1]2_개행동'!L20="","",'[1]2_개행동'!L20)</f>
        <v/>
      </c>
      <c r="M21" s="9" t="str">
        <f>IF('[1]2_개행동'!M20="","",'[1]2_개행동'!M20)</f>
        <v/>
      </c>
      <c r="N21" s="9" t="str">
        <f>IF('[1]2_개행동'!N20="","",'[1]2_개행동'!N20)</f>
        <v/>
      </c>
      <c r="O21" s="9" t="str">
        <f>IF('[1]2_개행동'!O20="","",'[1]2_개행동'!O20)</f>
        <v/>
      </c>
      <c r="P21" s="9" t="str">
        <f>IF('[1]2_개행동'!P20="","",'[1]2_개행동'!P20)</f>
        <v/>
      </c>
      <c r="Q21" s="9" t="str">
        <f>IF('[1]2_개행동'!Q20="","",'[1]2_개행동'!Q20)</f>
        <v/>
      </c>
      <c r="R21" s="9" t="str">
        <f>IF('[1]2_개행동'!R20="","",'[1]2_개행동'!R20)</f>
        <v/>
      </c>
      <c r="S21" s="9" t="str">
        <f>IF('[1]2_개행동'!S20="","",'[1]2_개행동'!S20)</f>
        <v/>
      </c>
      <c r="T21" s="9" t="str">
        <f>IF('[1]2_개행동'!T20="","",'[1]2_개행동'!T20)</f>
        <v/>
      </c>
      <c r="U21" s="9" t="str">
        <f>IF('[1]2_개행동'!U20="","",'[1]2_개행동'!U20)</f>
        <v/>
      </c>
      <c r="V21" s="9" t="str">
        <f>IF('[1]2_개행동'!V20="","",'[1]2_개행동'!V20)</f>
        <v/>
      </c>
      <c r="W21" s="9" t="str">
        <f>IF('[1]2_개행동'!W20="","",'[1]2_개행동'!W20)</f>
        <v/>
      </c>
      <c r="X21" s="9" t="str">
        <f>IF('[1]2_개행동'!X20="","",'[1]2_개행동'!X20)</f>
        <v/>
      </c>
      <c r="Y21" s="9" t="str">
        <f>IF('[1]2_개행동'!Y20="","",'[1]2_개행동'!Y20)</f>
        <v/>
      </c>
      <c r="Z21" s="9" t="str">
        <f>IF('[1]2_개행동'!Z20="","",'[1]2_개행동'!Z20)</f>
        <v/>
      </c>
      <c r="AA21" s="9" t="str">
        <f>IF('[1]2_개행동'!AA20="","",'[1]2_개행동'!AA20)</f>
        <v/>
      </c>
      <c r="AB21" s="9" t="str">
        <f>IF('[1]2_개행동'!AB20="","",'[1]2_개행동'!AB20)</f>
        <v/>
      </c>
      <c r="AC21" s="9" t="str">
        <f>IF('[1]2_개행동'!AC20="","",'[1]2_개행동'!AC20)</f>
        <v/>
      </c>
    </row>
  </sheetData>
  <sheetProtection sheet="1" objects="1" scenarios="1" formatColumns="0" formatRows="0"/>
  <mergeCells count="8">
    <mergeCell ref="C18:G18"/>
    <mergeCell ref="C19:G19"/>
    <mergeCell ref="C20:G20"/>
    <mergeCell ref="A1:I1"/>
    <mergeCell ref="A2:I2"/>
    <mergeCell ref="A3:I3"/>
    <mergeCell ref="C12:G12"/>
    <mergeCell ref="C17:G17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81</v>
      </c>
      <c r="B5" s="6" t="str">
        <f>IF('[1]3_보호자행동'!B12="","",'[1]3_보호자행동'!B12)</f>
        <v>[무시] 지시 준수  ※참고 · 조건 준수 확인 · 이 칸만 1~3 입니다</v>
      </c>
      <c r="C5" s="6" t="str">
        <f>IF('[1]3_보호자행동'!C12="","",'[1]3_보호자행동'!C12)</f>
        <v>20초 동안 말·시선·접촉 없음 — 유효</v>
      </c>
      <c r="D5" s="6" t="str">
        <f>IF('[1]3_보호자행동'!D12="","",'[1]3_보호자행동'!D12)</f>
        <v>한 번 보거나 말함 — 유효(주의)</v>
      </c>
      <c r="E5" s="6" t="str">
        <f>IF('[1]3_보호자행동'!E12="","",'[1]3_보호자행동'!E12)</f>
        <v>두 번 이상 · 만짐 — 이 시행의 무시 항목 무효</v>
      </c>
      <c r="F5" s="6" t="str">
        <f>IF('[1]3_보호자행동'!F12="","",'[1]3_보호자행동'!F12)</f>
        <v/>
      </c>
      <c r="G5" s="6" t="str">
        <f>IF('[1]3_보호자행동'!G12="","",'[1]3_보호자행동'!G12)</f>
        <v/>
      </c>
      <c r="H5" s="6" t="str">
        <f>IF('[1]3_보호자행동'!H12="","",'[1]3_보호자행동'!H12)</f>
        <v>— 참고 (영역 집계 제외)</v>
      </c>
      <c r="I5" s="6" t="str">
        <f>IF('[1]3_보호자행동'!I12="","",'[1]3_보호자행동'!I12)</f>
        <v>참고</v>
      </c>
      <c r="J5" s="9" t="str">
        <f>IF('[1]3_보호자행동'!J12="","",'[1]3_보호자행동'!J12)</f>
        <v/>
      </c>
      <c r="K5" s="9" t="str">
        <f>IF('[1]3_보호자행동'!K12="","",'[1]3_보호자행동'!K12)</f>
        <v/>
      </c>
      <c r="L5" s="9" t="str">
        <f>IF('[1]3_보호자행동'!L12="","",'[1]3_보호자행동'!L12)</f>
        <v/>
      </c>
      <c r="M5" s="9" t="str">
        <f>IF('[1]3_보호자행동'!M12="","",'[1]3_보호자행동'!M12)</f>
        <v/>
      </c>
      <c r="N5" s="9" t="str">
        <f>IF('[1]3_보호자행동'!N12="","",'[1]3_보호자행동'!N12)</f>
        <v/>
      </c>
      <c r="O5" s="9" t="str">
        <f>IF('[1]3_보호자행동'!O12="","",'[1]3_보호자행동'!O12)</f>
        <v/>
      </c>
      <c r="P5" s="9" t="str">
        <f>IF('[1]3_보호자행동'!P12="","",'[1]3_보호자행동'!P12)</f>
        <v/>
      </c>
      <c r="Q5" s="9" t="str">
        <f>IF('[1]3_보호자행동'!Q12="","",'[1]3_보호자행동'!Q12)</f>
        <v/>
      </c>
      <c r="R5" s="9" t="str">
        <f>IF('[1]3_보호자행동'!R12="","",'[1]3_보호자행동'!R12)</f>
        <v/>
      </c>
      <c r="S5" s="9" t="str">
        <f>IF('[1]3_보호자행동'!S12="","",'[1]3_보호자행동'!S12)</f>
        <v/>
      </c>
      <c r="T5" s="9" t="str">
        <f>IF('[1]3_보호자행동'!T12="","",'[1]3_보호자행동'!T12)</f>
        <v/>
      </c>
      <c r="U5" s="9" t="str">
        <f>IF('[1]3_보호자행동'!U12="","",'[1]3_보호자행동'!U12)</f>
        <v/>
      </c>
      <c r="V5" s="9" t="str">
        <f>IF('[1]3_보호자행동'!V12="","",'[1]3_보호자행동'!V12)</f>
        <v/>
      </c>
      <c r="W5" s="9" t="str">
        <f>IF('[1]3_보호자행동'!W12="","",'[1]3_보호자행동'!W12)</f>
        <v/>
      </c>
      <c r="X5" s="9" t="str">
        <f>IF('[1]3_보호자행동'!X12="","",'[1]3_보호자행동'!X12)</f>
        <v/>
      </c>
      <c r="Y5" s="9" t="str">
        <f>IF('[1]3_보호자행동'!Y12="","",'[1]3_보호자행동'!Y12)</f>
        <v/>
      </c>
      <c r="Z5" s="9" t="str">
        <f>IF('[1]3_보호자행동'!Z12="","",'[1]3_보호자행동'!Z12)</f>
        <v/>
      </c>
      <c r="AA5" s="9" t="str">
        <f>IF('[1]3_보호자행동'!AA12="","",'[1]3_보호자행동'!AA12)</f>
        <v/>
      </c>
      <c r="AB5" s="9" t="str">
        <f>IF('[1]3_보호자행동'!AB12="","",'[1]3_보호자행동'!AB12)</f>
        <v/>
      </c>
      <c r="AC5" s="9" t="str">
        <f>IF('[1]3_보호자행동'!AC12="","",'[1]3_보호자행동'!AC12)</f>
        <v/>
      </c>
    </row>
    <row r="6" spans="1:29" ht="63.95" customHeight="1">
      <c r="A6" s="5" t="s">
        <v>83</v>
      </c>
      <c r="B6" s="6" t="str">
        <f>IF('[1]2_개행동'!B22="","",'[1]2_개행동'!B22)</f>
        <v>[무시] 보호자와의 거리·확인 ※접촉 종료 뒤 20초. 보12 조건을 함께 확인. 거리 유지와 시선이 함께 든 기존 범주이며 단일 친밀감·애착 강도는 아님.</v>
      </c>
      <c r="C6" s="6" t="str">
        <f>IF('[1]2_개행동'!C22="","",'[1]2_개행동'!C22)</f>
        <v>무릎에 올라감 · 몸을 얹고 떨어지지 않음</v>
      </c>
      <c r="D6" s="6" t="str">
        <f>IF('[1]2_개행동'!D22="","",'[1]2_개행동'!D22)</f>
        <v>몸이 닿는 거리로 붙어 있음</v>
      </c>
      <c r="E6" s="6" t="str">
        <f>IF('[1]2_개행동'!E22="","",'[1]2_개행동'!E22)</f>
        <v>주변 1 m 안에 있으며 가끔 확인</v>
      </c>
      <c r="F6" s="6" t="str">
        <f>IF('[1]2_개행동'!F22="","",'[1]2_개행동'!F22)</f>
        <v>떨어져 있고 가끔만 쳐다봄</v>
      </c>
      <c r="G6" s="6" t="str">
        <f>IF('[1]2_개행동'!G22="","",'[1]2_개행동'!G22)</f>
        <v>한 번도 쳐다보지 않음 · 혼자 다님</v>
      </c>
      <c r="H6" s="6" t="str">
        <f>IF('[1]2_개행동'!H22="","",'[1]2_개행동'!H22)</f>
        <v>애착·관계 관찰</v>
      </c>
      <c r="I6" s="6" t="str">
        <f>IF('[1]2_개행동'!I22="","",'[1]2_개행동'!I22)</f>
        <v>양쪽·거리</v>
      </c>
      <c r="J6" s="9" t="str">
        <f>IF('[1]2_개행동'!J22="","",'[1]2_개행동'!J22)</f>
        <v/>
      </c>
      <c r="K6" s="9" t="str">
        <f>IF('[1]2_개행동'!K22="","",'[1]2_개행동'!K22)</f>
        <v/>
      </c>
      <c r="L6" s="9" t="str">
        <f>IF('[1]2_개행동'!L22="","",'[1]2_개행동'!L22)</f>
        <v/>
      </c>
      <c r="M6" s="9" t="str">
        <f>IF('[1]2_개행동'!M22="","",'[1]2_개행동'!M22)</f>
        <v/>
      </c>
      <c r="N6" s="9" t="str">
        <f>IF('[1]2_개행동'!N22="","",'[1]2_개행동'!N22)</f>
        <v/>
      </c>
      <c r="O6" s="9" t="str">
        <f>IF('[1]2_개행동'!O22="","",'[1]2_개행동'!O22)</f>
        <v/>
      </c>
      <c r="P6" s="9" t="str">
        <f>IF('[1]2_개행동'!P22="","",'[1]2_개행동'!P22)</f>
        <v/>
      </c>
      <c r="Q6" s="9" t="str">
        <f>IF('[1]2_개행동'!Q22="","",'[1]2_개행동'!Q22)</f>
        <v/>
      </c>
      <c r="R6" s="9" t="str">
        <f>IF('[1]2_개행동'!R22="","",'[1]2_개행동'!R22)</f>
        <v/>
      </c>
      <c r="S6" s="9" t="str">
        <f>IF('[1]2_개행동'!S22="","",'[1]2_개행동'!S22)</f>
        <v/>
      </c>
      <c r="T6" s="9" t="str">
        <f>IF('[1]2_개행동'!T22="","",'[1]2_개행동'!T22)</f>
        <v/>
      </c>
      <c r="U6" s="9" t="str">
        <f>IF('[1]2_개행동'!U22="","",'[1]2_개행동'!U22)</f>
        <v/>
      </c>
      <c r="V6" s="9" t="str">
        <f>IF('[1]2_개행동'!V22="","",'[1]2_개행동'!V22)</f>
        <v/>
      </c>
      <c r="W6" s="9" t="str">
        <f>IF('[1]2_개행동'!W22="","",'[1]2_개행동'!W22)</f>
        <v/>
      </c>
      <c r="X6" s="9" t="str">
        <f>IF('[1]2_개행동'!X22="","",'[1]2_개행동'!X22)</f>
        <v/>
      </c>
      <c r="Y6" s="9" t="str">
        <f>IF('[1]2_개행동'!Y22="","",'[1]2_개행동'!Y22)</f>
        <v/>
      </c>
      <c r="Z6" s="9" t="str">
        <f>IF('[1]2_개행동'!Z22="","",'[1]2_개행동'!Z22)</f>
        <v/>
      </c>
      <c r="AA6" s="9" t="str">
        <f>IF('[1]2_개행동'!AA22="","",'[1]2_개행동'!AA22)</f>
        <v/>
      </c>
      <c r="AB6" s="9" t="str">
        <f>IF('[1]2_개행동'!AB22="","",'[1]2_개행동'!AB22)</f>
        <v/>
      </c>
      <c r="AC6" s="9" t="str">
        <f>IF('[1]2_개행동'!AC22="","",'[1]2_개행동'!AC22)</f>
        <v/>
      </c>
    </row>
    <row r="7" spans="1:29" ht="80.099999999999994" customHeight="1">
      <c r="A7" s="5" t="s">
        <v>84</v>
      </c>
      <c r="B7" s="6" t="str">
        <f>IF('[1]2_개행동'!B23="","",'[1]2_개행동'!B23)</f>
        <v>[무시] 몸 상태 ※접촉 종료 뒤 20초. 개8과 같은 눈금. 실험 이력·무시 지시의 영향이 함께 포함됨.</v>
      </c>
      <c r="C7" s="6" t="str">
        <f>IF('[1]2_개행동'!C23="","",'[1]2_개행동'!C23)</f>
        <v>관찰 가능 시간의 절반 초과 동안 움직임이 멎고 몸이 뻣뻣함</v>
      </c>
      <c r="D7" s="6" t="str">
        <f>IF('[1]2_개행동'!D23="","",'[1]2_개행동'!D23)</f>
        <v>절반 초과 동안 낮춘 자세·조심스러운 움직임, 지속 굳음은 없음</v>
      </c>
      <c r="E7" s="6" t="str">
        <f>IF('[1]2_개행동'!E23="","",'[1]2_개행동'!E23)</f>
        <v>어느 극단도 절반을 넘지 않음; 주로 자연스러운 자세·이동. 반대 반응 혼재는 메모</v>
      </c>
      <c r="F7" s="6" t="str">
        <f>IF('[1]2_개행동'!F23="","",'[1]2_개행동'!F23)</f>
        <v>절반 초과 동안 같은 경로를 반복 이동하거나 자세를 자주 바꿈; 지속 뛰기 수준은 아님</v>
      </c>
      <c r="G7" s="6" t="str">
        <f>IF('[1]2_개행동'!G23="","",'[1]2_개행동'!G23)</f>
        <v>절반 초과 동안 뛰기·몸 부딪치기·급한 반복 이동이 이어짐</v>
      </c>
      <c r="H7" s="6" t="str">
        <f>IF('[1]2_개행동'!H23="","",'[1]2_개행동'!H23)</f>
        <v>애착·관계 관찰</v>
      </c>
      <c r="I7" s="6" t="str">
        <f>IF('[1]2_개행동'!I23="","",'[1]2_개행동'!I23)</f>
        <v>양쪽·몸상태</v>
      </c>
      <c r="J7" s="9" t="str">
        <f>IF('[1]2_개행동'!J23="","",'[1]2_개행동'!J23)</f>
        <v/>
      </c>
      <c r="K7" s="9" t="str">
        <f>IF('[1]2_개행동'!K23="","",'[1]2_개행동'!K23)</f>
        <v/>
      </c>
      <c r="L7" s="9" t="str">
        <f>IF('[1]2_개행동'!L23="","",'[1]2_개행동'!L23)</f>
        <v/>
      </c>
      <c r="M7" s="9" t="str">
        <f>IF('[1]2_개행동'!M23="","",'[1]2_개행동'!M23)</f>
        <v/>
      </c>
      <c r="N7" s="9" t="str">
        <f>IF('[1]2_개행동'!N23="","",'[1]2_개행동'!N23)</f>
        <v/>
      </c>
      <c r="O7" s="9" t="str">
        <f>IF('[1]2_개행동'!O23="","",'[1]2_개행동'!O23)</f>
        <v/>
      </c>
      <c r="P7" s="9" t="str">
        <f>IF('[1]2_개행동'!P23="","",'[1]2_개행동'!P23)</f>
        <v/>
      </c>
      <c r="Q7" s="9" t="str">
        <f>IF('[1]2_개행동'!Q23="","",'[1]2_개행동'!Q23)</f>
        <v/>
      </c>
      <c r="R7" s="9" t="str">
        <f>IF('[1]2_개행동'!R23="","",'[1]2_개행동'!R23)</f>
        <v/>
      </c>
      <c r="S7" s="9" t="str">
        <f>IF('[1]2_개행동'!S23="","",'[1]2_개행동'!S23)</f>
        <v/>
      </c>
      <c r="T7" s="9" t="str">
        <f>IF('[1]2_개행동'!T23="","",'[1]2_개행동'!T23)</f>
        <v/>
      </c>
      <c r="U7" s="9" t="str">
        <f>IF('[1]2_개행동'!U23="","",'[1]2_개행동'!U23)</f>
        <v/>
      </c>
      <c r="V7" s="9" t="str">
        <f>IF('[1]2_개행동'!V23="","",'[1]2_개행동'!V23)</f>
        <v/>
      </c>
      <c r="W7" s="9" t="str">
        <f>IF('[1]2_개행동'!W23="","",'[1]2_개행동'!W23)</f>
        <v/>
      </c>
      <c r="X7" s="9" t="str">
        <f>IF('[1]2_개행동'!X23="","",'[1]2_개행동'!X23)</f>
        <v/>
      </c>
      <c r="Y7" s="9" t="str">
        <f>IF('[1]2_개행동'!Y23="","",'[1]2_개행동'!Y23)</f>
        <v/>
      </c>
      <c r="Z7" s="9" t="str">
        <f>IF('[1]2_개행동'!Z23="","",'[1]2_개행동'!Z23)</f>
        <v/>
      </c>
      <c r="AA7" s="9" t="str">
        <f>IF('[1]2_개행동'!AA23="","",'[1]2_개행동'!AA23)</f>
        <v/>
      </c>
      <c r="AB7" s="9" t="str">
        <f>IF('[1]2_개행동'!AB23="","",'[1]2_개행동'!AB23)</f>
        <v/>
      </c>
      <c r="AC7" s="9" t="str">
        <f>IF('[1]2_개행동'!AC23="","",'[1]2_개행동'!AC23)</f>
        <v/>
      </c>
    </row>
    <row r="8" spans="1:29" ht="63.95" customHeight="1">
      <c r="A8" s="5" t="s">
        <v>85</v>
      </c>
      <c r="B8" s="6" t="str">
        <f>IF('[1]2_개행동'!B48="","",'[1]2_개행동'!B48)</f>
        <v>[무시] 발성량 ※0~3 시간 비중 · 접촉 종료 뒤 20초. 못 들으면 빈칸; 0은 들었으나 없음. 종류·시각·관찰 초는 메모. 꼬리로 소리 의미를 정하지 않음.</v>
      </c>
      <c r="C8" s="6" t="str">
        <f>IF('[1]2_개행동'!C48="","",'[1]2_개행동'!C48)</f>
        <v>0 — 발성 없음</v>
      </c>
      <c r="D8" s="6" t="str">
        <f>IF('[1]2_개행동'!D48="","",'[1]2_개행동'!D48)</f>
        <v>1 — 발성 누적 비중 0 초과~1/3 이하</v>
      </c>
      <c r="E8" s="6" t="str">
        <f>IF('[1]2_개행동'!E48="","",'[1]2_개행동'!E48)</f>
        <v>2 — 1/3 초과~2/3 이하</v>
      </c>
      <c r="F8" s="6" t="str">
        <f>IF('[1]2_개행동'!F48="","",'[1]2_개행동'!F48)</f>
        <v>3 — 2/3 초과</v>
      </c>
      <c r="G8" s="6" t="str">
        <f>IF('[1]2_개행동'!G48="","",'[1]2_개행동'!G48)</f>
        <v/>
      </c>
      <c r="H8" s="6" t="str">
        <f>IF('[1]2_개행동'!H48="","",'[1]2_개행동'!H48)</f>
        <v>별도 관찰 · 발성</v>
      </c>
      <c r="I8" s="6" t="str">
        <f>IF('[1]2_개행동'!I48="","",'[1]2_개행동'!I48)</f>
        <v>한쪽·발성량</v>
      </c>
      <c r="J8" s="9" t="str">
        <f>IF('[1]2_개행동'!J48="","",'[1]2_개행동'!J48)</f>
        <v/>
      </c>
      <c r="K8" s="9" t="str">
        <f>IF('[1]2_개행동'!K48="","",'[1]2_개행동'!K48)</f>
        <v/>
      </c>
      <c r="L8" s="9" t="str">
        <f>IF('[1]2_개행동'!L48="","",'[1]2_개행동'!L48)</f>
        <v/>
      </c>
      <c r="M8" s="9" t="str">
        <f>IF('[1]2_개행동'!M48="","",'[1]2_개행동'!M48)</f>
        <v/>
      </c>
      <c r="N8" s="9" t="str">
        <f>IF('[1]2_개행동'!N48="","",'[1]2_개행동'!N48)</f>
        <v/>
      </c>
      <c r="O8" s="9" t="str">
        <f>IF('[1]2_개행동'!O48="","",'[1]2_개행동'!O48)</f>
        <v/>
      </c>
      <c r="P8" s="9" t="str">
        <f>IF('[1]2_개행동'!P48="","",'[1]2_개행동'!P48)</f>
        <v/>
      </c>
      <c r="Q8" s="9" t="str">
        <f>IF('[1]2_개행동'!Q48="","",'[1]2_개행동'!Q48)</f>
        <v/>
      </c>
      <c r="R8" s="9" t="str">
        <f>IF('[1]2_개행동'!R48="","",'[1]2_개행동'!R48)</f>
        <v/>
      </c>
      <c r="S8" s="9" t="str">
        <f>IF('[1]2_개행동'!S48="","",'[1]2_개행동'!S48)</f>
        <v/>
      </c>
      <c r="T8" s="9" t="str">
        <f>IF('[1]2_개행동'!T48="","",'[1]2_개행동'!T48)</f>
        <v/>
      </c>
      <c r="U8" s="9" t="str">
        <f>IF('[1]2_개행동'!U48="","",'[1]2_개행동'!U48)</f>
        <v/>
      </c>
      <c r="V8" s="9" t="str">
        <f>IF('[1]2_개행동'!V48="","",'[1]2_개행동'!V48)</f>
        <v/>
      </c>
      <c r="W8" s="9" t="str">
        <f>IF('[1]2_개행동'!W48="","",'[1]2_개행동'!W48)</f>
        <v/>
      </c>
      <c r="X8" s="9" t="str">
        <f>IF('[1]2_개행동'!X48="","",'[1]2_개행동'!X48)</f>
        <v/>
      </c>
      <c r="Y8" s="9" t="str">
        <f>IF('[1]2_개행동'!Y48="","",'[1]2_개행동'!Y48)</f>
        <v/>
      </c>
      <c r="Z8" s="9" t="str">
        <f>IF('[1]2_개행동'!Z48="","",'[1]2_개행동'!Z48)</f>
        <v/>
      </c>
      <c r="AA8" s="9" t="str">
        <f>IF('[1]2_개행동'!AA48="","",'[1]2_개행동'!AA48)</f>
        <v/>
      </c>
      <c r="AB8" s="9" t="str">
        <f>IF('[1]2_개행동'!AB48="","",'[1]2_개행동'!AB48)</f>
        <v/>
      </c>
      <c r="AC8" s="9" t="str">
        <f>IF('[1]2_개행동'!AC48="","",'[1]2_개행동'!AC48)</f>
        <v/>
      </c>
    </row>
    <row r="9" spans="1:29" ht="63.95" customHeight="1">
      <c r="A9" s="5" t="s">
        <v>86</v>
      </c>
      <c r="B9" s="6" t="str">
        <f>IF('[1]1_바디시그널'!B39="","",'[1]1_바디시그널'!B39)</f>
        <v>[무시] 꼬리 — 위치 ※형태 관찰. 기준 20초(바38)와 원값을 나란히 봄. 기준도 낯선 장소에서의 상태이며 평소 꼬리가 아님. 가림·단미 등 판독 불가면 빈칸.</v>
      </c>
      <c r="C9" s="6" t="str">
        <f>IF('[1]1_바디시그널'!C39="","",'[1]1_바디시그널'!C39)</f>
        <v>다리 사이로 말아 넣음</v>
      </c>
      <c r="D9" s="6" t="str">
        <f>IF('[1]1_바디시그널'!D39="","",'[1]1_바디시그널'!D39)</f>
        <v>등선보다 아래로 늘어뜨림 — 꼬리끝이 바닥을 가리킴</v>
      </c>
      <c r="E9" s="6" t="str">
        <f>IF('[1]1_바디시그널'!E39="","",'[1]1_바디시그널'!E39)</f>
        <v>등선 높이 — 꼬리끝이 바닥보다 위</v>
      </c>
      <c r="F9" s="6" t="str">
        <f>IF('[1]1_바디시그널'!F39="","",'[1]1_바디시그널'!F39)</f>
        <v>등선보다 높이 올라옴</v>
      </c>
      <c r="G9" s="6" t="str">
        <f>IF('[1]1_바디시그널'!G39="","",'[1]1_바디시그널'!G39)</f>
        <v>등 위로 높이 세우거나 말아 올림</v>
      </c>
      <c r="H9" s="6" t="str">
        <f>IF('[1]1_바디시그널'!H39="","",'[1]1_바디시그널'!H39)</f>
        <v>별도 관찰 · 꼬리 형태</v>
      </c>
      <c r="I9" s="6" t="str">
        <f>IF('[1]1_바디시그널'!I39="","",'[1]1_바디시그널'!I39)</f>
        <v>양쪽·위치</v>
      </c>
      <c r="J9" s="9" t="str">
        <f>IF('[1]1_바디시그널'!J39="","",'[1]1_바디시그널'!J39)</f>
        <v/>
      </c>
      <c r="K9" s="9" t="str">
        <f>IF('[1]1_바디시그널'!K39="","",'[1]1_바디시그널'!K39)</f>
        <v/>
      </c>
      <c r="L9" s="9" t="str">
        <f>IF('[1]1_바디시그널'!L39="","",'[1]1_바디시그널'!L39)</f>
        <v/>
      </c>
      <c r="M9" s="9" t="str">
        <f>IF('[1]1_바디시그널'!M39="","",'[1]1_바디시그널'!M39)</f>
        <v/>
      </c>
      <c r="N9" s="9" t="str">
        <f>IF('[1]1_바디시그널'!N39="","",'[1]1_바디시그널'!N39)</f>
        <v/>
      </c>
      <c r="O9" s="9" t="str">
        <f>IF('[1]1_바디시그널'!O39="","",'[1]1_바디시그널'!O39)</f>
        <v/>
      </c>
      <c r="P9" s="9" t="str">
        <f>IF('[1]1_바디시그널'!P39="","",'[1]1_바디시그널'!P39)</f>
        <v/>
      </c>
      <c r="Q9" s="9" t="str">
        <f>IF('[1]1_바디시그널'!Q39="","",'[1]1_바디시그널'!Q39)</f>
        <v/>
      </c>
      <c r="R9" s="9" t="str">
        <f>IF('[1]1_바디시그널'!R39="","",'[1]1_바디시그널'!R39)</f>
        <v/>
      </c>
      <c r="S9" s="9" t="str">
        <f>IF('[1]1_바디시그널'!S39="","",'[1]1_바디시그널'!S39)</f>
        <v/>
      </c>
      <c r="T9" s="9" t="str">
        <f>IF('[1]1_바디시그널'!T39="","",'[1]1_바디시그널'!T39)</f>
        <v/>
      </c>
      <c r="U9" s="9" t="str">
        <f>IF('[1]1_바디시그널'!U39="","",'[1]1_바디시그널'!U39)</f>
        <v/>
      </c>
      <c r="V9" s="9" t="str">
        <f>IF('[1]1_바디시그널'!V39="","",'[1]1_바디시그널'!V39)</f>
        <v/>
      </c>
      <c r="W9" s="9" t="str">
        <f>IF('[1]1_바디시그널'!W39="","",'[1]1_바디시그널'!W39)</f>
        <v/>
      </c>
      <c r="X9" s="9" t="str">
        <f>IF('[1]1_바디시그널'!X39="","",'[1]1_바디시그널'!X39)</f>
        <v/>
      </c>
      <c r="Y9" s="9" t="str">
        <f>IF('[1]1_바디시그널'!Y39="","",'[1]1_바디시그널'!Y39)</f>
        <v/>
      </c>
      <c r="Z9" s="9" t="str">
        <f>IF('[1]1_바디시그널'!Z39="","",'[1]1_바디시그널'!Z39)</f>
        <v/>
      </c>
      <c r="AA9" s="9" t="str">
        <f>IF('[1]1_바디시그널'!AA39="","",'[1]1_바디시그널'!AA39)</f>
        <v/>
      </c>
      <c r="AB9" s="9" t="str">
        <f>IF('[1]1_바디시그널'!AB39="","",'[1]1_바디시그널'!AB39)</f>
        <v/>
      </c>
      <c r="AC9" s="9" t="str">
        <f>IF('[1]1_바디시그널'!AC39="","",'[1]1_바디시그널'!AC39)</f>
        <v/>
      </c>
    </row>
    <row r="10" spans="1:29" ht="60" customHeight="1">
      <c r="A10" s="5" t="s">
        <v>87</v>
      </c>
      <c r="B10" s="6" t="str">
        <f>IF('[1]1_바디시그널'!B29="","",'[1]1_바디시그널'!B29)</f>
        <v>[무시] 몸 털기 횟수  ※구간 전체 20초 · 참고</v>
      </c>
      <c r="C10" s="18" t="str">
        <f>IF('[1]1_바디시그널'!C29="","",'[1]1_바디시그널'!C29)</f>
        <v>온몸을 좌우로 빠르게 턴 횟수를 셉니다. 머리만 흔든 것은 빼고, 몸이 안 보인 구간이면 빈칸(0 과 다름).</v>
      </c>
      <c r="D10" s="18"/>
      <c r="E10" s="18"/>
      <c r="F10" s="18"/>
      <c r="G10" s="18"/>
      <c r="H10" s="6" t="str">
        <f>IF('[1]1_바디시그널'!H29="","",'[1]1_바디시그널'!H29)</f>
        <v>별도 관찰 · 행동 횟수</v>
      </c>
      <c r="I10" s="6" t="str">
        <f>IF('[1]1_바디시그널'!I29="","",'[1]1_바디시그널'!I29)</f>
        <v>참고</v>
      </c>
      <c r="J10" s="9" t="str">
        <f>IF('[1]1_바디시그널'!J29="","",'[1]1_바디시그널'!J29)</f>
        <v/>
      </c>
      <c r="K10" s="9" t="str">
        <f>IF('[1]1_바디시그널'!K29="","",'[1]1_바디시그널'!K29)</f>
        <v/>
      </c>
      <c r="L10" s="9" t="str">
        <f>IF('[1]1_바디시그널'!L29="","",'[1]1_바디시그널'!L29)</f>
        <v/>
      </c>
      <c r="M10" s="9" t="str">
        <f>IF('[1]1_바디시그널'!M29="","",'[1]1_바디시그널'!M29)</f>
        <v/>
      </c>
      <c r="N10" s="9" t="str">
        <f>IF('[1]1_바디시그널'!N29="","",'[1]1_바디시그널'!N29)</f>
        <v/>
      </c>
      <c r="O10" s="9" t="str">
        <f>IF('[1]1_바디시그널'!O29="","",'[1]1_바디시그널'!O29)</f>
        <v/>
      </c>
      <c r="P10" s="9" t="str">
        <f>IF('[1]1_바디시그널'!P29="","",'[1]1_바디시그널'!P29)</f>
        <v/>
      </c>
      <c r="Q10" s="9" t="str">
        <f>IF('[1]1_바디시그널'!Q29="","",'[1]1_바디시그널'!Q29)</f>
        <v/>
      </c>
      <c r="R10" s="9" t="str">
        <f>IF('[1]1_바디시그널'!R29="","",'[1]1_바디시그널'!R29)</f>
        <v/>
      </c>
      <c r="S10" s="9" t="str">
        <f>IF('[1]1_바디시그널'!S29="","",'[1]1_바디시그널'!S29)</f>
        <v/>
      </c>
      <c r="T10" s="9" t="str">
        <f>IF('[1]1_바디시그널'!T29="","",'[1]1_바디시그널'!T29)</f>
        <v/>
      </c>
      <c r="U10" s="9" t="str">
        <f>IF('[1]1_바디시그널'!U29="","",'[1]1_바디시그널'!U29)</f>
        <v/>
      </c>
      <c r="V10" s="9" t="str">
        <f>IF('[1]1_바디시그널'!V29="","",'[1]1_바디시그널'!V29)</f>
        <v/>
      </c>
      <c r="W10" s="9" t="str">
        <f>IF('[1]1_바디시그널'!W29="","",'[1]1_바디시그널'!W29)</f>
        <v/>
      </c>
      <c r="X10" s="9" t="str">
        <f>IF('[1]1_바디시그널'!X29="","",'[1]1_바디시그널'!X29)</f>
        <v/>
      </c>
      <c r="Y10" s="9" t="str">
        <f>IF('[1]1_바디시그널'!Y29="","",'[1]1_바디시그널'!Y29)</f>
        <v/>
      </c>
      <c r="Z10" s="9" t="str">
        <f>IF('[1]1_바디시그널'!Z29="","",'[1]1_바디시그널'!Z29)</f>
        <v/>
      </c>
      <c r="AA10" s="9" t="str">
        <f>IF('[1]1_바디시그널'!AA29="","",'[1]1_바디시그널'!AA29)</f>
        <v/>
      </c>
      <c r="AB10" s="9" t="str">
        <f>IF('[1]1_바디시그널'!AB29="","",'[1]1_바디시그널'!AB29)</f>
        <v/>
      </c>
      <c r="AC10" s="9" t="str">
        <f>IF('[1]1_바디시그널'!AC29="","",'[1]1_바디시그널'!AC29)</f>
        <v/>
      </c>
    </row>
    <row r="11" spans="1:29" ht="60" customHeight="1">
      <c r="A11" s="5" t="s">
        <v>88</v>
      </c>
      <c r="B11" s="6" t="str">
        <f>IF('[1]1_바디시그널'!B30="","",'[1]1_바디시그널'!B30)</f>
        <v>[무시] 하품 횟수  ※구간 전체 20초 · 참고</v>
      </c>
      <c r="C11" s="18" t="str">
        <f>IF('[1]1_바디시그널'!C30="","",'[1]1_바디시그널'!C30)</f>
        <v>입을 크게 벌렸다 닫은 횟수를 셉니다. 짖음 · 헐떡임과 구분하고, 얼굴이 안 보인 구간이면 빈칸(0 과 다름).</v>
      </c>
      <c r="D11" s="18"/>
      <c r="E11" s="18"/>
      <c r="F11" s="18"/>
      <c r="G11" s="18"/>
      <c r="H11" s="6" t="str">
        <f>IF('[1]1_바디시그널'!H30="","",'[1]1_바디시그널'!H30)</f>
        <v>별도 관찰 · 행동 횟수</v>
      </c>
      <c r="I11" s="6" t="str">
        <f>IF('[1]1_바디시그널'!I30="","",'[1]1_바디시그널'!I30)</f>
        <v>참고</v>
      </c>
      <c r="J11" s="9" t="str">
        <f>IF('[1]1_바디시그널'!J30="","",'[1]1_바디시그널'!J30)</f>
        <v/>
      </c>
      <c r="K11" s="9" t="str">
        <f>IF('[1]1_바디시그널'!K30="","",'[1]1_바디시그널'!K30)</f>
        <v/>
      </c>
      <c r="L11" s="9" t="str">
        <f>IF('[1]1_바디시그널'!L30="","",'[1]1_바디시그널'!L30)</f>
        <v/>
      </c>
      <c r="M11" s="9" t="str">
        <f>IF('[1]1_바디시그널'!M30="","",'[1]1_바디시그널'!M30)</f>
        <v/>
      </c>
      <c r="N11" s="9" t="str">
        <f>IF('[1]1_바디시그널'!N30="","",'[1]1_바디시그널'!N30)</f>
        <v/>
      </c>
      <c r="O11" s="9" t="str">
        <f>IF('[1]1_바디시그널'!O30="","",'[1]1_바디시그널'!O30)</f>
        <v/>
      </c>
      <c r="P11" s="9" t="str">
        <f>IF('[1]1_바디시그널'!P30="","",'[1]1_바디시그널'!P30)</f>
        <v/>
      </c>
      <c r="Q11" s="9" t="str">
        <f>IF('[1]1_바디시그널'!Q30="","",'[1]1_바디시그널'!Q30)</f>
        <v/>
      </c>
      <c r="R11" s="9" t="str">
        <f>IF('[1]1_바디시그널'!R30="","",'[1]1_바디시그널'!R30)</f>
        <v/>
      </c>
      <c r="S11" s="9" t="str">
        <f>IF('[1]1_바디시그널'!S30="","",'[1]1_바디시그널'!S30)</f>
        <v/>
      </c>
      <c r="T11" s="9" t="str">
        <f>IF('[1]1_바디시그널'!T30="","",'[1]1_바디시그널'!T30)</f>
        <v/>
      </c>
      <c r="U11" s="9" t="str">
        <f>IF('[1]1_바디시그널'!U30="","",'[1]1_바디시그널'!U30)</f>
        <v/>
      </c>
      <c r="V11" s="9" t="str">
        <f>IF('[1]1_바디시그널'!V30="","",'[1]1_바디시그널'!V30)</f>
        <v/>
      </c>
      <c r="W11" s="9" t="str">
        <f>IF('[1]1_바디시그널'!W30="","",'[1]1_바디시그널'!W30)</f>
        <v/>
      </c>
      <c r="X11" s="9" t="str">
        <f>IF('[1]1_바디시그널'!X30="","",'[1]1_바디시그널'!X30)</f>
        <v/>
      </c>
      <c r="Y11" s="9" t="str">
        <f>IF('[1]1_바디시그널'!Y30="","",'[1]1_바디시그널'!Y30)</f>
        <v/>
      </c>
      <c r="Z11" s="9" t="str">
        <f>IF('[1]1_바디시그널'!Z30="","",'[1]1_바디시그널'!Z30)</f>
        <v/>
      </c>
      <c r="AA11" s="9" t="str">
        <f>IF('[1]1_바디시그널'!AA30="","",'[1]1_바디시그널'!AA30)</f>
        <v/>
      </c>
      <c r="AB11" s="9" t="str">
        <f>IF('[1]1_바디시그널'!AB30="","",'[1]1_바디시그널'!AB30)</f>
        <v/>
      </c>
      <c r="AC11" s="9" t="str">
        <f>IF('[1]1_바디시그널'!AC30="","",'[1]1_바디시그널'!AC30)</f>
        <v/>
      </c>
    </row>
    <row r="12" spans="1:29" ht="60" customHeight="1">
      <c r="A12" s="5" t="s">
        <v>89</v>
      </c>
      <c r="B12" s="6" t="str">
        <f>IF('[1]1_바디시그널'!B31="","",'[1]1_바디시그널'!B31)</f>
        <v>[무시] 코 핥기 횟수  ※구간 전체 20초 · 참고</v>
      </c>
      <c r="C12" s="18" t="str">
        <f>IF('[1]1_바디시그널'!C31="","",'[1]1_바디시그널'!C31)</f>
        <v>혀가 나와 코나 윗입술을 스친 횟수를 셉니다. 1초 이상 떨어져야 따로 세고, 먹이를 먹은 뒤 30초는 세지 않습니다. 얼굴이 안 보이면 빈칸.</v>
      </c>
      <c r="D12" s="18"/>
      <c r="E12" s="18"/>
      <c r="F12" s="18"/>
      <c r="G12" s="18"/>
      <c r="H12" s="6" t="str">
        <f>IF('[1]1_바디시그널'!H31="","",'[1]1_바디시그널'!H31)</f>
        <v>별도 관찰 · 행동 횟수</v>
      </c>
      <c r="I12" s="6" t="str">
        <f>IF('[1]1_바디시그널'!I31="","",'[1]1_바디시그널'!I31)</f>
        <v>참고</v>
      </c>
      <c r="J12" s="9" t="str">
        <f>IF('[1]1_바디시그널'!J31="","",'[1]1_바디시그널'!J31)</f>
        <v/>
      </c>
      <c r="K12" s="9" t="str">
        <f>IF('[1]1_바디시그널'!K31="","",'[1]1_바디시그널'!K31)</f>
        <v/>
      </c>
      <c r="L12" s="9" t="str">
        <f>IF('[1]1_바디시그널'!L31="","",'[1]1_바디시그널'!L31)</f>
        <v/>
      </c>
      <c r="M12" s="9" t="str">
        <f>IF('[1]1_바디시그널'!M31="","",'[1]1_바디시그널'!M31)</f>
        <v/>
      </c>
      <c r="N12" s="9" t="str">
        <f>IF('[1]1_바디시그널'!N31="","",'[1]1_바디시그널'!N31)</f>
        <v/>
      </c>
      <c r="O12" s="9" t="str">
        <f>IF('[1]1_바디시그널'!O31="","",'[1]1_바디시그널'!O31)</f>
        <v/>
      </c>
      <c r="P12" s="9" t="str">
        <f>IF('[1]1_바디시그널'!P31="","",'[1]1_바디시그널'!P31)</f>
        <v/>
      </c>
      <c r="Q12" s="9" t="str">
        <f>IF('[1]1_바디시그널'!Q31="","",'[1]1_바디시그널'!Q31)</f>
        <v/>
      </c>
      <c r="R12" s="9" t="str">
        <f>IF('[1]1_바디시그널'!R31="","",'[1]1_바디시그널'!R31)</f>
        <v/>
      </c>
      <c r="S12" s="9" t="str">
        <f>IF('[1]1_바디시그널'!S31="","",'[1]1_바디시그널'!S31)</f>
        <v/>
      </c>
      <c r="T12" s="9" t="str">
        <f>IF('[1]1_바디시그널'!T31="","",'[1]1_바디시그널'!T31)</f>
        <v/>
      </c>
      <c r="U12" s="9" t="str">
        <f>IF('[1]1_바디시그널'!U31="","",'[1]1_바디시그널'!U31)</f>
        <v/>
      </c>
      <c r="V12" s="9" t="str">
        <f>IF('[1]1_바디시그널'!V31="","",'[1]1_바디시그널'!V31)</f>
        <v/>
      </c>
      <c r="W12" s="9" t="str">
        <f>IF('[1]1_바디시그널'!W31="","",'[1]1_바디시그널'!W31)</f>
        <v/>
      </c>
      <c r="X12" s="9" t="str">
        <f>IF('[1]1_바디시그널'!X31="","",'[1]1_바디시그널'!X31)</f>
        <v/>
      </c>
      <c r="Y12" s="9" t="str">
        <f>IF('[1]1_바디시그널'!Y31="","",'[1]1_바디시그널'!Y31)</f>
        <v/>
      </c>
      <c r="Z12" s="9" t="str">
        <f>IF('[1]1_바디시그널'!Z31="","",'[1]1_바디시그널'!Z31)</f>
        <v/>
      </c>
      <c r="AA12" s="9" t="str">
        <f>IF('[1]1_바디시그널'!AA31="","",'[1]1_바디시그널'!AA31)</f>
        <v/>
      </c>
      <c r="AB12" s="9" t="str">
        <f>IF('[1]1_바디시그널'!AB31="","",'[1]1_바디시그널'!AB31)</f>
        <v/>
      </c>
      <c r="AC12" s="9" t="str">
        <f>IF('[1]1_바디시그널'!AC31="","",'[1]1_바디시그널'!AC31)</f>
        <v/>
      </c>
    </row>
  </sheetData>
  <sheetProtection sheet="1" objects="1" scenarios="1" formatColumns="0" formatRows="0"/>
  <mergeCells count="6">
    <mergeCell ref="C12:G12"/>
    <mergeCell ref="A1:I1"/>
    <mergeCell ref="A2:I2"/>
    <mergeCell ref="A3:I3"/>
    <mergeCell ref="C10:G10"/>
    <mergeCell ref="C11:G1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7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90</v>
      </c>
      <c r="B5" s="6" t="str">
        <f>IF('[1]3_보호자행동'!B13="","",'[1]3_보호자행동'!B13)</f>
        <v>[걷기] 시행 유효성  ※참고 · 조건 준수 확인 · 이 칸만 1~3 입니다</v>
      </c>
      <c r="C5" s="6" t="str">
        <f>IF('[1]3_보호자행동'!C13="","",'[1]3_보호자행동'!C13)</f>
        <v>걷기 구간(약 30초) 동안 말·손짓 없음 — 유효</v>
      </c>
      <c r="D5" s="6" t="str">
        <f>IF('[1]3_보호자행동'!D13="","",'[1]3_보호자행동'!D13)</f>
        <v>한 번 부르거나 손짓함 — 유효(주의)</v>
      </c>
      <c r="E5" s="6" t="str">
        <f>IF('[1]3_보호자행동'!E13="","",'[1]3_보호자행동'!E13)</f>
        <v>두 번 이상 — 이 시행의 걷기 항목과 동조율 무효</v>
      </c>
      <c r="F5" s="6" t="str">
        <f>IF('[1]3_보호자행동'!F13="","",'[1]3_보호자행동'!F13)</f>
        <v/>
      </c>
      <c r="G5" s="6" t="str">
        <f>IF('[1]3_보호자행동'!G13="","",'[1]3_보호자행동'!G13)</f>
        <v/>
      </c>
      <c r="H5" s="6" t="str">
        <f>IF('[1]3_보호자행동'!H13="","",'[1]3_보호자행동'!H13)</f>
        <v>— 참고 (영역 집계 제외)</v>
      </c>
      <c r="I5" s="6" t="str">
        <f>IF('[1]3_보호자행동'!I13="","",'[1]3_보호자행동'!I13)</f>
        <v>참고</v>
      </c>
      <c r="J5" s="9" t="str">
        <f>IF('[1]3_보호자행동'!J13="","",'[1]3_보호자행동'!J13)</f>
        <v/>
      </c>
      <c r="K5" s="9" t="str">
        <f>IF('[1]3_보호자행동'!K13="","",'[1]3_보호자행동'!K13)</f>
        <v/>
      </c>
      <c r="L5" s="9" t="str">
        <f>IF('[1]3_보호자행동'!L13="","",'[1]3_보호자행동'!L13)</f>
        <v/>
      </c>
      <c r="M5" s="9" t="str">
        <f>IF('[1]3_보호자행동'!M13="","",'[1]3_보호자행동'!M13)</f>
        <v/>
      </c>
      <c r="N5" s="9" t="str">
        <f>IF('[1]3_보호자행동'!N13="","",'[1]3_보호자행동'!N13)</f>
        <v/>
      </c>
      <c r="O5" s="9" t="str">
        <f>IF('[1]3_보호자행동'!O13="","",'[1]3_보호자행동'!O13)</f>
        <v/>
      </c>
      <c r="P5" s="9" t="str">
        <f>IF('[1]3_보호자행동'!P13="","",'[1]3_보호자행동'!P13)</f>
        <v/>
      </c>
      <c r="Q5" s="9" t="str">
        <f>IF('[1]3_보호자행동'!Q13="","",'[1]3_보호자행동'!Q13)</f>
        <v/>
      </c>
      <c r="R5" s="9" t="str">
        <f>IF('[1]3_보호자행동'!R13="","",'[1]3_보호자행동'!R13)</f>
        <v/>
      </c>
      <c r="S5" s="9" t="str">
        <f>IF('[1]3_보호자행동'!S13="","",'[1]3_보호자행동'!S13)</f>
        <v/>
      </c>
      <c r="T5" s="9" t="str">
        <f>IF('[1]3_보호자행동'!T13="","",'[1]3_보호자행동'!T13)</f>
        <v/>
      </c>
      <c r="U5" s="9" t="str">
        <f>IF('[1]3_보호자행동'!U13="","",'[1]3_보호자행동'!U13)</f>
        <v/>
      </c>
      <c r="V5" s="9" t="str">
        <f>IF('[1]3_보호자행동'!V13="","",'[1]3_보호자행동'!V13)</f>
        <v/>
      </c>
      <c r="W5" s="9" t="str">
        <f>IF('[1]3_보호자행동'!W13="","",'[1]3_보호자행동'!W13)</f>
        <v/>
      </c>
      <c r="X5" s="9" t="str">
        <f>IF('[1]3_보호자행동'!X13="","",'[1]3_보호자행동'!X13)</f>
        <v/>
      </c>
      <c r="Y5" s="9" t="str">
        <f>IF('[1]3_보호자행동'!Y13="","",'[1]3_보호자행동'!Y13)</f>
        <v/>
      </c>
      <c r="Z5" s="9" t="str">
        <f>IF('[1]3_보호자행동'!Z13="","",'[1]3_보호자행동'!Z13)</f>
        <v/>
      </c>
      <c r="AA5" s="9" t="str">
        <f>IF('[1]3_보호자행동'!AA13="","",'[1]3_보호자행동'!AA13)</f>
        <v/>
      </c>
      <c r="AB5" s="9" t="str">
        <f>IF('[1]3_보호자행동'!AB13="","",'[1]3_보호자행동'!AB13)</f>
        <v/>
      </c>
      <c r="AC5" s="9" t="str">
        <f>IF('[1]3_보호자행동'!AC13="","",'[1]3_보호자행동'!AC13)</f>
        <v/>
      </c>
    </row>
    <row r="6" spans="1:29" ht="60" customHeight="1">
      <c r="A6" s="5" t="s">
        <v>92</v>
      </c>
      <c r="B6" s="6" t="str">
        <f>IF('[1]2_개행동'!B37="","",'[1]2_개행동'!B37)</f>
        <v>[걷기] 0 시작 — 첫 걸음 직전  ※거리 등급 0~3</v>
      </c>
      <c r="C6" s="18" t="str">
        <f>IF('[1]2_개행동'!C37="","",'[1]2_개행동'!C37)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6" s="18"/>
      <c r="E6" s="18"/>
      <c r="F6" s="18"/>
      <c r="G6" s="18"/>
      <c r="H6" s="6" t="str">
        <f>IF('[1]2_개행동'!H37="","",'[1]2_개행동'!H37)</f>
        <v>— 참고 (영역 집계 제외)</v>
      </c>
      <c r="I6" s="6" t="str">
        <f>IF('[1]2_개행동'!I37="","",'[1]2_개행동'!I37)</f>
        <v>참고</v>
      </c>
      <c r="J6" s="9" t="str">
        <f>IF('[1]2_개행동'!J37="","",'[1]2_개행동'!J37)</f>
        <v/>
      </c>
      <c r="K6" s="9" t="str">
        <f>IF('[1]2_개행동'!K37="","",'[1]2_개행동'!K37)</f>
        <v/>
      </c>
      <c r="L6" s="9" t="str">
        <f>IF('[1]2_개행동'!L37="","",'[1]2_개행동'!L37)</f>
        <v/>
      </c>
      <c r="M6" s="9" t="str">
        <f>IF('[1]2_개행동'!M37="","",'[1]2_개행동'!M37)</f>
        <v/>
      </c>
      <c r="N6" s="9" t="str">
        <f>IF('[1]2_개행동'!N37="","",'[1]2_개행동'!N37)</f>
        <v/>
      </c>
      <c r="O6" s="9" t="str">
        <f>IF('[1]2_개행동'!O37="","",'[1]2_개행동'!O37)</f>
        <v/>
      </c>
      <c r="P6" s="9" t="str">
        <f>IF('[1]2_개행동'!P37="","",'[1]2_개행동'!P37)</f>
        <v/>
      </c>
      <c r="Q6" s="9" t="str">
        <f>IF('[1]2_개행동'!Q37="","",'[1]2_개행동'!Q37)</f>
        <v/>
      </c>
      <c r="R6" s="9" t="str">
        <f>IF('[1]2_개행동'!R37="","",'[1]2_개행동'!R37)</f>
        <v/>
      </c>
      <c r="S6" s="9" t="str">
        <f>IF('[1]2_개행동'!S37="","",'[1]2_개행동'!S37)</f>
        <v/>
      </c>
      <c r="T6" s="9" t="str">
        <f>IF('[1]2_개행동'!T37="","",'[1]2_개행동'!T37)</f>
        <v/>
      </c>
      <c r="U6" s="9" t="str">
        <f>IF('[1]2_개행동'!U37="","",'[1]2_개행동'!U37)</f>
        <v/>
      </c>
      <c r="V6" s="9" t="str">
        <f>IF('[1]2_개행동'!V37="","",'[1]2_개행동'!V37)</f>
        <v/>
      </c>
      <c r="W6" s="9" t="str">
        <f>IF('[1]2_개행동'!W37="","",'[1]2_개행동'!W37)</f>
        <v/>
      </c>
      <c r="X6" s="9" t="str">
        <f>IF('[1]2_개행동'!X37="","",'[1]2_개행동'!X37)</f>
        <v/>
      </c>
      <c r="Y6" s="9" t="str">
        <f>IF('[1]2_개행동'!Y37="","",'[1]2_개행동'!Y37)</f>
        <v/>
      </c>
      <c r="Z6" s="9" t="str">
        <f>IF('[1]2_개행동'!Z37="","",'[1]2_개행동'!Z37)</f>
        <v/>
      </c>
      <c r="AA6" s="9" t="str">
        <f>IF('[1]2_개행동'!AA37="","",'[1]2_개행동'!AA37)</f>
        <v/>
      </c>
      <c r="AB6" s="9" t="str">
        <f>IF('[1]2_개행동'!AB37="","",'[1]2_개행동'!AB37)</f>
        <v/>
      </c>
      <c r="AC6" s="9" t="str">
        <f>IF('[1]2_개행동'!AC37="","",'[1]2_개행동'!AC37)</f>
        <v/>
      </c>
    </row>
    <row r="7" spans="1:29" ht="60" customHeight="1">
      <c r="A7" s="5" t="s">
        <v>93</v>
      </c>
      <c r="B7" s="6" t="str">
        <f>IF('[1]2_개행동'!B38="","",'[1]2_개행동'!B38)</f>
        <v>[걷기] 1 이동 S→A (오른쪽 4걸음)  ※거리 등급 0~3</v>
      </c>
      <c r="C7" s="18" t="str">
        <f>IF('[1]2_개행동'!C38="","",'[1]2_개행동'!C38)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7" s="18"/>
      <c r="E7" s="18"/>
      <c r="F7" s="18"/>
      <c r="G7" s="18"/>
      <c r="H7" s="6" t="str">
        <f>IF('[1]2_개행동'!H38="","",'[1]2_개행동'!H38)</f>
        <v>— 참고 (영역 집계 제외)</v>
      </c>
      <c r="I7" s="6" t="str">
        <f>IF('[1]2_개행동'!I38="","",'[1]2_개행동'!I38)</f>
        <v>참고</v>
      </c>
      <c r="J7" s="9" t="str">
        <f>IF('[1]2_개행동'!J38="","",'[1]2_개행동'!J38)</f>
        <v/>
      </c>
      <c r="K7" s="9" t="str">
        <f>IF('[1]2_개행동'!K38="","",'[1]2_개행동'!K38)</f>
        <v/>
      </c>
      <c r="L7" s="9" t="str">
        <f>IF('[1]2_개행동'!L38="","",'[1]2_개행동'!L38)</f>
        <v/>
      </c>
      <c r="M7" s="9" t="str">
        <f>IF('[1]2_개행동'!M38="","",'[1]2_개행동'!M38)</f>
        <v/>
      </c>
      <c r="N7" s="9" t="str">
        <f>IF('[1]2_개행동'!N38="","",'[1]2_개행동'!N38)</f>
        <v/>
      </c>
      <c r="O7" s="9" t="str">
        <f>IF('[1]2_개행동'!O38="","",'[1]2_개행동'!O38)</f>
        <v/>
      </c>
      <c r="P7" s="9" t="str">
        <f>IF('[1]2_개행동'!P38="","",'[1]2_개행동'!P38)</f>
        <v/>
      </c>
      <c r="Q7" s="9" t="str">
        <f>IF('[1]2_개행동'!Q38="","",'[1]2_개행동'!Q38)</f>
        <v/>
      </c>
      <c r="R7" s="9" t="str">
        <f>IF('[1]2_개행동'!R38="","",'[1]2_개행동'!R38)</f>
        <v/>
      </c>
      <c r="S7" s="9" t="str">
        <f>IF('[1]2_개행동'!S38="","",'[1]2_개행동'!S38)</f>
        <v/>
      </c>
      <c r="T7" s="9" t="str">
        <f>IF('[1]2_개행동'!T38="","",'[1]2_개행동'!T38)</f>
        <v/>
      </c>
      <c r="U7" s="9" t="str">
        <f>IF('[1]2_개행동'!U38="","",'[1]2_개행동'!U38)</f>
        <v/>
      </c>
      <c r="V7" s="9" t="str">
        <f>IF('[1]2_개행동'!V38="","",'[1]2_개행동'!V38)</f>
        <v/>
      </c>
      <c r="W7" s="9" t="str">
        <f>IF('[1]2_개행동'!W38="","",'[1]2_개행동'!W38)</f>
        <v/>
      </c>
      <c r="X7" s="9" t="str">
        <f>IF('[1]2_개행동'!X38="","",'[1]2_개행동'!X38)</f>
        <v/>
      </c>
      <c r="Y7" s="9" t="str">
        <f>IF('[1]2_개행동'!Y38="","",'[1]2_개행동'!Y38)</f>
        <v/>
      </c>
      <c r="Z7" s="9" t="str">
        <f>IF('[1]2_개행동'!Z38="","",'[1]2_개행동'!Z38)</f>
        <v/>
      </c>
      <c r="AA7" s="9" t="str">
        <f>IF('[1]2_개행동'!AA38="","",'[1]2_개행동'!AA38)</f>
        <v/>
      </c>
      <c r="AB7" s="9" t="str">
        <f>IF('[1]2_개행동'!AB38="","",'[1]2_개행동'!AB38)</f>
        <v/>
      </c>
      <c r="AC7" s="9" t="str">
        <f>IF('[1]2_개행동'!AC38="","",'[1]2_개행동'!AC38)</f>
        <v/>
      </c>
    </row>
    <row r="8" spans="1:29" ht="60" customHeight="1">
      <c r="A8" s="5" t="s">
        <v>94</v>
      </c>
      <c r="B8" s="6" t="str">
        <f>IF('[1]2_개행동'!B39="","",'[1]2_개행동'!B39)</f>
        <v>[걷기] 2 정지 A — 다시 걷기 전까지  ※거리 등급 0~3</v>
      </c>
      <c r="C8" s="18" t="str">
        <f>IF('[1]2_개행동'!C39="","",'[1]2_개행동'!C39)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8" s="18"/>
      <c r="E8" s="18"/>
      <c r="F8" s="18"/>
      <c r="G8" s="18"/>
      <c r="H8" s="6" t="str">
        <f>IF('[1]2_개행동'!H39="","",'[1]2_개행동'!H39)</f>
        <v>— 참고 (영역 집계 제외)</v>
      </c>
      <c r="I8" s="6" t="str">
        <f>IF('[1]2_개행동'!I39="","",'[1]2_개행동'!I39)</f>
        <v>참고</v>
      </c>
      <c r="J8" s="9" t="str">
        <f>IF('[1]2_개행동'!J39="","",'[1]2_개행동'!J39)</f>
        <v/>
      </c>
      <c r="K8" s="9" t="str">
        <f>IF('[1]2_개행동'!K39="","",'[1]2_개행동'!K39)</f>
        <v/>
      </c>
      <c r="L8" s="9" t="str">
        <f>IF('[1]2_개행동'!L39="","",'[1]2_개행동'!L39)</f>
        <v/>
      </c>
      <c r="M8" s="9" t="str">
        <f>IF('[1]2_개행동'!M39="","",'[1]2_개행동'!M39)</f>
        <v/>
      </c>
      <c r="N8" s="9" t="str">
        <f>IF('[1]2_개행동'!N39="","",'[1]2_개행동'!N39)</f>
        <v/>
      </c>
      <c r="O8" s="9" t="str">
        <f>IF('[1]2_개행동'!O39="","",'[1]2_개행동'!O39)</f>
        <v/>
      </c>
      <c r="P8" s="9" t="str">
        <f>IF('[1]2_개행동'!P39="","",'[1]2_개행동'!P39)</f>
        <v/>
      </c>
      <c r="Q8" s="9" t="str">
        <f>IF('[1]2_개행동'!Q39="","",'[1]2_개행동'!Q39)</f>
        <v/>
      </c>
      <c r="R8" s="9" t="str">
        <f>IF('[1]2_개행동'!R39="","",'[1]2_개행동'!R39)</f>
        <v/>
      </c>
      <c r="S8" s="9" t="str">
        <f>IF('[1]2_개행동'!S39="","",'[1]2_개행동'!S39)</f>
        <v/>
      </c>
      <c r="T8" s="9" t="str">
        <f>IF('[1]2_개행동'!T39="","",'[1]2_개행동'!T39)</f>
        <v/>
      </c>
      <c r="U8" s="9" t="str">
        <f>IF('[1]2_개행동'!U39="","",'[1]2_개행동'!U39)</f>
        <v/>
      </c>
      <c r="V8" s="9" t="str">
        <f>IF('[1]2_개행동'!V39="","",'[1]2_개행동'!V39)</f>
        <v/>
      </c>
      <c r="W8" s="9" t="str">
        <f>IF('[1]2_개행동'!W39="","",'[1]2_개행동'!W39)</f>
        <v/>
      </c>
      <c r="X8" s="9" t="str">
        <f>IF('[1]2_개행동'!X39="","",'[1]2_개행동'!X39)</f>
        <v/>
      </c>
      <c r="Y8" s="9" t="str">
        <f>IF('[1]2_개행동'!Y39="","",'[1]2_개행동'!Y39)</f>
        <v/>
      </c>
      <c r="Z8" s="9" t="str">
        <f>IF('[1]2_개행동'!Z39="","",'[1]2_개행동'!Z39)</f>
        <v/>
      </c>
      <c r="AA8" s="9" t="str">
        <f>IF('[1]2_개행동'!AA39="","",'[1]2_개행동'!AA39)</f>
        <v/>
      </c>
      <c r="AB8" s="9" t="str">
        <f>IF('[1]2_개행동'!AB39="","",'[1]2_개행동'!AB39)</f>
        <v/>
      </c>
      <c r="AC8" s="9" t="str">
        <f>IF('[1]2_개행동'!AC39="","",'[1]2_개행동'!AC39)</f>
        <v/>
      </c>
    </row>
    <row r="9" spans="1:29" ht="60" customHeight="1">
      <c r="A9" s="5" t="s">
        <v>95</v>
      </c>
      <c r="B9" s="6" t="str">
        <f>IF('[1]2_개행동'!B40="","",'[1]2_개행동'!B40)</f>
        <v>[걷기] 3 이동 A→C (왼쪽 8걸음 · S 지나감)  ※거리 등급 0~3</v>
      </c>
      <c r="C9" s="18" t="str">
        <f>IF('[1]2_개행동'!C40="","",'[1]2_개행동'!C40)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9" s="18"/>
      <c r="E9" s="18"/>
      <c r="F9" s="18"/>
      <c r="G9" s="18"/>
      <c r="H9" s="6" t="str">
        <f>IF('[1]2_개행동'!H40="","",'[1]2_개행동'!H40)</f>
        <v>— 참고 (영역 집계 제외)</v>
      </c>
      <c r="I9" s="6" t="str">
        <f>IF('[1]2_개행동'!I40="","",'[1]2_개행동'!I40)</f>
        <v>참고</v>
      </c>
      <c r="J9" s="9" t="str">
        <f>IF('[1]2_개행동'!J40="","",'[1]2_개행동'!J40)</f>
        <v/>
      </c>
      <c r="K9" s="9" t="str">
        <f>IF('[1]2_개행동'!K40="","",'[1]2_개행동'!K40)</f>
        <v/>
      </c>
      <c r="L9" s="9" t="str">
        <f>IF('[1]2_개행동'!L40="","",'[1]2_개행동'!L40)</f>
        <v/>
      </c>
      <c r="M9" s="9" t="str">
        <f>IF('[1]2_개행동'!M40="","",'[1]2_개행동'!M40)</f>
        <v/>
      </c>
      <c r="N9" s="9" t="str">
        <f>IF('[1]2_개행동'!N40="","",'[1]2_개행동'!N40)</f>
        <v/>
      </c>
      <c r="O9" s="9" t="str">
        <f>IF('[1]2_개행동'!O40="","",'[1]2_개행동'!O40)</f>
        <v/>
      </c>
      <c r="P9" s="9" t="str">
        <f>IF('[1]2_개행동'!P40="","",'[1]2_개행동'!P40)</f>
        <v/>
      </c>
      <c r="Q9" s="9" t="str">
        <f>IF('[1]2_개행동'!Q40="","",'[1]2_개행동'!Q40)</f>
        <v/>
      </c>
      <c r="R9" s="9" t="str">
        <f>IF('[1]2_개행동'!R40="","",'[1]2_개행동'!R40)</f>
        <v/>
      </c>
      <c r="S9" s="9" t="str">
        <f>IF('[1]2_개행동'!S40="","",'[1]2_개행동'!S40)</f>
        <v/>
      </c>
      <c r="T9" s="9" t="str">
        <f>IF('[1]2_개행동'!T40="","",'[1]2_개행동'!T40)</f>
        <v/>
      </c>
      <c r="U9" s="9" t="str">
        <f>IF('[1]2_개행동'!U40="","",'[1]2_개행동'!U40)</f>
        <v/>
      </c>
      <c r="V9" s="9" t="str">
        <f>IF('[1]2_개행동'!V40="","",'[1]2_개행동'!V40)</f>
        <v/>
      </c>
      <c r="W9" s="9" t="str">
        <f>IF('[1]2_개행동'!W40="","",'[1]2_개행동'!W40)</f>
        <v/>
      </c>
      <c r="X9" s="9" t="str">
        <f>IF('[1]2_개행동'!X40="","",'[1]2_개행동'!X40)</f>
        <v/>
      </c>
      <c r="Y9" s="9" t="str">
        <f>IF('[1]2_개행동'!Y40="","",'[1]2_개행동'!Y40)</f>
        <v/>
      </c>
      <c r="Z9" s="9" t="str">
        <f>IF('[1]2_개행동'!Z40="","",'[1]2_개행동'!Z40)</f>
        <v/>
      </c>
      <c r="AA9" s="9" t="str">
        <f>IF('[1]2_개행동'!AA40="","",'[1]2_개행동'!AA40)</f>
        <v/>
      </c>
      <c r="AB9" s="9" t="str">
        <f>IF('[1]2_개행동'!AB40="","",'[1]2_개행동'!AB40)</f>
        <v/>
      </c>
      <c r="AC9" s="9" t="str">
        <f>IF('[1]2_개행동'!AC40="","",'[1]2_개행동'!AC40)</f>
        <v/>
      </c>
    </row>
    <row r="10" spans="1:29" ht="60" customHeight="1">
      <c r="A10" s="5" t="s">
        <v>96</v>
      </c>
      <c r="B10" s="6" t="str">
        <f>IF('[1]2_개행동'!B41="","",'[1]2_개행동'!B41)</f>
        <v>[걷기] 4 정지 C — 다시 걷기 전까지  ※거리 등급 0~3</v>
      </c>
      <c r="C10" s="18" t="str">
        <f>IF('[1]2_개행동'!C41="","",'[1]2_개행동'!C41)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0" s="18"/>
      <c r="E10" s="18"/>
      <c r="F10" s="18"/>
      <c r="G10" s="18"/>
      <c r="H10" s="6" t="str">
        <f>IF('[1]2_개행동'!H41="","",'[1]2_개행동'!H41)</f>
        <v>— 참고 (영역 집계 제외)</v>
      </c>
      <c r="I10" s="6" t="str">
        <f>IF('[1]2_개행동'!I41="","",'[1]2_개행동'!I41)</f>
        <v>참고</v>
      </c>
      <c r="J10" s="9" t="str">
        <f>IF('[1]2_개행동'!J41="","",'[1]2_개행동'!J41)</f>
        <v/>
      </c>
      <c r="K10" s="9" t="str">
        <f>IF('[1]2_개행동'!K41="","",'[1]2_개행동'!K41)</f>
        <v/>
      </c>
      <c r="L10" s="9" t="str">
        <f>IF('[1]2_개행동'!L41="","",'[1]2_개행동'!L41)</f>
        <v/>
      </c>
      <c r="M10" s="9" t="str">
        <f>IF('[1]2_개행동'!M41="","",'[1]2_개행동'!M41)</f>
        <v/>
      </c>
      <c r="N10" s="9" t="str">
        <f>IF('[1]2_개행동'!N41="","",'[1]2_개행동'!N41)</f>
        <v/>
      </c>
      <c r="O10" s="9" t="str">
        <f>IF('[1]2_개행동'!O41="","",'[1]2_개행동'!O41)</f>
        <v/>
      </c>
      <c r="P10" s="9" t="str">
        <f>IF('[1]2_개행동'!P41="","",'[1]2_개행동'!P41)</f>
        <v/>
      </c>
      <c r="Q10" s="9" t="str">
        <f>IF('[1]2_개행동'!Q41="","",'[1]2_개행동'!Q41)</f>
        <v/>
      </c>
      <c r="R10" s="9" t="str">
        <f>IF('[1]2_개행동'!R41="","",'[1]2_개행동'!R41)</f>
        <v/>
      </c>
      <c r="S10" s="9" t="str">
        <f>IF('[1]2_개행동'!S41="","",'[1]2_개행동'!S41)</f>
        <v/>
      </c>
      <c r="T10" s="9" t="str">
        <f>IF('[1]2_개행동'!T41="","",'[1]2_개행동'!T41)</f>
        <v/>
      </c>
      <c r="U10" s="9" t="str">
        <f>IF('[1]2_개행동'!U41="","",'[1]2_개행동'!U41)</f>
        <v/>
      </c>
      <c r="V10" s="9" t="str">
        <f>IF('[1]2_개행동'!V41="","",'[1]2_개행동'!V41)</f>
        <v/>
      </c>
      <c r="W10" s="9" t="str">
        <f>IF('[1]2_개행동'!W41="","",'[1]2_개행동'!W41)</f>
        <v/>
      </c>
      <c r="X10" s="9" t="str">
        <f>IF('[1]2_개행동'!X41="","",'[1]2_개행동'!X41)</f>
        <v/>
      </c>
      <c r="Y10" s="9" t="str">
        <f>IF('[1]2_개행동'!Y41="","",'[1]2_개행동'!Y41)</f>
        <v/>
      </c>
      <c r="Z10" s="9" t="str">
        <f>IF('[1]2_개행동'!Z41="","",'[1]2_개행동'!Z41)</f>
        <v/>
      </c>
      <c r="AA10" s="9" t="str">
        <f>IF('[1]2_개행동'!AA41="","",'[1]2_개행동'!AA41)</f>
        <v/>
      </c>
      <c r="AB10" s="9" t="str">
        <f>IF('[1]2_개행동'!AB41="","",'[1]2_개행동'!AB41)</f>
        <v/>
      </c>
      <c r="AC10" s="9" t="str">
        <f>IF('[1]2_개행동'!AC41="","",'[1]2_개행동'!AC41)</f>
        <v/>
      </c>
    </row>
    <row r="11" spans="1:29" ht="60" customHeight="1">
      <c r="A11" s="5" t="s">
        <v>97</v>
      </c>
      <c r="B11" s="6" t="str">
        <f>IF('[1]2_개행동'!B42="","",'[1]2_개행동'!B42)</f>
        <v>[걷기] 5 이동 C→S (4걸음)  ※거리 등급 0~3</v>
      </c>
      <c r="C11" s="18" t="str">
        <f>IF('[1]2_개행동'!C42="","",'[1]2_개행동'!C42)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1" s="18"/>
      <c r="E11" s="18"/>
      <c r="F11" s="18"/>
      <c r="G11" s="18"/>
      <c r="H11" s="6" t="str">
        <f>IF('[1]2_개행동'!H42="","",'[1]2_개행동'!H42)</f>
        <v>— 참고 (영역 집계 제외)</v>
      </c>
      <c r="I11" s="6" t="str">
        <f>IF('[1]2_개행동'!I42="","",'[1]2_개행동'!I42)</f>
        <v>참고</v>
      </c>
      <c r="J11" s="9" t="str">
        <f>IF('[1]2_개행동'!J42="","",'[1]2_개행동'!J42)</f>
        <v/>
      </c>
      <c r="K11" s="9" t="str">
        <f>IF('[1]2_개행동'!K42="","",'[1]2_개행동'!K42)</f>
        <v/>
      </c>
      <c r="L11" s="9" t="str">
        <f>IF('[1]2_개행동'!L42="","",'[1]2_개행동'!L42)</f>
        <v/>
      </c>
      <c r="M11" s="9" t="str">
        <f>IF('[1]2_개행동'!M42="","",'[1]2_개행동'!M42)</f>
        <v/>
      </c>
      <c r="N11" s="9" t="str">
        <f>IF('[1]2_개행동'!N42="","",'[1]2_개행동'!N42)</f>
        <v/>
      </c>
      <c r="O11" s="9" t="str">
        <f>IF('[1]2_개행동'!O42="","",'[1]2_개행동'!O42)</f>
        <v/>
      </c>
      <c r="P11" s="9" t="str">
        <f>IF('[1]2_개행동'!P42="","",'[1]2_개행동'!P42)</f>
        <v/>
      </c>
      <c r="Q11" s="9" t="str">
        <f>IF('[1]2_개행동'!Q42="","",'[1]2_개행동'!Q42)</f>
        <v/>
      </c>
      <c r="R11" s="9" t="str">
        <f>IF('[1]2_개행동'!R42="","",'[1]2_개행동'!R42)</f>
        <v/>
      </c>
      <c r="S11" s="9" t="str">
        <f>IF('[1]2_개행동'!S42="","",'[1]2_개행동'!S42)</f>
        <v/>
      </c>
      <c r="T11" s="9" t="str">
        <f>IF('[1]2_개행동'!T42="","",'[1]2_개행동'!T42)</f>
        <v/>
      </c>
      <c r="U11" s="9" t="str">
        <f>IF('[1]2_개행동'!U42="","",'[1]2_개행동'!U42)</f>
        <v/>
      </c>
      <c r="V11" s="9" t="str">
        <f>IF('[1]2_개행동'!V42="","",'[1]2_개행동'!V42)</f>
        <v/>
      </c>
      <c r="W11" s="9" t="str">
        <f>IF('[1]2_개행동'!W42="","",'[1]2_개행동'!W42)</f>
        <v/>
      </c>
      <c r="X11" s="9" t="str">
        <f>IF('[1]2_개행동'!X42="","",'[1]2_개행동'!X42)</f>
        <v/>
      </c>
      <c r="Y11" s="9" t="str">
        <f>IF('[1]2_개행동'!Y42="","",'[1]2_개행동'!Y42)</f>
        <v/>
      </c>
      <c r="Z11" s="9" t="str">
        <f>IF('[1]2_개행동'!Z42="","",'[1]2_개행동'!Z42)</f>
        <v/>
      </c>
      <c r="AA11" s="9" t="str">
        <f>IF('[1]2_개행동'!AA42="","",'[1]2_개행동'!AA42)</f>
        <v/>
      </c>
      <c r="AB11" s="9" t="str">
        <f>IF('[1]2_개행동'!AB42="","",'[1]2_개행동'!AB42)</f>
        <v/>
      </c>
      <c r="AC11" s="9" t="str">
        <f>IF('[1]2_개행동'!AC42="","",'[1]2_개행동'!AC42)</f>
        <v/>
      </c>
    </row>
    <row r="12" spans="1:29" ht="60" customHeight="1">
      <c r="A12" s="5" t="s">
        <v>98</v>
      </c>
      <c r="B12" s="6" t="str">
        <f>IF('[1]2_개행동'!B43="","",'[1]2_개행동'!B43)</f>
        <v>[걷기] 6 정지 S — 구간이 끝날 때까지  ※거리 등급 0~3</v>
      </c>
      <c r="C12" s="18" t="str">
        <f>IF('[1]2_개행동'!C43="","",'[1]2_개행동'!C43)</f>
        <v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v>
      </c>
      <c r="D12" s="18"/>
      <c r="E12" s="18"/>
      <c r="F12" s="18"/>
      <c r="G12" s="18"/>
      <c r="H12" s="6" t="str">
        <f>IF('[1]2_개행동'!H43="","",'[1]2_개행동'!H43)</f>
        <v>— 참고 (영역 집계 제외)</v>
      </c>
      <c r="I12" s="6" t="str">
        <f>IF('[1]2_개행동'!I43="","",'[1]2_개행동'!I43)</f>
        <v>참고</v>
      </c>
      <c r="J12" s="9" t="str">
        <f>IF('[1]2_개행동'!J43="","",'[1]2_개행동'!J43)</f>
        <v/>
      </c>
      <c r="K12" s="9" t="str">
        <f>IF('[1]2_개행동'!K43="","",'[1]2_개행동'!K43)</f>
        <v/>
      </c>
      <c r="L12" s="9" t="str">
        <f>IF('[1]2_개행동'!L43="","",'[1]2_개행동'!L43)</f>
        <v/>
      </c>
      <c r="M12" s="9" t="str">
        <f>IF('[1]2_개행동'!M43="","",'[1]2_개행동'!M43)</f>
        <v/>
      </c>
      <c r="N12" s="9" t="str">
        <f>IF('[1]2_개행동'!N43="","",'[1]2_개행동'!N43)</f>
        <v/>
      </c>
      <c r="O12" s="9" t="str">
        <f>IF('[1]2_개행동'!O43="","",'[1]2_개행동'!O43)</f>
        <v/>
      </c>
      <c r="P12" s="9" t="str">
        <f>IF('[1]2_개행동'!P43="","",'[1]2_개행동'!P43)</f>
        <v/>
      </c>
      <c r="Q12" s="9" t="str">
        <f>IF('[1]2_개행동'!Q43="","",'[1]2_개행동'!Q43)</f>
        <v/>
      </c>
      <c r="R12" s="9" t="str">
        <f>IF('[1]2_개행동'!R43="","",'[1]2_개행동'!R43)</f>
        <v/>
      </c>
      <c r="S12" s="9" t="str">
        <f>IF('[1]2_개행동'!S43="","",'[1]2_개행동'!S43)</f>
        <v/>
      </c>
      <c r="T12" s="9" t="str">
        <f>IF('[1]2_개행동'!T43="","",'[1]2_개행동'!T43)</f>
        <v/>
      </c>
      <c r="U12" s="9" t="str">
        <f>IF('[1]2_개행동'!U43="","",'[1]2_개행동'!U43)</f>
        <v/>
      </c>
      <c r="V12" s="9" t="str">
        <f>IF('[1]2_개행동'!V43="","",'[1]2_개행동'!V43)</f>
        <v/>
      </c>
      <c r="W12" s="9" t="str">
        <f>IF('[1]2_개행동'!W43="","",'[1]2_개행동'!W43)</f>
        <v/>
      </c>
      <c r="X12" s="9" t="str">
        <f>IF('[1]2_개행동'!X43="","",'[1]2_개행동'!X43)</f>
        <v/>
      </c>
      <c r="Y12" s="9" t="str">
        <f>IF('[1]2_개행동'!Y43="","",'[1]2_개행동'!Y43)</f>
        <v/>
      </c>
      <c r="Z12" s="9" t="str">
        <f>IF('[1]2_개행동'!Z43="","",'[1]2_개행동'!Z43)</f>
        <v/>
      </c>
      <c r="AA12" s="9" t="str">
        <f>IF('[1]2_개행동'!AA43="","",'[1]2_개행동'!AA43)</f>
        <v/>
      </c>
      <c r="AB12" s="9" t="str">
        <f>IF('[1]2_개행동'!AB43="","",'[1]2_개행동'!AB43)</f>
        <v/>
      </c>
      <c r="AC12" s="9" t="str">
        <f>IF('[1]2_개행동'!AC43="","",'[1]2_개행동'!AC43)</f>
        <v/>
      </c>
    </row>
    <row r="13" spans="1:29" ht="63.95" customHeight="1">
      <c r="A13" s="5" t="s">
        <v>99</v>
      </c>
      <c r="B13" s="6" t="str">
        <f>IF('[1]2_개행동'!B24="","",'[1]2_개행동'!B24)</f>
        <v>[걷기] 주된 거리 ※구간 시간 절반 초과를 차지한 범주. 한 번 멀어진 것만으로 전체 +1로 정하지 않음. 동률이면 시작 범주·혼재 사유 기록.</v>
      </c>
      <c r="C13" s="6" t="str">
        <f>IF('[1]2_개행동'!C24="","",'[1]2_개행동'!C24)</f>
        <v>접촉하며 다리에 매달리거나 몸을 얹은 상태가 주됨</v>
      </c>
      <c r="D13" s="6" t="str">
        <f>IF('[1]2_개행동'!D24="","",'[1]2_개행동'!D24)</f>
        <v>비접촉이나 몸길이 1개 미만으로 붙어 이동</v>
      </c>
      <c r="E13" s="6" t="str">
        <f>IF('[1]2_개행동'!E24="","",'[1]2_개행동'!E24)</f>
        <v>몸길이 1개 이상~2개 이내</v>
      </c>
      <c r="F13" s="6" t="str">
        <f>IF('[1]2_개행동'!F24="","",'[1]2_개행동'!F24)</f>
        <v>몸길이 2개 초과~5개 이내</v>
      </c>
      <c r="G13" s="6" t="str">
        <f>IF('[1]2_개행동'!G24="","",'[1]2_개행동'!G24)</f>
        <v>몸길이 5개 초과</v>
      </c>
      <c r="H13" s="6" t="str">
        <f>IF('[1]2_개행동'!H24="","",'[1]2_개행동'!H24)</f>
        <v>행동 동조</v>
      </c>
      <c r="I13" s="6" t="str">
        <f>IF('[1]2_개행동'!I24="","",'[1]2_개행동'!I24)</f>
        <v>양쪽·거리</v>
      </c>
      <c r="J13" s="9" t="str">
        <f>IF('[1]2_개행동'!J24="","",'[1]2_개행동'!J24)</f>
        <v/>
      </c>
      <c r="K13" s="9" t="str">
        <f>IF('[1]2_개행동'!K24="","",'[1]2_개행동'!K24)</f>
        <v/>
      </c>
      <c r="L13" s="9" t="str">
        <f>IF('[1]2_개행동'!L24="","",'[1]2_개행동'!L24)</f>
        <v/>
      </c>
      <c r="M13" s="9" t="str">
        <f>IF('[1]2_개행동'!M24="","",'[1]2_개행동'!M24)</f>
        <v/>
      </c>
      <c r="N13" s="9" t="str">
        <f>IF('[1]2_개행동'!N24="","",'[1]2_개행동'!N24)</f>
        <v/>
      </c>
      <c r="O13" s="9" t="str">
        <f>IF('[1]2_개행동'!O24="","",'[1]2_개행동'!O24)</f>
        <v/>
      </c>
      <c r="P13" s="9" t="str">
        <f>IF('[1]2_개행동'!P24="","",'[1]2_개행동'!P24)</f>
        <v/>
      </c>
      <c r="Q13" s="9" t="str">
        <f>IF('[1]2_개행동'!Q24="","",'[1]2_개행동'!Q24)</f>
        <v/>
      </c>
      <c r="R13" s="9" t="str">
        <f>IF('[1]2_개행동'!R24="","",'[1]2_개행동'!R24)</f>
        <v/>
      </c>
      <c r="S13" s="9" t="str">
        <f>IF('[1]2_개행동'!S24="","",'[1]2_개행동'!S24)</f>
        <v/>
      </c>
      <c r="T13" s="9" t="str">
        <f>IF('[1]2_개행동'!T24="","",'[1]2_개행동'!T24)</f>
        <v/>
      </c>
      <c r="U13" s="9" t="str">
        <f>IF('[1]2_개행동'!U24="","",'[1]2_개행동'!U24)</f>
        <v/>
      </c>
      <c r="V13" s="9" t="str">
        <f>IF('[1]2_개행동'!V24="","",'[1]2_개행동'!V24)</f>
        <v/>
      </c>
      <c r="W13" s="9" t="str">
        <f>IF('[1]2_개행동'!W24="","",'[1]2_개행동'!W24)</f>
        <v/>
      </c>
      <c r="X13" s="9" t="str">
        <f>IF('[1]2_개행동'!X24="","",'[1]2_개행동'!X24)</f>
        <v/>
      </c>
      <c r="Y13" s="9" t="str">
        <f>IF('[1]2_개행동'!Y24="","",'[1]2_개행동'!Y24)</f>
        <v/>
      </c>
      <c r="Z13" s="9" t="str">
        <f>IF('[1]2_개행동'!Z24="","",'[1]2_개행동'!Z24)</f>
        <v/>
      </c>
      <c r="AA13" s="9" t="str">
        <f>IF('[1]2_개행동'!AA24="","",'[1]2_개행동'!AA24)</f>
        <v/>
      </c>
      <c r="AB13" s="9" t="str">
        <f>IF('[1]2_개행동'!AB24="","",'[1]2_개행동'!AB24)</f>
        <v/>
      </c>
      <c r="AC13" s="9" t="str">
        <f>IF('[1]2_개행동'!AC24="","",'[1]2_개행동'!AC24)</f>
        <v/>
      </c>
    </row>
    <row r="14" spans="1:29" ht="63.95" customHeight="1">
      <c r="A14" s="5" t="s">
        <v>100</v>
      </c>
      <c r="B14" s="6" t="str">
        <f>IF('[1]2_개행동'!B25="","",'[1]2_개행동'!B25)</f>
        <v>[걷기] 보호자 확인 ※시선 관찰만. 개24·근접 비율에 합산하지 않음. 친밀감·의존의 직접 판정으로 사용하지 않음.</v>
      </c>
      <c r="C14" s="6" t="str">
        <f>IF('[1]2_개행동'!C25="","",'[1]2_개행동'!C25)</f>
        <v>계속 올려다봄 · 앞을 보지 않음</v>
      </c>
      <c r="D14" s="6" t="str">
        <f>IF('[1]2_개행동'!D25="","",'[1]2_개행동'!D25)</f>
        <v>자주 올려다보며 걸음</v>
      </c>
      <c r="E14" s="6" t="str">
        <f>IF('[1]2_개행동'!E25="","",'[1]2_개행동'!E25)</f>
        <v>이동 중 여러 번 확인하고 다시 앞을 봄</v>
      </c>
      <c r="F14" s="6" t="str">
        <f>IF('[1]2_개행동'!F25="","",'[1]2_개행동'!F25)</f>
        <v>한두 번 힐끗</v>
      </c>
      <c r="G14" s="6" t="str">
        <f>IF('[1]2_개행동'!G25="","",'[1]2_개행동'!G25)</f>
        <v>한 번도 쳐다보지 않음</v>
      </c>
      <c r="H14" s="6" t="str">
        <f>IF('[1]2_개행동'!H25="","",'[1]2_개행동'!H25)</f>
        <v>행동 동조 — 참고</v>
      </c>
      <c r="I14" s="6" t="str">
        <f>IF('[1]2_개행동'!I25="","",'[1]2_개행동'!I25)</f>
        <v>양쪽·살핌</v>
      </c>
      <c r="J14" s="9" t="str">
        <f>IF('[1]2_개행동'!J25="","",'[1]2_개행동'!J25)</f>
        <v/>
      </c>
      <c r="K14" s="9" t="str">
        <f>IF('[1]2_개행동'!K25="","",'[1]2_개행동'!K25)</f>
        <v/>
      </c>
      <c r="L14" s="9" t="str">
        <f>IF('[1]2_개행동'!L25="","",'[1]2_개행동'!L25)</f>
        <v/>
      </c>
      <c r="M14" s="9" t="str">
        <f>IF('[1]2_개행동'!M25="","",'[1]2_개행동'!M25)</f>
        <v/>
      </c>
      <c r="N14" s="9" t="str">
        <f>IF('[1]2_개행동'!N25="","",'[1]2_개행동'!N25)</f>
        <v/>
      </c>
      <c r="O14" s="9" t="str">
        <f>IF('[1]2_개행동'!O25="","",'[1]2_개행동'!O25)</f>
        <v/>
      </c>
      <c r="P14" s="9" t="str">
        <f>IF('[1]2_개행동'!P25="","",'[1]2_개행동'!P25)</f>
        <v/>
      </c>
      <c r="Q14" s="9" t="str">
        <f>IF('[1]2_개행동'!Q25="","",'[1]2_개행동'!Q25)</f>
        <v/>
      </c>
      <c r="R14" s="9" t="str">
        <f>IF('[1]2_개행동'!R25="","",'[1]2_개행동'!R25)</f>
        <v/>
      </c>
      <c r="S14" s="9" t="str">
        <f>IF('[1]2_개행동'!S25="","",'[1]2_개행동'!S25)</f>
        <v/>
      </c>
      <c r="T14" s="9" t="str">
        <f>IF('[1]2_개행동'!T25="","",'[1]2_개행동'!T25)</f>
        <v/>
      </c>
      <c r="U14" s="9" t="str">
        <f>IF('[1]2_개행동'!U25="","",'[1]2_개행동'!U25)</f>
        <v/>
      </c>
      <c r="V14" s="9" t="str">
        <f>IF('[1]2_개행동'!V25="","",'[1]2_개행동'!V25)</f>
        <v/>
      </c>
      <c r="W14" s="9" t="str">
        <f>IF('[1]2_개행동'!W25="","",'[1]2_개행동'!W25)</f>
        <v/>
      </c>
      <c r="X14" s="9" t="str">
        <f>IF('[1]2_개행동'!X25="","",'[1]2_개행동'!X25)</f>
        <v/>
      </c>
      <c r="Y14" s="9" t="str">
        <f>IF('[1]2_개행동'!Y25="","",'[1]2_개행동'!Y25)</f>
        <v/>
      </c>
      <c r="Z14" s="9" t="str">
        <f>IF('[1]2_개행동'!Z25="","",'[1]2_개행동'!Z25)</f>
        <v/>
      </c>
      <c r="AA14" s="9" t="str">
        <f>IF('[1]2_개행동'!AA25="","",'[1]2_개행동'!AA25)</f>
        <v/>
      </c>
      <c r="AB14" s="9" t="str">
        <f>IF('[1]2_개행동'!AB25="","",'[1]2_개행동'!AB25)</f>
        <v/>
      </c>
      <c r="AC14" s="9" t="str">
        <f>IF('[1]2_개행동'!AC25="","",'[1]2_개행동'!AC25)</f>
        <v/>
      </c>
    </row>
    <row r="15" spans="1:29" ht="63.95" customHeight="1">
      <c r="A15" s="5" t="s">
        <v>101</v>
      </c>
      <c r="B15" s="6" t="str">
        <f>IF('[1]1_바디시그널'!B12="","",'[1]1_바디시그널'!B12)</f>
        <v>[걷기] 꼬리 — 위치 ※형태 관찰. 기준 20초(바38)와 원값을 나란히 봄. 기준도 낯선 장소에서의 상태이며 평소 꼬리가 아님. 가림·단미 등 판독 불가면 빈칸.</v>
      </c>
      <c r="C15" s="6" t="str">
        <f>IF('[1]1_바디시그널'!C12="","",'[1]1_바디시그널'!C12)</f>
        <v>다리 사이로 말아 넣음</v>
      </c>
      <c r="D15" s="6" t="str">
        <f>IF('[1]1_바디시그널'!D12="","",'[1]1_바디시그널'!D12)</f>
        <v>등선보다 아래로 늘어뜨림 — 꼬리끝이 바닥을 가리킴</v>
      </c>
      <c r="E15" s="6" t="str">
        <f>IF('[1]1_바디시그널'!E12="","",'[1]1_바디시그널'!E12)</f>
        <v>등선 높이 — 꼬리끝이 바닥보다 위</v>
      </c>
      <c r="F15" s="6" t="str">
        <f>IF('[1]1_바디시그널'!F12="","",'[1]1_바디시그널'!F12)</f>
        <v>등선보다 높이 올라옴</v>
      </c>
      <c r="G15" s="6" t="str">
        <f>IF('[1]1_바디시그널'!G12="","",'[1]1_바디시그널'!G12)</f>
        <v>등 위로 높이 세우거나 말아 올림</v>
      </c>
      <c r="H15" s="6" t="str">
        <f>IF('[1]1_바디시그널'!H12="","",'[1]1_바디시그널'!H12)</f>
        <v>별도 관찰 · 꼬리 형태</v>
      </c>
      <c r="I15" s="6" t="str">
        <f>IF('[1]1_바디시그널'!I12="","",'[1]1_바디시그널'!I12)</f>
        <v>양쪽·위치</v>
      </c>
      <c r="J15" s="9" t="str">
        <f>IF('[1]1_바디시그널'!J12="","",'[1]1_바디시그널'!J12)</f>
        <v/>
      </c>
      <c r="K15" s="9" t="str">
        <f>IF('[1]1_바디시그널'!K12="","",'[1]1_바디시그널'!K12)</f>
        <v/>
      </c>
      <c r="L15" s="9" t="str">
        <f>IF('[1]1_바디시그널'!L12="","",'[1]1_바디시그널'!L12)</f>
        <v/>
      </c>
      <c r="M15" s="9" t="str">
        <f>IF('[1]1_바디시그널'!M12="","",'[1]1_바디시그널'!M12)</f>
        <v/>
      </c>
      <c r="N15" s="9" t="str">
        <f>IF('[1]1_바디시그널'!N12="","",'[1]1_바디시그널'!N12)</f>
        <v/>
      </c>
      <c r="O15" s="9" t="str">
        <f>IF('[1]1_바디시그널'!O12="","",'[1]1_바디시그널'!O12)</f>
        <v/>
      </c>
      <c r="P15" s="9" t="str">
        <f>IF('[1]1_바디시그널'!P12="","",'[1]1_바디시그널'!P12)</f>
        <v/>
      </c>
      <c r="Q15" s="9" t="str">
        <f>IF('[1]1_바디시그널'!Q12="","",'[1]1_바디시그널'!Q12)</f>
        <v/>
      </c>
      <c r="R15" s="9" t="str">
        <f>IF('[1]1_바디시그널'!R12="","",'[1]1_바디시그널'!R12)</f>
        <v/>
      </c>
      <c r="S15" s="9" t="str">
        <f>IF('[1]1_바디시그널'!S12="","",'[1]1_바디시그널'!S12)</f>
        <v/>
      </c>
      <c r="T15" s="9" t="str">
        <f>IF('[1]1_바디시그널'!T12="","",'[1]1_바디시그널'!T12)</f>
        <v/>
      </c>
      <c r="U15" s="9" t="str">
        <f>IF('[1]1_바디시그널'!U12="","",'[1]1_바디시그널'!U12)</f>
        <v/>
      </c>
      <c r="V15" s="9" t="str">
        <f>IF('[1]1_바디시그널'!V12="","",'[1]1_바디시그널'!V12)</f>
        <v/>
      </c>
      <c r="W15" s="9" t="str">
        <f>IF('[1]1_바디시그널'!W12="","",'[1]1_바디시그널'!W12)</f>
        <v/>
      </c>
      <c r="X15" s="9" t="str">
        <f>IF('[1]1_바디시그널'!X12="","",'[1]1_바디시그널'!X12)</f>
        <v/>
      </c>
      <c r="Y15" s="9" t="str">
        <f>IF('[1]1_바디시그널'!Y12="","",'[1]1_바디시그널'!Y12)</f>
        <v/>
      </c>
      <c r="Z15" s="9" t="str">
        <f>IF('[1]1_바디시그널'!Z12="","",'[1]1_바디시그널'!Z12)</f>
        <v/>
      </c>
      <c r="AA15" s="9" t="str">
        <f>IF('[1]1_바디시그널'!AA12="","",'[1]1_바디시그널'!AA12)</f>
        <v/>
      </c>
      <c r="AB15" s="9" t="str">
        <f>IF('[1]1_바디시그널'!AB12="","",'[1]1_바디시그널'!AB12)</f>
        <v/>
      </c>
      <c r="AC15" s="9" t="str">
        <f>IF('[1]1_바디시그널'!AC12="","",'[1]1_바디시그널'!AC12)</f>
        <v/>
      </c>
    </row>
    <row r="16" spans="1:29" ht="60" customHeight="1">
      <c r="A16" s="5" t="s">
        <v>102</v>
      </c>
      <c r="B16" s="6" t="str">
        <f>IF('[1]1_바디시그널'!B32="","",'[1]1_바디시그널'!B32)</f>
        <v>[걷기] 몸 털기 횟수  ※구간 전체 약 30초 · 참고</v>
      </c>
      <c r="C16" s="18" t="str">
        <f>IF('[1]1_바디시그널'!C32="","",'[1]1_바디시그널'!C32)</f>
        <v>온몸을 좌우로 빠르게 턴 횟수를 셉니다. 머리만 흔든 것은 빼고, 몸이 안 보인 구간이면 빈칸(0 과 다름).</v>
      </c>
      <c r="D16" s="18"/>
      <c r="E16" s="18"/>
      <c r="F16" s="18"/>
      <c r="G16" s="18"/>
      <c r="H16" s="6" t="str">
        <f>IF('[1]1_바디시그널'!H32="","",'[1]1_바디시그널'!H32)</f>
        <v>별도 관찰 · 행동 횟수</v>
      </c>
      <c r="I16" s="6" t="str">
        <f>IF('[1]1_바디시그널'!I32="","",'[1]1_바디시그널'!I32)</f>
        <v>참고</v>
      </c>
      <c r="J16" s="9" t="str">
        <f>IF('[1]1_바디시그널'!J32="","",'[1]1_바디시그널'!J32)</f>
        <v/>
      </c>
      <c r="K16" s="9" t="str">
        <f>IF('[1]1_바디시그널'!K32="","",'[1]1_바디시그널'!K32)</f>
        <v/>
      </c>
      <c r="L16" s="9" t="str">
        <f>IF('[1]1_바디시그널'!L32="","",'[1]1_바디시그널'!L32)</f>
        <v/>
      </c>
      <c r="M16" s="9" t="str">
        <f>IF('[1]1_바디시그널'!M32="","",'[1]1_바디시그널'!M32)</f>
        <v/>
      </c>
      <c r="N16" s="9" t="str">
        <f>IF('[1]1_바디시그널'!N32="","",'[1]1_바디시그널'!N32)</f>
        <v/>
      </c>
      <c r="O16" s="9" t="str">
        <f>IF('[1]1_바디시그널'!O32="","",'[1]1_바디시그널'!O32)</f>
        <v/>
      </c>
      <c r="P16" s="9" t="str">
        <f>IF('[1]1_바디시그널'!P32="","",'[1]1_바디시그널'!P32)</f>
        <v/>
      </c>
      <c r="Q16" s="9" t="str">
        <f>IF('[1]1_바디시그널'!Q32="","",'[1]1_바디시그널'!Q32)</f>
        <v/>
      </c>
      <c r="R16" s="9" t="str">
        <f>IF('[1]1_바디시그널'!R32="","",'[1]1_바디시그널'!R32)</f>
        <v/>
      </c>
      <c r="S16" s="9" t="str">
        <f>IF('[1]1_바디시그널'!S32="","",'[1]1_바디시그널'!S32)</f>
        <v/>
      </c>
      <c r="T16" s="9" t="str">
        <f>IF('[1]1_바디시그널'!T32="","",'[1]1_바디시그널'!T32)</f>
        <v/>
      </c>
      <c r="U16" s="9" t="str">
        <f>IF('[1]1_바디시그널'!U32="","",'[1]1_바디시그널'!U32)</f>
        <v/>
      </c>
      <c r="V16" s="9" t="str">
        <f>IF('[1]1_바디시그널'!V32="","",'[1]1_바디시그널'!V32)</f>
        <v/>
      </c>
      <c r="W16" s="9" t="str">
        <f>IF('[1]1_바디시그널'!W32="","",'[1]1_바디시그널'!W32)</f>
        <v/>
      </c>
      <c r="X16" s="9" t="str">
        <f>IF('[1]1_바디시그널'!X32="","",'[1]1_바디시그널'!X32)</f>
        <v/>
      </c>
      <c r="Y16" s="9" t="str">
        <f>IF('[1]1_바디시그널'!Y32="","",'[1]1_바디시그널'!Y32)</f>
        <v/>
      </c>
      <c r="Z16" s="9" t="str">
        <f>IF('[1]1_바디시그널'!Z32="","",'[1]1_바디시그널'!Z32)</f>
        <v/>
      </c>
      <c r="AA16" s="9" t="str">
        <f>IF('[1]1_바디시그널'!AA32="","",'[1]1_바디시그널'!AA32)</f>
        <v/>
      </c>
      <c r="AB16" s="9" t="str">
        <f>IF('[1]1_바디시그널'!AB32="","",'[1]1_바디시그널'!AB32)</f>
        <v/>
      </c>
      <c r="AC16" s="9" t="str">
        <f>IF('[1]1_바디시그널'!AC32="","",'[1]1_바디시그널'!AC32)</f>
        <v/>
      </c>
    </row>
    <row r="17" spans="1:29" ht="60" customHeight="1">
      <c r="A17" s="5" t="s">
        <v>103</v>
      </c>
      <c r="B17" s="6" t="str">
        <f>IF('[1]1_바디시그널'!B33="","",'[1]1_바디시그널'!B33)</f>
        <v>[걷기] 하품 횟수  ※구간 전체 약 30초 · 참고</v>
      </c>
      <c r="C17" s="18" t="str">
        <f>IF('[1]1_바디시그널'!C33="","",'[1]1_바디시그널'!C33)</f>
        <v>입을 크게 벌렸다 닫은 횟수를 셉니다. 짖음 · 헐떡임과 구분하고, 얼굴이 안 보인 구간이면 빈칸(0 과 다름).</v>
      </c>
      <c r="D17" s="18"/>
      <c r="E17" s="18"/>
      <c r="F17" s="18"/>
      <c r="G17" s="18"/>
      <c r="H17" s="6" t="str">
        <f>IF('[1]1_바디시그널'!H33="","",'[1]1_바디시그널'!H33)</f>
        <v>별도 관찰 · 행동 횟수</v>
      </c>
      <c r="I17" s="6" t="str">
        <f>IF('[1]1_바디시그널'!I33="","",'[1]1_바디시그널'!I33)</f>
        <v>참고</v>
      </c>
      <c r="J17" s="9" t="str">
        <f>IF('[1]1_바디시그널'!J33="","",'[1]1_바디시그널'!J33)</f>
        <v/>
      </c>
      <c r="K17" s="9" t="str">
        <f>IF('[1]1_바디시그널'!K33="","",'[1]1_바디시그널'!K33)</f>
        <v/>
      </c>
      <c r="L17" s="9" t="str">
        <f>IF('[1]1_바디시그널'!L33="","",'[1]1_바디시그널'!L33)</f>
        <v/>
      </c>
      <c r="M17" s="9" t="str">
        <f>IF('[1]1_바디시그널'!M33="","",'[1]1_바디시그널'!M33)</f>
        <v/>
      </c>
      <c r="N17" s="9" t="str">
        <f>IF('[1]1_바디시그널'!N33="","",'[1]1_바디시그널'!N33)</f>
        <v/>
      </c>
      <c r="O17" s="9" t="str">
        <f>IF('[1]1_바디시그널'!O33="","",'[1]1_바디시그널'!O33)</f>
        <v/>
      </c>
      <c r="P17" s="9" t="str">
        <f>IF('[1]1_바디시그널'!P33="","",'[1]1_바디시그널'!P33)</f>
        <v/>
      </c>
      <c r="Q17" s="9" t="str">
        <f>IF('[1]1_바디시그널'!Q33="","",'[1]1_바디시그널'!Q33)</f>
        <v/>
      </c>
      <c r="R17" s="9" t="str">
        <f>IF('[1]1_바디시그널'!R33="","",'[1]1_바디시그널'!R33)</f>
        <v/>
      </c>
      <c r="S17" s="9" t="str">
        <f>IF('[1]1_바디시그널'!S33="","",'[1]1_바디시그널'!S33)</f>
        <v/>
      </c>
      <c r="T17" s="9" t="str">
        <f>IF('[1]1_바디시그널'!T33="","",'[1]1_바디시그널'!T33)</f>
        <v/>
      </c>
      <c r="U17" s="9" t="str">
        <f>IF('[1]1_바디시그널'!U33="","",'[1]1_바디시그널'!U33)</f>
        <v/>
      </c>
      <c r="V17" s="9" t="str">
        <f>IF('[1]1_바디시그널'!V33="","",'[1]1_바디시그널'!V33)</f>
        <v/>
      </c>
      <c r="W17" s="9" t="str">
        <f>IF('[1]1_바디시그널'!W33="","",'[1]1_바디시그널'!W33)</f>
        <v/>
      </c>
      <c r="X17" s="9" t="str">
        <f>IF('[1]1_바디시그널'!X33="","",'[1]1_바디시그널'!X33)</f>
        <v/>
      </c>
      <c r="Y17" s="9" t="str">
        <f>IF('[1]1_바디시그널'!Y33="","",'[1]1_바디시그널'!Y33)</f>
        <v/>
      </c>
      <c r="Z17" s="9" t="str">
        <f>IF('[1]1_바디시그널'!Z33="","",'[1]1_바디시그널'!Z33)</f>
        <v/>
      </c>
      <c r="AA17" s="9" t="str">
        <f>IF('[1]1_바디시그널'!AA33="","",'[1]1_바디시그널'!AA33)</f>
        <v/>
      </c>
      <c r="AB17" s="9" t="str">
        <f>IF('[1]1_바디시그널'!AB33="","",'[1]1_바디시그널'!AB33)</f>
        <v/>
      </c>
      <c r="AC17" s="9" t="str">
        <f>IF('[1]1_바디시그널'!AC33="","",'[1]1_바디시그널'!AC33)</f>
        <v/>
      </c>
    </row>
    <row r="18" spans="1:29" ht="60" customHeight="1">
      <c r="A18" s="5" t="s">
        <v>104</v>
      </c>
      <c r="B18" s="6" t="str">
        <f>IF('[1]1_바디시그널'!B34="","",'[1]1_바디시그널'!B34)</f>
        <v>[걷기] 코 핥기 횟수  ※구간 전체 약 30초 · 참고</v>
      </c>
      <c r="C18" s="18" t="str">
        <f>IF('[1]1_바디시그널'!C34="","",'[1]1_바디시그널'!C34)</f>
        <v>혀가 나와 코나 윗입술을 스친 횟수를 셉니다. 1초 이상 떨어져야 따로 세고, 먹이를 먹은 뒤 30초는 세지 않습니다. 얼굴이 안 보이면 빈칸.</v>
      </c>
      <c r="D18" s="18"/>
      <c r="E18" s="18"/>
      <c r="F18" s="18"/>
      <c r="G18" s="18"/>
      <c r="H18" s="6" t="str">
        <f>IF('[1]1_바디시그널'!H34="","",'[1]1_바디시그널'!H34)</f>
        <v>별도 관찰 · 행동 횟수</v>
      </c>
      <c r="I18" s="6" t="str">
        <f>IF('[1]1_바디시그널'!I34="","",'[1]1_바디시그널'!I34)</f>
        <v>참고</v>
      </c>
      <c r="J18" s="9" t="str">
        <f>IF('[1]1_바디시그널'!J34="","",'[1]1_바디시그널'!J34)</f>
        <v/>
      </c>
      <c r="K18" s="9" t="str">
        <f>IF('[1]1_바디시그널'!K34="","",'[1]1_바디시그널'!K34)</f>
        <v/>
      </c>
      <c r="L18" s="9" t="str">
        <f>IF('[1]1_바디시그널'!L34="","",'[1]1_바디시그널'!L34)</f>
        <v/>
      </c>
      <c r="M18" s="9" t="str">
        <f>IF('[1]1_바디시그널'!M34="","",'[1]1_바디시그널'!M34)</f>
        <v/>
      </c>
      <c r="N18" s="9" t="str">
        <f>IF('[1]1_바디시그널'!N34="","",'[1]1_바디시그널'!N34)</f>
        <v/>
      </c>
      <c r="O18" s="9" t="str">
        <f>IF('[1]1_바디시그널'!O34="","",'[1]1_바디시그널'!O34)</f>
        <v/>
      </c>
      <c r="P18" s="9" t="str">
        <f>IF('[1]1_바디시그널'!P34="","",'[1]1_바디시그널'!P34)</f>
        <v/>
      </c>
      <c r="Q18" s="9" t="str">
        <f>IF('[1]1_바디시그널'!Q34="","",'[1]1_바디시그널'!Q34)</f>
        <v/>
      </c>
      <c r="R18" s="9" t="str">
        <f>IF('[1]1_바디시그널'!R34="","",'[1]1_바디시그널'!R34)</f>
        <v/>
      </c>
      <c r="S18" s="9" t="str">
        <f>IF('[1]1_바디시그널'!S34="","",'[1]1_바디시그널'!S34)</f>
        <v/>
      </c>
      <c r="T18" s="9" t="str">
        <f>IF('[1]1_바디시그널'!T34="","",'[1]1_바디시그널'!T34)</f>
        <v/>
      </c>
      <c r="U18" s="9" t="str">
        <f>IF('[1]1_바디시그널'!U34="","",'[1]1_바디시그널'!U34)</f>
        <v/>
      </c>
      <c r="V18" s="9" t="str">
        <f>IF('[1]1_바디시그널'!V34="","",'[1]1_바디시그널'!V34)</f>
        <v/>
      </c>
      <c r="W18" s="9" t="str">
        <f>IF('[1]1_바디시그널'!W34="","",'[1]1_바디시그널'!W34)</f>
        <v/>
      </c>
      <c r="X18" s="9" t="str">
        <f>IF('[1]1_바디시그널'!X34="","",'[1]1_바디시그널'!X34)</f>
        <v/>
      </c>
      <c r="Y18" s="9" t="str">
        <f>IF('[1]1_바디시그널'!Y34="","",'[1]1_바디시그널'!Y34)</f>
        <v/>
      </c>
      <c r="Z18" s="9" t="str">
        <f>IF('[1]1_바디시그널'!Z34="","",'[1]1_바디시그널'!Z34)</f>
        <v/>
      </c>
      <c r="AA18" s="9" t="str">
        <f>IF('[1]1_바디시그널'!AA34="","",'[1]1_바디시그널'!AA34)</f>
        <v/>
      </c>
      <c r="AB18" s="9" t="str">
        <f>IF('[1]1_바디시그널'!AB34="","",'[1]1_바디시그널'!AB34)</f>
        <v/>
      </c>
      <c r="AC18" s="9" t="str">
        <f>IF('[1]1_바디시그널'!AC34="","",'[1]1_바디시그널'!AC34)</f>
        <v/>
      </c>
    </row>
    <row r="19" spans="1:29" ht="60" customHeight="1">
      <c r="A19" s="5" t="s">
        <v>105</v>
      </c>
      <c r="B19" s="6" t="str">
        <f>IF('[1]2_개행동'!B26="","",'[1]2_개행동'!B26)</f>
        <v>[걷기] 이동 — 곁에 있던 국면 수  ※자동 계산 · 입력하지 마세요</v>
      </c>
      <c r="C19" s="18" t="str">
        <f>SUBSTITUTE(IF('[1]2_개행동'!C26="","",'[1]2_개행동'!C26),"38 · 40 · 42행","개38 · 개40 · 개42")</f>
        <v>이동 3국면(개38 · 개40 · 개42) 가운데 거리 등급이 1 이하였던 국면 수(0~3). 몸길이 2개 안에서 함께 이동한 국면입니다.</v>
      </c>
      <c r="D19" s="18"/>
      <c r="E19" s="18"/>
      <c r="F19" s="18"/>
      <c r="G19" s="18"/>
      <c r="H19" s="6" t="str">
        <f>IF('[1]2_개행동'!H26="","",'[1]2_개행동'!H26)</f>
        <v>— 참고 (영역 집계 제외)</v>
      </c>
      <c r="I19" s="6" t="str">
        <f>IF('[1]2_개행동'!I26="","",'[1]2_개행동'!I26)</f>
        <v>참고</v>
      </c>
      <c r="J19" s="9" t="str">
        <f>IF('[1]2_개행동'!J26="","",'[1]2_개행동'!J26)</f>
        <v/>
      </c>
      <c r="K19" s="9" t="str">
        <f>IF('[1]2_개행동'!K26="","",'[1]2_개행동'!K26)</f>
        <v/>
      </c>
      <c r="L19" s="9" t="str">
        <f>IF('[1]2_개행동'!L26="","",'[1]2_개행동'!L26)</f>
        <v/>
      </c>
      <c r="M19" s="9" t="str">
        <f>IF('[1]2_개행동'!M26="","",'[1]2_개행동'!M26)</f>
        <v/>
      </c>
      <c r="N19" s="9" t="str">
        <f>IF('[1]2_개행동'!N26="","",'[1]2_개행동'!N26)</f>
        <v/>
      </c>
      <c r="O19" s="9" t="str">
        <f>IF('[1]2_개행동'!O26="","",'[1]2_개행동'!O26)</f>
        <v/>
      </c>
      <c r="P19" s="9" t="str">
        <f>IF('[1]2_개행동'!P26="","",'[1]2_개행동'!P26)</f>
        <v/>
      </c>
      <c r="Q19" s="9" t="str">
        <f>IF('[1]2_개행동'!Q26="","",'[1]2_개행동'!Q26)</f>
        <v/>
      </c>
      <c r="R19" s="9" t="str">
        <f>IF('[1]2_개행동'!R26="","",'[1]2_개행동'!R26)</f>
        <v/>
      </c>
      <c r="S19" s="9" t="str">
        <f>IF('[1]2_개행동'!S26="","",'[1]2_개행동'!S26)</f>
        <v/>
      </c>
      <c r="T19" s="9" t="str">
        <f>IF('[1]2_개행동'!T26="","",'[1]2_개행동'!T26)</f>
        <v/>
      </c>
      <c r="U19" s="9" t="str">
        <f>IF('[1]2_개행동'!U26="","",'[1]2_개행동'!U26)</f>
        <v/>
      </c>
      <c r="V19" s="9" t="str">
        <f>IF('[1]2_개행동'!V26="","",'[1]2_개행동'!V26)</f>
        <v/>
      </c>
      <c r="W19" s="9" t="str">
        <f>IF('[1]2_개행동'!W26="","",'[1]2_개행동'!W26)</f>
        <v/>
      </c>
      <c r="X19" s="9" t="str">
        <f>IF('[1]2_개행동'!X26="","",'[1]2_개행동'!X26)</f>
        <v/>
      </c>
      <c r="Y19" s="9" t="str">
        <f>IF('[1]2_개행동'!Y26="","",'[1]2_개행동'!Y26)</f>
        <v/>
      </c>
      <c r="Z19" s="9" t="str">
        <f>IF('[1]2_개행동'!Z26="","",'[1]2_개행동'!Z26)</f>
        <v/>
      </c>
      <c r="AA19" s="9" t="str">
        <f>IF('[1]2_개행동'!AA26="","",'[1]2_개행동'!AA26)</f>
        <v/>
      </c>
      <c r="AB19" s="9" t="str">
        <f>IF('[1]2_개행동'!AB26="","",'[1]2_개행동'!AB26)</f>
        <v/>
      </c>
      <c r="AC19" s="9" t="str">
        <f>IF('[1]2_개행동'!AC26="","",'[1]2_개행동'!AC26)</f>
        <v/>
      </c>
    </row>
    <row r="20" spans="1:29" ht="60" customHeight="1">
      <c r="A20" s="5" t="s">
        <v>106</v>
      </c>
      <c r="B20" s="6" t="str">
        <f>IF('[1]2_개행동'!B36="","",'[1]2_개행동'!B36)</f>
        <v>[걷기] 정지 — 곁에 있던 국면 수  ※자동 계산 · 입력하지 마세요</v>
      </c>
      <c r="C20" s="18" t="str">
        <f>SUBSTITUTE(IF('[1]2_개행동'!C36="","",'[1]2_개행동'!C36),"39 · 41 · 43행","개39 · 개41 · 개43")</f>
        <v>정지 3국면(개39 · 개41 · 개43) 가운데 거리 등급이 1 이하였던 국면 수(0~3). 보호자가 멈춘 동안 곁에 있던 국면입니다.</v>
      </c>
      <c r="D20" s="18"/>
      <c r="E20" s="18"/>
      <c r="F20" s="18"/>
      <c r="G20" s="18"/>
      <c r="H20" s="6" t="str">
        <f>IF('[1]2_개행동'!H36="","",'[1]2_개행동'!H36)</f>
        <v>— 참고 (영역 집계 제외)</v>
      </c>
      <c r="I20" s="6" t="str">
        <f>IF('[1]2_개행동'!I36="","",'[1]2_개행동'!I36)</f>
        <v>참고</v>
      </c>
      <c r="J20" s="9" t="str">
        <f>IF('[1]2_개행동'!J36="","",'[1]2_개행동'!J36)</f>
        <v/>
      </c>
      <c r="K20" s="9" t="str">
        <f>IF('[1]2_개행동'!K36="","",'[1]2_개행동'!K36)</f>
        <v/>
      </c>
      <c r="L20" s="9" t="str">
        <f>IF('[1]2_개행동'!L36="","",'[1]2_개행동'!L36)</f>
        <v/>
      </c>
      <c r="M20" s="9" t="str">
        <f>IF('[1]2_개행동'!M36="","",'[1]2_개행동'!M36)</f>
        <v/>
      </c>
      <c r="N20" s="9" t="str">
        <f>IF('[1]2_개행동'!N36="","",'[1]2_개행동'!N36)</f>
        <v/>
      </c>
      <c r="O20" s="9" t="str">
        <f>IF('[1]2_개행동'!O36="","",'[1]2_개행동'!O36)</f>
        <v/>
      </c>
      <c r="P20" s="9" t="str">
        <f>IF('[1]2_개행동'!P36="","",'[1]2_개행동'!P36)</f>
        <v/>
      </c>
      <c r="Q20" s="9" t="str">
        <f>IF('[1]2_개행동'!Q36="","",'[1]2_개행동'!Q36)</f>
        <v/>
      </c>
      <c r="R20" s="9" t="str">
        <f>IF('[1]2_개행동'!R36="","",'[1]2_개행동'!R36)</f>
        <v/>
      </c>
      <c r="S20" s="9" t="str">
        <f>IF('[1]2_개행동'!S36="","",'[1]2_개행동'!S36)</f>
        <v/>
      </c>
      <c r="T20" s="9" t="str">
        <f>IF('[1]2_개행동'!T36="","",'[1]2_개행동'!T36)</f>
        <v/>
      </c>
      <c r="U20" s="9" t="str">
        <f>IF('[1]2_개행동'!U36="","",'[1]2_개행동'!U36)</f>
        <v/>
      </c>
      <c r="V20" s="9" t="str">
        <f>IF('[1]2_개행동'!V36="","",'[1]2_개행동'!V36)</f>
        <v/>
      </c>
      <c r="W20" s="9" t="str">
        <f>IF('[1]2_개행동'!W36="","",'[1]2_개행동'!W36)</f>
        <v/>
      </c>
      <c r="X20" s="9" t="str">
        <f>IF('[1]2_개행동'!X36="","",'[1]2_개행동'!X36)</f>
        <v/>
      </c>
      <c r="Y20" s="9" t="str">
        <f>IF('[1]2_개행동'!Y36="","",'[1]2_개행동'!Y36)</f>
        <v/>
      </c>
      <c r="Z20" s="9" t="str">
        <f>IF('[1]2_개행동'!Z36="","",'[1]2_개행동'!Z36)</f>
        <v/>
      </c>
      <c r="AA20" s="9" t="str">
        <f>IF('[1]2_개행동'!AA36="","",'[1]2_개행동'!AA36)</f>
        <v/>
      </c>
      <c r="AB20" s="9" t="str">
        <f>IF('[1]2_개행동'!AB36="","",'[1]2_개행동'!AB36)</f>
        <v/>
      </c>
      <c r="AC20" s="9" t="str">
        <f>IF('[1]2_개행동'!AC36="","",'[1]2_개행동'!AC36)</f>
        <v/>
      </c>
    </row>
    <row r="21" spans="1:29" ht="60" customHeight="1">
      <c r="A21" s="5" t="s">
        <v>107</v>
      </c>
      <c r="B21" s="6" t="str">
        <f>IF('[1]2_개행동'!B27="","",'[1]2_개행동'!B27)</f>
        <v>[걷기] 근접 국면 비율 ※자동. 사람·AI 공통 항목으로 사용 가능. 상태 전환 동조율과 다름.</v>
      </c>
      <c r="C21" s="18" t="str">
        <f>IF('[1]2_개행동'!C27="","",'[1]2_개행동'!C27)</f>
        <v>이동·정지 6국면 중 거리 등급 0/1인 국면 ÷ 6. 6칸 모두 관찰되고 보13이 1/2일 때 산출. 보13=3이면 무효, 미입력이면 보류.</v>
      </c>
      <c r="D21" s="18"/>
      <c r="E21" s="18"/>
      <c r="F21" s="18"/>
      <c r="G21" s="18"/>
      <c r="H21" s="6" t="str">
        <f>IF('[1]2_개행동'!H27="","",'[1]2_개행동'!H27)</f>
        <v>— 참고 (영역 집계 제외)</v>
      </c>
      <c r="I21" s="6" t="str">
        <f>IF('[1]2_개행동'!I27="","",'[1]2_개행동'!I27)</f>
        <v>참고</v>
      </c>
      <c r="J21" s="13" t="str">
        <f>IF('[1]2_개행동'!J27="","",'[1]2_개행동'!J27)</f>
        <v/>
      </c>
      <c r="K21" s="13" t="str">
        <f>IF('[1]2_개행동'!K27="","",'[1]2_개행동'!K27)</f>
        <v/>
      </c>
      <c r="L21" s="13" t="str">
        <f>IF('[1]2_개행동'!L27="","",'[1]2_개행동'!L27)</f>
        <v/>
      </c>
      <c r="M21" s="13" t="str">
        <f>IF('[1]2_개행동'!M27="","",'[1]2_개행동'!M27)</f>
        <v/>
      </c>
      <c r="N21" s="13" t="str">
        <f>IF('[1]2_개행동'!N27="","",'[1]2_개행동'!N27)</f>
        <v/>
      </c>
      <c r="O21" s="13" t="str">
        <f>IF('[1]2_개행동'!O27="","",'[1]2_개행동'!O27)</f>
        <v/>
      </c>
      <c r="P21" s="13" t="str">
        <f>IF('[1]2_개행동'!P27="","",'[1]2_개행동'!P27)</f>
        <v/>
      </c>
      <c r="Q21" s="13" t="str">
        <f>IF('[1]2_개행동'!Q27="","",'[1]2_개행동'!Q27)</f>
        <v/>
      </c>
      <c r="R21" s="13" t="str">
        <f>IF('[1]2_개행동'!R27="","",'[1]2_개행동'!R27)</f>
        <v/>
      </c>
      <c r="S21" s="13" t="str">
        <f>IF('[1]2_개행동'!S27="","",'[1]2_개행동'!S27)</f>
        <v/>
      </c>
      <c r="T21" s="13" t="str">
        <f>IF('[1]2_개행동'!T27="","",'[1]2_개행동'!T27)</f>
        <v/>
      </c>
      <c r="U21" s="13" t="str">
        <f>IF('[1]2_개행동'!U27="","",'[1]2_개행동'!U27)</f>
        <v/>
      </c>
      <c r="V21" s="13" t="str">
        <f>IF('[1]2_개행동'!V27="","",'[1]2_개행동'!V27)</f>
        <v/>
      </c>
      <c r="W21" s="13" t="str">
        <f>IF('[1]2_개행동'!W27="","",'[1]2_개행동'!W27)</f>
        <v/>
      </c>
      <c r="X21" s="13" t="str">
        <f>IF('[1]2_개행동'!X27="","",'[1]2_개행동'!X27)</f>
        <v/>
      </c>
      <c r="Y21" s="13" t="str">
        <f>IF('[1]2_개행동'!Y27="","",'[1]2_개행동'!Y27)</f>
        <v/>
      </c>
      <c r="Z21" s="13" t="str">
        <f>IF('[1]2_개행동'!Z27="","",'[1]2_개행동'!Z27)</f>
        <v/>
      </c>
      <c r="AA21" s="13" t="str">
        <f>IF('[1]2_개행동'!AA27="","",'[1]2_개행동'!AA27)</f>
        <v/>
      </c>
      <c r="AB21" s="13" t="str">
        <f>IF('[1]2_개행동'!AB27="","",'[1]2_개행동'!AB27)</f>
        <v/>
      </c>
      <c r="AC21" s="13" t="str">
        <f>IF('[1]2_개행동'!AC27="","",'[1]2_개행동'!AC27)</f>
        <v/>
      </c>
    </row>
  </sheetData>
  <sheetProtection sheet="1" objects="1" scenarios="1" formatColumns="0" formatRows="0"/>
  <mergeCells count="16">
    <mergeCell ref="A1:I1"/>
    <mergeCell ref="A2:I2"/>
    <mergeCell ref="A3:I3"/>
    <mergeCell ref="C6:G6"/>
    <mergeCell ref="C7:G7"/>
    <mergeCell ref="C8:G8"/>
    <mergeCell ref="C9:G9"/>
    <mergeCell ref="C10:G10"/>
    <mergeCell ref="C11:G11"/>
    <mergeCell ref="C12:G12"/>
    <mergeCell ref="C21:G21"/>
    <mergeCell ref="C16:G16"/>
    <mergeCell ref="C17:G17"/>
    <mergeCell ref="C18:G18"/>
    <mergeCell ref="C19:G19"/>
    <mergeCell ref="C20:G2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8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63.95" customHeight="1">
      <c r="A5" s="5" t="s">
        <v>108</v>
      </c>
      <c r="B5" s="6" t="str">
        <f>IF('[1]3_보호자행동'!B18="","",'[1]3_보호자행동'!B18)</f>
        <v>[낯선] 보호자 — 일어서거나 자리를 옮겼다 (개 앞으로 몸을 옮긴 것 포함)  ※0 또는 1 · 발생 기록 · 해당하면 1</v>
      </c>
      <c r="C5" s="6" t="str">
        <f>IF('[1]3_보호자행동'!C18="","",'[1]3_보호자행동'!C18)</f>
        <v>0 — 하지 않았다</v>
      </c>
      <c r="D5" s="6" t="str">
        <f>IF('[1]3_보호자행동'!D18="","",'[1]3_보호자행동'!D18)</f>
        <v>1 — 했다</v>
      </c>
      <c r="E5" s="6" t="str">
        <f>IF('[1]3_보호자행동'!E18="","",'[1]3_보호자행동'!E18)</f>
        <v/>
      </c>
      <c r="F5" s="6" t="str">
        <f>IF('[1]3_보호자행동'!F18="","",'[1]3_보호자행동'!F18)</f>
        <v/>
      </c>
      <c r="G5" s="6" t="str">
        <f>IF('[1]3_보호자행동'!G18="","",'[1]3_보호자행동'!G18)</f>
        <v/>
      </c>
      <c r="H5" s="6" t="str">
        <f>IF('[1]3_보호자행동'!H18="","",'[1]3_보호자행동'!H18)</f>
        <v>발생 기록 · 착석 상태 확인</v>
      </c>
      <c r="I5" s="6" t="str">
        <f>IF('[1]3_보호자행동'!I18="","",'[1]3_보호자행동'!I18)</f>
        <v>조건 기록</v>
      </c>
      <c r="J5" s="9" t="str">
        <f>IF('[1]3_보호자행동'!J18="","",'[1]3_보호자행동'!J18)</f>
        <v/>
      </c>
      <c r="K5" s="9" t="str">
        <f>IF('[1]3_보호자행동'!K18="","",'[1]3_보호자행동'!K18)</f>
        <v/>
      </c>
      <c r="L5" s="9" t="str">
        <f>IF('[1]3_보호자행동'!L18="","",'[1]3_보호자행동'!L18)</f>
        <v/>
      </c>
      <c r="M5" s="9" t="str">
        <f>IF('[1]3_보호자행동'!M18="","",'[1]3_보호자행동'!M18)</f>
        <v/>
      </c>
      <c r="N5" s="9" t="str">
        <f>IF('[1]3_보호자행동'!N18="","",'[1]3_보호자행동'!N18)</f>
        <v/>
      </c>
      <c r="O5" s="9" t="str">
        <f>IF('[1]3_보호자행동'!O18="","",'[1]3_보호자행동'!O18)</f>
        <v/>
      </c>
      <c r="P5" s="9" t="str">
        <f>IF('[1]3_보호자행동'!P18="","",'[1]3_보호자행동'!P18)</f>
        <v/>
      </c>
      <c r="Q5" s="9" t="str">
        <f>IF('[1]3_보호자행동'!Q18="","",'[1]3_보호자행동'!Q18)</f>
        <v/>
      </c>
      <c r="R5" s="9" t="str">
        <f>IF('[1]3_보호자행동'!R18="","",'[1]3_보호자행동'!R18)</f>
        <v/>
      </c>
      <c r="S5" s="9" t="str">
        <f>IF('[1]3_보호자행동'!S18="","",'[1]3_보호자행동'!S18)</f>
        <v/>
      </c>
      <c r="T5" s="9" t="str">
        <f>IF('[1]3_보호자행동'!T18="","",'[1]3_보호자행동'!T18)</f>
        <v/>
      </c>
      <c r="U5" s="9" t="str">
        <f>IF('[1]3_보호자행동'!U18="","",'[1]3_보호자행동'!U18)</f>
        <v/>
      </c>
      <c r="V5" s="9" t="str">
        <f>IF('[1]3_보호자행동'!V18="","",'[1]3_보호자행동'!V18)</f>
        <v/>
      </c>
      <c r="W5" s="9" t="str">
        <f>IF('[1]3_보호자행동'!W18="","",'[1]3_보호자행동'!W18)</f>
        <v/>
      </c>
      <c r="X5" s="9" t="str">
        <f>IF('[1]3_보호자행동'!X18="","",'[1]3_보호자행동'!X18)</f>
        <v/>
      </c>
      <c r="Y5" s="9" t="str">
        <f>IF('[1]3_보호자행동'!Y18="","",'[1]3_보호자행동'!Y18)</f>
        <v/>
      </c>
      <c r="Z5" s="9" t="str">
        <f>IF('[1]3_보호자행동'!Z18="","",'[1]3_보호자행동'!Z18)</f>
        <v/>
      </c>
      <c r="AA5" s="9" t="str">
        <f>IF('[1]3_보호자행동'!AA18="","",'[1]3_보호자행동'!AA18)</f>
        <v/>
      </c>
      <c r="AB5" s="9" t="str">
        <f>IF('[1]3_보호자행동'!AB18="","",'[1]3_보호자행동'!AB18)</f>
        <v/>
      </c>
      <c r="AC5" s="9" t="str">
        <f>IF('[1]3_보호자행동'!AC18="","",'[1]3_보호자행동'!AC18)</f>
        <v/>
      </c>
    </row>
    <row r="6" spans="1:29" ht="96" customHeight="1">
      <c r="A6" s="5" t="s">
        <v>110</v>
      </c>
      <c r="B6" s="6" t="str">
        <f>IF('[1]2_개행동'!B13="","",'[1]2_개행동'!B13)</f>
        <v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v>
      </c>
      <c r="C6" s="6" t="str">
        <f>IF('[1]2_개행동'!C13="","",'[1]2_개행동'!C13)</f>
        <v>요원 쪽에서 멀어지거나 뒤로 피하는 반응이 나타남</v>
      </c>
      <c r="D6" s="6" t="str">
        <f>IF('[1]2_개행동'!D13="","",'[1]2_개행동'!D13)</f>
        <v>접근하지 않고 시작 위치 부근에서 지켜봄</v>
      </c>
      <c r="E6" s="6" t="str">
        <f>IF('[1]2_개행동'!E13="","",'[1]2_개행동'!E13)</f>
        <v>안전문 쪽으로 접근·머묾, 앞발을 걸거나 뛰지 않음</v>
      </c>
      <c r="F6" s="6" t="str">
        <f>IF('[1]2_개행동'!F13="","",'[1]2_개행동'!F13)</f>
        <v>안전문에 앞발을 걸거나 1~2회 뛰어오름</v>
      </c>
      <c r="G6" s="6" t="str">
        <f>IF('[1]2_개행동'!G13="","",'[1]2_개행동'!G13)</f>
        <v>안전문을 향해 3회 이상 뛰어오름</v>
      </c>
      <c r="H6" s="6" t="str">
        <f>IF('[1]2_개행동'!H13="","",'[1]2_개행동'!H13)</f>
        <v>사회성 — 사람</v>
      </c>
      <c r="I6" s="6" t="str">
        <f>IF('[1]2_개행동'!I13="","",'[1]2_개행동'!I13)</f>
        <v>양쪽·인사</v>
      </c>
      <c r="J6" s="9" t="str">
        <f>IF('[1]2_개행동'!J13="","",'[1]2_개행동'!J13)</f>
        <v/>
      </c>
      <c r="K6" s="9" t="str">
        <f>IF('[1]2_개행동'!K13="","",'[1]2_개행동'!K13)</f>
        <v/>
      </c>
      <c r="L6" s="9" t="str">
        <f>IF('[1]2_개행동'!L13="","",'[1]2_개행동'!L13)</f>
        <v/>
      </c>
      <c r="M6" s="9" t="str">
        <f>IF('[1]2_개행동'!M13="","",'[1]2_개행동'!M13)</f>
        <v/>
      </c>
      <c r="N6" s="9" t="str">
        <f>IF('[1]2_개행동'!N13="","",'[1]2_개행동'!N13)</f>
        <v/>
      </c>
      <c r="O6" s="9" t="str">
        <f>IF('[1]2_개행동'!O13="","",'[1]2_개행동'!O13)</f>
        <v/>
      </c>
      <c r="P6" s="9" t="str">
        <f>IF('[1]2_개행동'!P13="","",'[1]2_개행동'!P13)</f>
        <v/>
      </c>
      <c r="Q6" s="9" t="str">
        <f>IF('[1]2_개행동'!Q13="","",'[1]2_개행동'!Q13)</f>
        <v/>
      </c>
      <c r="R6" s="9" t="str">
        <f>IF('[1]2_개행동'!R13="","",'[1]2_개행동'!R13)</f>
        <v/>
      </c>
      <c r="S6" s="9" t="str">
        <f>IF('[1]2_개행동'!S13="","",'[1]2_개행동'!S13)</f>
        <v/>
      </c>
      <c r="T6" s="9" t="str">
        <f>IF('[1]2_개행동'!T13="","",'[1]2_개행동'!T13)</f>
        <v/>
      </c>
      <c r="U6" s="9" t="str">
        <f>IF('[1]2_개행동'!U13="","",'[1]2_개행동'!U13)</f>
        <v/>
      </c>
      <c r="V6" s="9" t="str">
        <f>IF('[1]2_개행동'!V13="","",'[1]2_개행동'!V13)</f>
        <v/>
      </c>
      <c r="W6" s="9" t="str">
        <f>IF('[1]2_개행동'!W13="","",'[1]2_개행동'!W13)</f>
        <v/>
      </c>
      <c r="X6" s="9" t="str">
        <f>IF('[1]2_개행동'!X13="","",'[1]2_개행동'!X13)</f>
        <v/>
      </c>
      <c r="Y6" s="9" t="str">
        <f>IF('[1]2_개행동'!Y13="","",'[1]2_개행동'!Y13)</f>
        <v/>
      </c>
      <c r="Z6" s="9" t="str">
        <f>IF('[1]2_개행동'!Z13="","",'[1]2_개행동'!Z13)</f>
        <v/>
      </c>
      <c r="AA6" s="9" t="str">
        <f>IF('[1]2_개행동'!AA13="","",'[1]2_개행동'!AA13)</f>
        <v/>
      </c>
      <c r="AB6" s="9" t="str">
        <f>IF('[1]2_개행동'!AB13="","",'[1]2_개행동'!AB13)</f>
        <v/>
      </c>
      <c r="AC6" s="9" t="str">
        <f>IF('[1]2_개행동'!AC13="","",'[1]2_개행동'!AC13)</f>
        <v/>
      </c>
    </row>
    <row r="7" spans="1:29" ht="63.95" customHeight="1">
      <c r="A7" s="5" t="s">
        <v>111</v>
      </c>
      <c r="B7" s="6" t="str">
        <f>IF('[1]2_개행동'!B56="","",'[1]2_개행동'!B56)</f>
        <v>[낯선] 보호자 확인 ※관찰된 시선 방향. 사회적 참조 기능을 시선만으로 확정하지 않음. 보호자 반응 시각과 연결해 검토.</v>
      </c>
      <c r="C7" s="6" t="str">
        <f>IF('[1]2_개행동'!C56="","",'[1]2_개행동'!C56)</f>
        <v>요원을 거의 보지 않고 보호자만 쳐다봄</v>
      </c>
      <c r="D7" s="6" t="str">
        <f>IF('[1]2_개행동'!D56="","",'[1]2_개행동'!D56)</f>
        <v>자주 보호자를 쳐다봄</v>
      </c>
      <c r="E7" s="6" t="str">
        <f>IF('[1]2_개행동'!E56="","",'[1]2_개행동'!E56)</f>
        <v>요원을 보다가 몇 번 보호자를 확인하고 다시 요원을 봄</v>
      </c>
      <c r="F7" s="6" t="str">
        <f>IF('[1]2_개행동'!F56="","",'[1]2_개행동'!F56)</f>
        <v>한두 번 힐끗 봄</v>
      </c>
      <c r="G7" s="6" t="str">
        <f>IF('[1]2_개행동'!G56="","",'[1]2_개행동'!G56)</f>
        <v>한 번도 쳐다보지 않음</v>
      </c>
      <c r="H7" s="6" t="str">
        <f>IF('[1]2_개행동'!H56="","",'[1]2_개행동'!H56)</f>
        <v>— 참고 (영역 집계 제외)</v>
      </c>
      <c r="I7" s="6" t="str">
        <f>IF('[1]2_개행동'!I56="","",'[1]2_개행동'!I56)</f>
        <v>참고</v>
      </c>
      <c r="J7" s="9" t="str">
        <f>IF('[1]2_개행동'!J56="","",'[1]2_개행동'!J56)</f>
        <v/>
      </c>
      <c r="K7" s="9" t="str">
        <f>IF('[1]2_개행동'!K56="","",'[1]2_개행동'!K56)</f>
        <v/>
      </c>
      <c r="L7" s="9" t="str">
        <f>IF('[1]2_개행동'!L56="","",'[1]2_개행동'!L56)</f>
        <v/>
      </c>
      <c r="M7" s="9" t="str">
        <f>IF('[1]2_개행동'!M56="","",'[1]2_개행동'!M56)</f>
        <v/>
      </c>
      <c r="N7" s="9" t="str">
        <f>IF('[1]2_개행동'!N56="","",'[1]2_개행동'!N56)</f>
        <v/>
      </c>
      <c r="O7" s="9" t="str">
        <f>IF('[1]2_개행동'!O56="","",'[1]2_개행동'!O56)</f>
        <v/>
      </c>
      <c r="P7" s="9" t="str">
        <f>IF('[1]2_개행동'!P56="","",'[1]2_개행동'!P56)</f>
        <v/>
      </c>
      <c r="Q7" s="9" t="str">
        <f>IF('[1]2_개행동'!Q56="","",'[1]2_개행동'!Q56)</f>
        <v/>
      </c>
      <c r="R7" s="9" t="str">
        <f>IF('[1]2_개행동'!R56="","",'[1]2_개행동'!R56)</f>
        <v/>
      </c>
      <c r="S7" s="9" t="str">
        <f>IF('[1]2_개행동'!S56="","",'[1]2_개행동'!S56)</f>
        <v/>
      </c>
      <c r="T7" s="9" t="str">
        <f>IF('[1]2_개행동'!T56="","",'[1]2_개행동'!T56)</f>
        <v/>
      </c>
      <c r="U7" s="9" t="str">
        <f>IF('[1]2_개행동'!U56="","",'[1]2_개행동'!U56)</f>
        <v/>
      </c>
      <c r="V7" s="9" t="str">
        <f>IF('[1]2_개행동'!V56="","",'[1]2_개행동'!V56)</f>
        <v/>
      </c>
      <c r="W7" s="9" t="str">
        <f>IF('[1]2_개행동'!W56="","",'[1]2_개행동'!W56)</f>
        <v/>
      </c>
      <c r="X7" s="9" t="str">
        <f>IF('[1]2_개행동'!X56="","",'[1]2_개행동'!X56)</f>
        <v/>
      </c>
      <c r="Y7" s="9" t="str">
        <f>IF('[1]2_개행동'!Y56="","",'[1]2_개행동'!Y56)</f>
        <v/>
      </c>
      <c r="Z7" s="9" t="str">
        <f>IF('[1]2_개행동'!Z56="","",'[1]2_개행동'!Z56)</f>
        <v/>
      </c>
      <c r="AA7" s="9" t="str">
        <f>IF('[1]2_개행동'!AA56="","",'[1]2_개행동'!AA56)</f>
        <v/>
      </c>
      <c r="AB7" s="9" t="str">
        <f>IF('[1]2_개행동'!AB56="","",'[1]2_개행동'!AB56)</f>
        <v/>
      </c>
      <c r="AC7" s="9" t="str">
        <f>IF('[1]2_개행동'!AC56="","",'[1]2_개행동'!AC56)</f>
        <v/>
      </c>
    </row>
    <row r="8" spans="1:29" ht="60" customHeight="1">
      <c r="A8" s="5" t="s">
        <v>112</v>
      </c>
      <c r="B8" s="6" t="str">
        <f>IF('[1]3_보호자행동'!B16="","",'[1]3_보호자행동'!B16)</f>
        <v>[낯선] 보호자 — 개에게 말을 걸거나 이름을 불렀다  ※0 또는 1 · 발생 기록 · 해당하면 1</v>
      </c>
      <c r="C8" s="6" t="str">
        <f>IF('[1]3_보호자행동'!C16="","",'[1]3_보호자행동'!C16)</f>
        <v>0 — 하지 않았다</v>
      </c>
      <c r="D8" s="6" t="str">
        <f>IF('[1]3_보호자행동'!D16="","",'[1]3_보호자행동'!D16)</f>
        <v>1 — 했다</v>
      </c>
      <c r="E8" s="6" t="str">
        <f>IF('[1]3_보호자행동'!E16="","",'[1]3_보호자행동'!E16)</f>
        <v/>
      </c>
      <c r="F8" s="6" t="str">
        <f>IF('[1]3_보호자행동'!F16="","",'[1]3_보호자행동'!F16)</f>
        <v/>
      </c>
      <c r="G8" s="6" t="str">
        <f>IF('[1]3_보호자행동'!G16="","",'[1]3_보호자행동'!G16)</f>
        <v/>
      </c>
      <c r="H8" s="6" t="str">
        <f>IF('[1]3_보호자행동'!H16="","",'[1]3_보호자행동'!H16)</f>
        <v>발생 기록 · 보23·24의 근거</v>
      </c>
      <c r="I8" s="6" t="str">
        <f>IF('[1]3_보호자행동'!I16="","",'[1]3_보호자행동'!I16)</f>
        <v>참고</v>
      </c>
      <c r="J8" s="9" t="str">
        <f>IF('[1]3_보호자행동'!J16="","",'[1]3_보호자행동'!J16)</f>
        <v/>
      </c>
      <c r="K8" s="9" t="str">
        <f>IF('[1]3_보호자행동'!K16="","",'[1]3_보호자행동'!K16)</f>
        <v/>
      </c>
      <c r="L8" s="9" t="str">
        <f>IF('[1]3_보호자행동'!L16="","",'[1]3_보호자행동'!L16)</f>
        <v/>
      </c>
      <c r="M8" s="9" t="str">
        <f>IF('[1]3_보호자행동'!M16="","",'[1]3_보호자행동'!M16)</f>
        <v/>
      </c>
      <c r="N8" s="9" t="str">
        <f>IF('[1]3_보호자행동'!N16="","",'[1]3_보호자행동'!N16)</f>
        <v/>
      </c>
      <c r="O8" s="9" t="str">
        <f>IF('[1]3_보호자행동'!O16="","",'[1]3_보호자행동'!O16)</f>
        <v/>
      </c>
      <c r="P8" s="9" t="str">
        <f>IF('[1]3_보호자행동'!P16="","",'[1]3_보호자행동'!P16)</f>
        <v/>
      </c>
      <c r="Q8" s="9" t="str">
        <f>IF('[1]3_보호자행동'!Q16="","",'[1]3_보호자행동'!Q16)</f>
        <v/>
      </c>
      <c r="R8" s="9" t="str">
        <f>IF('[1]3_보호자행동'!R16="","",'[1]3_보호자행동'!R16)</f>
        <v/>
      </c>
      <c r="S8" s="9" t="str">
        <f>IF('[1]3_보호자행동'!S16="","",'[1]3_보호자행동'!S16)</f>
        <v/>
      </c>
      <c r="T8" s="9" t="str">
        <f>IF('[1]3_보호자행동'!T16="","",'[1]3_보호자행동'!T16)</f>
        <v/>
      </c>
      <c r="U8" s="9" t="str">
        <f>IF('[1]3_보호자행동'!U16="","",'[1]3_보호자행동'!U16)</f>
        <v/>
      </c>
      <c r="V8" s="9" t="str">
        <f>IF('[1]3_보호자행동'!V16="","",'[1]3_보호자행동'!V16)</f>
        <v/>
      </c>
      <c r="W8" s="9" t="str">
        <f>IF('[1]3_보호자행동'!W16="","",'[1]3_보호자행동'!W16)</f>
        <v/>
      </c>
      <c r="X8" s="9" t="str">
        <f>IF('[1]3_보호자행동'!X16="","",'[1]3_보호자행동'!X16)</f>
        <v/>
      </c>
      <c r="Y8" s="9" t="str">
        <f>IF('[1]3_보호자행동'!Y16="","",'[1]3_보호자행동'!Y16)</f>
        <v/>
      </c>
      <c r="Z8" s="9" t="str">
        <f>IF('[1]3_보호자행동'!Z16="","",'[1]3_보호자행동'!Z16)</f>
        <v/>
      </c>
      <c r="AA8" s="9" t="str">
        <f>IF('[1]3_보호자행동'!AA16="","",'[1]3_보호자행동'!AA16)</f>
        <v/>
      </c>
      <c r="AB8" s="9" t="str">
        <f>IF('[1]3_보호자행동'!AB16="","",'[1]3_보호자행동'!AB16)</f>
        <v/>
      </c>
      <c r="AC8" s="9" t="str">
        <f>IF('[1]3_보호자행동'!AC16="","",'[1]3_보호자행동'!AC16)</f>
        <v/>
      </c>
    </row>
    <row r="9" spans="1:29" ht="80.099999999999994" customHeight="1">
      <c r="A9" s="5" t="s">
        <v>113</v>
      </c>
      <c r="B9" s="6" t="str">
        <f>IF('[1]3_보호자행동'!B23="","",'[1]3_보호자행동'!B23)</f>
        <v>[낯선] 앉은 상태의 지시 방식. 말·손짓으로 행동을 요청한 정도. G→C 순으로 선택. 반복은 같은 행동을 다시 요청한 횟수. 전 구간 관찰 시만 무지시 선택. 직원 지시·안전 조치는 별도 메모.</v>
      </c>
      <c r="C9" s="6" t="str">
        <f>IF('[1]3_보호자행동'!C23="","",'[1]3_보호자행동'!C23)</f>
        <v>−2: 개에게 행동을 요청하는 말·손짓 없이 개의 행동을 지켜봄</v>
      </c>
      <c r="D9" s="6" t="str">
        <f>IF('[1]3_보호자행동'!D23="","",'[1]3_보호자행동'!D23)</f>
        <v>−1: 말·손짓으로 한 번 요청한 뒤 같은 요청을 반복하지 않음</v>
      </c>
      <c r="E9" s="6" t="str">
        <f>IF('[1]3_보호자행동'!E23="","",'[1]3_보호자행동'!E23)</f>
        <v>0: 같은 행동을 두 번 요청함. 목소리·손짓의 강도를 높이지 않음</v>
      </c>
      <c r="F9" s="6" t="str">
        <f>IF('[1]3_보호자행동'!F23="","",'[1]3_보호자행동'!F23)</f>
        <v>+1: 같은 행동을 세 번 이상 요청함. 목소리·손짓의 강도를 높이지 않음</v>
      </c>
      <c r="G9" s="6" t="str">
        <f>IF('[1]3_보호자행동'!G23="","",'[1]3_보호자행동'!G23)</f>
        <v>+2: 요청을 반복하면서 목소리를 높이거나 손짓을 더 크게·급하게 함</v>
      </c>
      <c r="H9" s="6" t="str">
        <f>IF('[1]3_보호자행동'!H23="","",'[1]3_보호자행동'!H23)</f>
        <v>보호자 유형 판정 근거
(점수 합계 제외)</v>
      </c>
      <c r="I9" s="6" t="str">
        <f>IF('[1]3_보호자행동'!I23="","",'[1]3_보호자행동'!I23)</f>
        <v>양쪽 · 지시 정도</v>
      </c>
      <c r="J9" s="9" t="str">
        <f>IF('[1]3_보호자행동'!J23="","",'[1]3_보호자행동'!J23)</f>
        <v/>
      </c>
      <c r="K9" s="9" t="str">
        <f>IF('[1]3_보호자행동'!K23="","",'[1]3_보호자행동'!K23)</f>
        <v/>
      </c>
      <c r="L9" s="9" t="str">
        <f>IF('[1]3_보호자행동'!L23="","",'[1]3_보호자행동'!L23)</f>
        <v/>
      </c>
      <c r="M9" s="9" t="str">
        <f>IF('[1]3_보호자행동'!M23="","",'[1]3_보호자행동'!M23)</f>
        <v/>
      </c>
      <c r="N9" s="9" t="str">
        <f>IF('[1]3_보호자행동'!N23="","",'[1]3_보호자행동'!N23)</f>
        <v/>
      </c>
      <c r="O9" s="9" t="str">
        <f>IF('[1]3_보호자행동'!O23="","",'[1]3_보호자행동'!O23)</f>
        <v/>
      </c>
      <c r="P9" s="9" t="str">
        <f>IF('[1]3_보호자행동'!P23="","",'[1]3_보호자행동'!P23)</f>
        <v/>
      </c>
      <c r="Q9" s="9" t="str">
        <f>IF('[1]3_보호자행동'!Q23="","",'[1]3_보호자행동'!Q23)</f>
        <v/>
      </c>
      <c r="R9" s="9" t="str">
        <f>IF('[1]3_보호자행동'!R23="","",'[1]3_보호자행동'!R23)</f>
        <v/>
      </c>
      <c r="S9" s="9" t="str">
        <f>IF('[1]3_보호자행동'!S23="","",'[1]3_보호자행동'!S23)</f>
        <v/>
      </c>
      <c r="T9" s="9" t="str">
        <f>IF('[1]3_보호자행동'!T23="","",'[1]3_보호자행동'!T23)</f>
        <v/>
      </c>
      <c r="U9" s="9" t="str">
        <f>IF('[1]3_보호자행동'!U23="","",'[1]3_보호자행동'!U23)</f>
        <v/>
      </c>
      <c r="V9" s="9" t="str">
        <f>IF('[1]3_보호자행동'!V23="","",'[1]3_보호자행동'!V23)</f>
        <v/>
      </c>
      <c r="W9" s="9" t="str">
        <f>IF('[1]3_보호자행동'!W23="","",'[1]3_보호자행동'!W23)</f>
        <v/>
      </c>
      <c r="X9" s="9" t="str">
        <f>IF('[1]3_보호자행동'!X23="","",'[1]3_보호자행동'!X23)</f>
        <v/>
      </c>
      <c r="Y9" s="9" t="str">
        <f>IF('[1]3_보호자행동'!Y23="","",'[1]3_보호자행동'!Y23)</f>
        <v/>
      </c>
      <c r="Z9" s="9" t="str">
        <f>IF('[1]3_보호자행동'!Z23="","",'[1]3_보호자행동'!Z23)</f>
        <v/>
      </c>
      <c r="AA9" s="9" t="str">
        <f>IF('[1]3_보호자행동'!AA23="","",'[1]3_보호자행동'!AA23)</f>
        <v/>
      </c>
      <c r="AB9" s="9" t="str">
        <f>IF('[1]3_보호자행동'!AB23="","",'[1]3_보호자행동'!AB23)</f>
        <v/>
      </c>
      <c r="AC9" s="9" t="str">
        <f>IF('[1]3_보호자행동'!AC23="","",'[1]3_보호자행동'!AC23)</f>
        <v/>
      </c>
    </row>
    <row r="10" spans="1:29" ht="60" customHeight="1">
      <c r="A10" s="5" t="s">
        <v>114</v>
      </c>
      <c r="B10" s="6" t="str">
        <f>IF('[1]3_보호자행동'!B26="","",'[1]3_보호자행동'!B26)</f>
        <v>보23 사유・시각</v>
      </c>
      <c r="C10" s="18" t="str">
        <f>IF('[1]3_보호자행동'!C26="","",'[1]3_보호자행동'!C26)</f>
        <v>실제 말·손짓, 요청 횟수·시각, 직전 개 행동과 반응 후 지시를 멈추거나 바꿨는지 기록. 지시가 필요할 상황이 없었는지도 구분. 관찰 불가면 보23 빈칸.</v>
      </c>
      <c r="D10" s="18"/>
      <c r="E10" s="18"/>
      <c r="F10" s="18"/>
      <c r="G10" s="18"/>
      <c r="H10" s="6" t="str">
        <f>IF('[1]3_보호자행동'!H26="","",'[1]3_보호자행동'!H26)</f>
        <v/>
      </c>
      <c r="I10" s="6" t="str">
        <f>IF('[1]3_보호자행동'!I26="","",'[1]3_보호자행동'!I26)</f>
        <v/>
      </c>
      <c r="J10" s="11" t="str">
        <f>IF('[1]3_보호자행동'!J26="","",'[1]3_보호자행동'!J26)</f>
        <v/>
      </c>
      <c r="K10" s="11" t="str">
        <f>IF('[1]3_보호자행동'!K26="","",'[1]3_보호자행동'!K26)</f>
        <v/>
      </c>
      <c r="L10" s="11" t="str">
        <f>IF('[1]3_보호자행동'!L26="","",'[1]3_보호자행동'!L26)</f>
        <v/>
      </c>
      <c r="M10" s="11" t="str">
        <f>IF('[1]3_보호자행동'!M26="","",'[1]3_보호자행동'!M26)</f>
        <v/>
      </c>
      <c r="N10" s="11" t="str">
        <f>IF('[1]3_보호자행동'!N26="","",'[1]3_보호자행동'!N26)</f>
        <v/>
      </c>
      <c r="O10" s="11" t="str">
        <f>IF('[1]3_보호자행동'!O26="","",'[1]3_보호자행동'!O26)</f>
        <v/>
      </c>
      <c r="P10" s="11" t="str">
        <f>IF('[1]3_보호자행동'!P26="","",'[1]3_보호자행동'!P26)</f>
        <v/>
      </c>
      <c r="Q10" s="11" t="str">
        <f>IF('[1]3_보호자행동'!Q26="","",'[1]3_보호자행동'!Q26)</f>
        <v/>
      </c>
      <c r="R10" s="11" t="str">
        <f>IF('[1]3_보호자행동'!R26="","",'[1]3_보호자행동'!R26)</f>
        <v/>
      </c>
      <c r="S10" s="11" t="str">
        <f>IF('[1]3_보호자행동'!S26="","",'[1]3_보호자행동'!S26)</f>
        <v/>
      </c>
      <c r="T10" s="11" t="str">
        <f>IF('[1]3_보호자행동'!T26="","",'[1]3_보호자행동'!T26)</f>
        <v/>
      </c>
      <c r="U10" s="11" t="str">
        <f>IF('[1]3_보호자행동'!U26="","",'[1]3_보호자행동'!U26)</f>
        <v/>
      </c>
      <c r="V10" s="11" t="str">
        <f>IF('[1]3_보호자행동'!V26="","",'[1]3_보호자행동'!V26)</f>
        <v/>
      </c>
      <c r="W10" s="11" t="str">
        <f>IF('[1]3_보호자행동'!W26="","",'[1]3_보호자행동'!W26)</f>
        <v/>
      </c>
      <c r="X10" s="11" t="str">
        <f>IF('[1]3_보호자행동'!X26="","",'[1]3_보호자행동'!X26)</f>
        <v/>
      </c>
      <c r="Y10" s="11" t="str">
        <f>IF('[1]3_보호자행동'!Y26="","",'[1]3_보호자행동'!Y26)</f>
        <v/>
      </c>
      <c r="Z10" s="11" t="str">
        <f>IF('[1]3_보호자행동'!Z26="","",'[1]3_보호자행동'!Z26)</f>
        <v/>
      </c>
      <c r="AA10" s="11" t="str">
        <f>IF('[1]3_보호자행동'!AA26="","",'[1]3_보호자행동'!AA26)</f>
        <v/>
      </c>
      <c r="AB10" s="11" t="str">
        <f>IF('[1]3_보호자행동'!AB26="","",'[1]3_보호자행동'!AB26)</f>
        <v/>
      </c>
      <c r="AC10" s="11" t="str">
        <f>IF('[1]3_보호자행동'!AC26="","",'[1]3_보호자행동'!AC26)</f>
        <v/>
      </c>
    </row>
    <row r="11" spans="1:29" ht="63.95" customHeight="1">
      <c r="A11" s="5" t="s">
        <v>115</v>
      </c>
      <c r="B11" s="6" t="str">
        <f>IF('[1]2_개행동'!B55="","",'[1]2_개행동'!B55)</f>
        <v>[낯선] 정지선 접근 반응 ※이름 부르기 전, 안전문 안으로 들어와 정지선까지 이동하는 동안. 정지선은 상한이며 회피·굳음·으르렁이면 그 전에 중단.</v>
      </c>
      <c r="C11" s="6" t="str">
        <f>IF('[1]2_개행동'!C55="","",'[1]2_개행동'!C55)</f>
        <v>뒤로 물러나거나 달아남 · 몸이 굳어 움직이지 못함</v>
      </c>
      <c r="D11" s="6" t="str">
        <f>IF('[1]2_개행동'!D55="","",'[1]2_개행동'!D55)</f>
        <v>자리에서 몸을 낮추거나 고개를 돌림</v>
      </c>
      <c r="E11" s="6" t="str">
        <f>IF('[1]2_개행동'!E55="","",'[1]2_개행동'!E55)</f>
        <v>선 자리에서 맞이하거나 한두 걸음 다가감</v>
      </c>
      <c r="F11" s="6" t="str">
        <f>IF('[1]2_개행동'!F55="","",'[1]2_개행동'!F55)</f>
        <v>곧장 마주 나아감</v>
      </c>
      <c r="G11" s="6" t="str">
        <f>IF('[1]2_개행동'!G55="","",'[1]2_개행동'!G55)</f>
        <v>뛰어오르거나 앞발을 올림</v>
      </c>
      <c r="H11" s="6" t="str">
        <f>IF('[1]2_개행동'!H55="","",'[1]2_개행동'!H55)</f>
        <v>사회성 — 사람</v>
      </c>
      <c r="I11" s="6" t="str">
        <f>IF('[1]2_개행동'!I55="","",'[1]2_개행동'!I55)</f>
        <v>양쪽·인사</v>
      </c>
      <c r="J11" s="9" t="str">
        <f>IF('[1]2_개행동'!J55="","",'[1]2_개행동'!J55)</f>
        <v/>
      </c>
      <c r="K11" s="9" t="str">
        <f>IF('[1]2_개행동'!K55="","",'[1]2_개행동'!K55)</f>
        <v/>
      </c>
      <c r="L11" s="9" t="str">
        <f>IF('[1]2_개행동'!L55="","",'[1]2_개행동'!L55)</f>
        <v/>
      </c>
      <c r="M11" s="9" t="str">
        <f>IF('[1]2_개행동'!M55="","",'[1]2_개행동'!M55)</f>
        <v/>
      </c>
      <c r="N11" s="9" t="str">
        <f>IF('[1]2_개행동'!N55="","",'[1]2_개행동'!N55)</f>
        <v/>
      </c>
      <c r="O11" s="9" t="str">
        <f>IF('[1]2_개행동'!O55="","",'[1]2_개행동'!O55)</f>
        <v/>
      </c>
      <c r="P11" s="9" t="str">
        <f>IF('[1]2_개행동'!P55="","",'[1]2_개행동'!P55)</f>
        <v/>
      </c>
      <c r="Q11" s="9" t="str">
        <f>IF('[1]2_개행동'!Q55="","",'[1]2_개행동'!Q55)</f>
        <v/>
      </c>
      <c r="R11" s="9" t="str">
        <f>IF('[1]2_개행동'!R55="","",'[1]2_개행동'!R55)</f>
        <v/>
      </c>
      <c r="S11" s="9" t="str">
        <f>IF('[1]2_개행동'!S55="","",'[1]2_개행동'!S55)</f>
        <v/>
      </c>
      <c r="T11" s="9" t="str">
        <f>IF('[1]2_개행동'!T55="","",'[1]2_개행동'!T55)</f>
        <v/>
      </c>
      <c r="U11" s="9" t="str">
        <f>IF('[1]2_개행동'!U55="","",'[1]2_개행동'!U55)</f>
        <v/>
      </c>
      <c r="V11" s="9" t="str">
        <f>IF('[1]2_개행동'!V55="","",'[1]2_개행동'!V55)</f>
        <v/>
      </c>
      <c r="W11" s="9" t="str">
        <f>IF('[1]2_개행동'!W55="","",'[1]2_개행동'!W55)</f>
        <v/>
      </c>
      <c r="X11" s="9" t="str">
        <f>IF('[1]2_개행동'!X55="","",'[1]2_개행동'!X55)</f>
        <v/>
      </c>
      <c r="Y11" s="9" t="str">
        <f>IF('[1]2_개행동'!Y55="","",'[1]2_개행동'!Y55)</f>
        <v/>
      </c>
      <c r="Z11" s="9" t="str">
        <f>IF('[1]2_개행동'!Z55="","",'[1]2_개행동'!Z55)</f>
        <v/>
      </c>
      <c r="AA11" s="9" t="str">
        <f>IF('[1]2_개행동'!AA55="","",'[1]2_개행동'!AA55)</f>
        <v/>
      </c>
      <c r="AB11" s="9" t="str">
        <f>IF('[1]2_개행동'!AB55="","",'[1]2_개행동'!AB55)</f>
        <v/>
      </c>
      <c r="AC11" s="9" t="str">
        <f>IF('[1]2_개행동'!AC55="","",'[1]2_개행동'!AC55)</f>
        <v/>
      </c>
    </row>
    <row r="12" spans="1:29" ht="80.099999999999994" customHeight="1">
      <c r="A12" s="5" t="s">
        <v>116</v>
      </c>
      <c r="B12" s="6" t="str">
        <f>IF('[1]2_개행동'!B15="","",'[1]2_개행동'!B15)</f>
        <v>[낯선] 부름 뒤 반응 ※정지선에서 이름 1회 후 4초. 요원은 움직이지 않음. 접근했다면 +1/+2, 접근하지 않았다면 반응 잠재기로 −2/−1/0. 부르기 전 이미 곁에 있으면 접근 변화는 메모.</v>
      </c>
      <c r="C12" s="6" t="str">
        <f>IF('[1]2_개행동'!C15="","",'[1]2_개행동'!C15)</f>
        <v>4초 안에 고개·몸 방향 전환이나 접근이 없음</v>
      </c>
      <c r="D12" s="6" t="str">
        <f>IF('[1]2_개행동'!D15="","",'[1]2_개행동'!D15)</f>
        <v>접근 없이, 부름 후 3초 초과~4초 이내에 처음 고개·몸을 돌림</v>
      </c>
      <c r="E12" s="6" t="str">
        <f>IF('[1]2_개행동'!E15="","",'[1]2_개행동'!E15)</f>
        <v>접근 없이, 3초 이내 고개·몸을 돌림</v>
      </c>
      <c r="F12" s="6" t="str">
        <f>IF('[1]2_개행동'!F15="","",'[1]2_개행동'!F15)</f>
        <v>요원 쪽으로 다가오되 뛰어오르거나 매달리지 않음</v>
      </c>
      <c r="G12" s="6" t="str">
        <f>IF('[1]2_개행동'!G15="","",'[1]2_개행동'!G15)</f>
        <v>다가와 뛰어오르거나 몸·앞발을 올림</v>
      </c>
      <c r="H12" s="6" t="str">
        <f>IF('[1]2_개행동'!H15="","",'[1]2_개행동'!H15)</f>
        <v>사회성 — 사람</v>
      </c>
      <c r="I12" s="6" t="str">
        <f>IF('[1]2_개행동'!I15="","",'[1]2_개행동'!I15)</f>
        <v>양쪽·인사</v>
      </c>
      <c r="J12" s="9" t="str">
        <f>IF('[1]2_개행동'!J15="","",'[1]2_개행동'!J15)</f>
        <v/>
      </c>
      <c r="K12" s="9" t="str">
        <f>IF('[1]2_개행동'!K15="","",'[1]2_개행동'!K15)</f>
        <v/>
      </c>
      <c r="L12" s="9" t="str">
        <f>IF('[1]2_개행동'!L15="","",'[1]2_개행동'!L15)</f>
        <v/>
      </c>
      <c r="M12" s="9" t="str">
        <f>IF('[1]2_개행동'!M15="","",'[1]2_개행동'!M15)</f>
        <v/>
      </c>
      <c r="N12" s="9" t="str">
        <f>IF('[1]2_개행동'!N15="","",'[1]2_개행동'!N15)</f>
        <v/>
      </c>
      <c r="O12" s="9" t="str">
        <f>IF('[1]2_개행동'!O15="","",'[1]2_개행동'!O15)</f>
        <v/>
      </c>
      <c r="P12" s="9" t="str">
        <f>IF('[1]2_개행동'!P15="","",'[1]2_개행동'!P15)</f>
        <v/>
      </c>
      <c r="Q12" s="9" t="str">
        <f>IF('[1]2_개행동'!Q15="","",'[1]2_개행동'!Q15)</f>
        <v/>
      </c>
      <c r="R12" s="9" t="str">
        <f>IF('[1]2_개행동'!R15="","",'[1]2_개행동'!R15)</f>
        <v/>
      </c>
      <c r="S12" s="9" t="str">
        <f>IF('[1]2_개행동'!S15="","",'[1]2_개행동'!S15)</f>
        <v/>
      </c>
      <c r="T12" s="9" t="str">
        <f>IF('[1]2_개행동'!T15="","",'[1]2_개행동'!T15)</f>
        <v/>
      </c>
      <c r="U12" s="9" t="str">
        <f>IF('[1]2_개행동'!U15="","",'[1]2_개행동'!U15)</f>
        <v/>
      </c>
      <c r="V12" s="9" t="str">
        <f>IF('[1]2_개행동'!V15="","",'[1]2_개행동'!V15)</f>
        <v/>
      </c>
      <c r="W12" s="9" t="str">
        <f>IF('[1]2_개행동'!W15="","",'[1]2_개행동'!W15)</f>
        <v/>
      </c>
      <c r="X12" s="9" t="str">
        <f>IF('[1]2_개행동'!X15="","",'[1]2_개행동'!X15)</f>
        <v/>
      </c>
      <c r="Y12" s="9" t="str">
        <f>IF('[1]2_개행동'!Y15="","",'[1]2_개행동'!Y15)</f>
        <v/>
      </c>
      <c r="Z12" s="9" t="str">
        <f>IF('[1]2_개행동'!Z15="","",'[1]2_개행동'!Z15)</f>
        <v/>
      </c>
      <c r="AA12" s="9" t="str">
        <f>IF('[1]2_개행동'!AA15="","",'[1]2_개행동'!AA15)</f>
        <v/>
      </c>
      <c r="AB12" s="9" t="str">
        <f>IF('[1]2_개행동'!AB15="","",'[1]2_개행동'!AB15)</f>
        <v/>
      </c>
      <c r="AC12" s="9" t="str">
        <f>IF('[1]2_개행동'!AC15="","",'[1]2_개행동'!AC15)</f>
        <v/>
      </c>
    </row>
    <row r="13" spans="1:29" ht="63.95" customHeight="1">
      <c r="A13" s="5" t="s">
        <v>117</v>
      </c>
      <c r="B13" s="6" t="str">
        <f>IF('[1]2_개행동'!B53="","",'[1]2_개행동'!B53)</f>
        <v>[낯선] 접촉 경로 ※0~3 범주. 최초 접근 경로와 실제 접촉 성립을 기록. 요원은 20초 전에는 만지지 않음. 미접촉은 0이 아님.</v>
      </c>
      <c r="C13" s="6" t="str">
        <f>IF('[1]2_개행동'!C53="","",'[1]2_개행동'!C53)</f>
        <v>0 — 부름 전 스스로 접근했고 정해진 접촉 시간에 접촉 성립</v>
      </c>
      <c r="D13" s="6" t="str">
        <f>IF('[1]2_개행동'!D53="","",'[1]2_개행동'!D53)</f>
        <v>1 — 부름 후 접근하여 정해진 접촉 시간에 접촉 성립</v>
      </c>
      <c r="E13" s="6" t="str">
        <f>IF('[1]2_개행동'!E53="","",'[1]2_개행동'!E53)</f>
        <v>2 — 접촉 시간까지 손 닿는 곳에 오지 않아 미접촉</v>
      </c>
      <c r="F13" s="6" t="str">
        <f>IF('[1]2_개행동'!F53="","",'[1]2_개행동'!F53)</f>
        <v>3 — 회피·굳음·으르렁 등으로 접촉 전/중 복지 중단</v>
      </c>
      <c r="G13" s="6" t="str">
        <f>IF('[1]2_개행동'!G53="","",'[1]2_개행동'!G53)</f>
        <v/>
      </c>
      <c r="H13" s="6" t="str">
        <f>IF('[1]2_개행동'!H53="","",'[1]2_개행동'!H53)</f>
        <v>— 참고 (영역 집계 제외)</v>
      </c>
      <c r="I13" s="6" t="str">
        <f>IF('[1]2_개행동'!I53="","",'[1]2_개행동'!I53)</f>
        <v>참고</v>
      </c>
      <c r="J13" s="9" t="str">
        <f>IF('[1]2_개행동'!J53="","",'[1]2_개행동'!J53)</f>
        <v/>
      </c>
      <c r="K13" s="9" t="str">
        <f>IF('[1]2_개행동'!K53="","",'[1]2_개행동'!K53)</f>
        <v/>
      </c>
      <c r="L13" s="9" t="str">
        <f>IF('[1]2_개행동'!L53="","",'[1]2_개행동'!L53)</f>
        <v/>
      </c>
      <c r="M13" s="9" t="str">
        <f>IF('[1]2_개행동'!M53="","",'[1]2_개행동'!M53)</f>
        <v/>
      </c>
      <c r="N13" s="9" t="str">
        <f>IF('[1]2_개행동'!N53="","",'[1]2_개행동'!N53)</f>
        <v/>
      </c>
      <c r="O13" s="9" t="str">
        <f>IF('[1]2_개행동'!O53="","",'[1]2_개행동'!O53)</f>
        <v/>
      </c>
      <c r="P13" s="9" t="str">
        <f>IF('[1]2_개행동'!P53="","",'[1]2_개행동'!P53)</f>
        <v/>
      </c>
      <c r="Q13" s="9" t="str">
        <f>IF('[1]2_개행동'!Q53="","",'[1]2_개행동'!Q53)</f>
        <v/>
      </c>
      <c r="R13" s="9" t="str">
        <f>IF('[1]2_개행동'!R53="","",'[1]2_개행동'!R53)</f>
        <v/>
      </c>
      <c r="S13" s="9" t="str">
        <f>IF('[1]2_개행동'!S53="","",'[1]2_개행동'!S53)</f>
        <v/>
      </c>
      <c r="T13" s="9" t="str">
        <f>IF('[1]2_개행동'!T53="","",'[1]2_개행동'!T53)</f>
        <v/>
      </c>
      <c r="U13" s="9" t="str">
        <f>IF('[1]2_개행동'!U53="","",'[1]2_개행동'!U53)</f>
        <v/>
      </c>
      <c r="V13" s="9" t="str">
        <f>IF('[1]2_개행동'!V53="","",'[1]2_개행동'!V53)</f>
        <v/>
      </c>
      <c r="W13" s="9" t="str">
        <f>IF('[1]2_개행동'!W53="","",'[1]2_개행동'!W53)</f>
        <v/>
      </c>
      <c r="X13" s="9" t="str">
        <f>IF('[1]2_개행동'!X53="","",'[1]2_개행동'!X53)</f>
        <v/>
      </c>
      <c r="Y13" s="9" t="str">
        <f>IF('[1]2_개행동'!Y53="","",'[1]2_개행동'!Y53)</f>
        <v/>
      </c>
      <c r="Z13" s="9" t="str">
        <f>IF('[1]2_개행동'!Z53="","",'[1]2_개행동'!Z53)</f>
        <v/>
      </c>
      <c r="AA13" s="9" t="str">
        <f>IF('[1]2_개행동'!AA53="","",'[1]2_개행동'!AA53)</f>
        <v/>
      </c>
      <c r="AB13" s="9" t="str">
        <f>IF('[1]2_개행동'!AB53="","",'[1]2_개행동'!AB53)</f>
        <v/>
      </c>
      <c r="AC13" s="9" t="str">
        <f>IF('[1]2_개행동'!AC53="","",'[1]2_개행동'!AC53)</f>
        <v/>
      </c>
    </row>
    <row r="14" spans="1:29" ht="80.099999999999994" customHeight="1">
      <c r="A14" s="5" t="s">
        <v>118</v>
      </c>
      <c r="B14" s="6" t="str">
        <f>IF('[1]2_개행동'!B51="","",'[1]2_개행동'!B51)</f>
        <v>[낯선 접촉] 몸의 중심 ※정지선에서 자발적으로 손 닿는 곳에 있고 회피하지 않을 때 최대 3초. 안 왔거나 접촉 전 중단이면 빈칸·개53 경로 기록. 보호자 접촉과 반대 부호·다른 조건임.</v>
      </c>
      <c r="C14" s="6" t="str">
        <f>IF('[1]2_개행동'!C51="","",'[1]2_개행동'!C51)</f>
        <v>뒤로 물러남 · 옆으로 피함 · 등을 돌림</v>
      </c>
      <c r="D14" s="6" t="str">
        <f>IF('[1]2_개행동'!D51="","",'[1]2_개행동'!D51)</f>
        <v>선 자리를 지킴 · 몸을 앞으로 옮기지 않음</v>
      </c>
      <c r="E14" s="6" t="str">
        <f>IF('[1]2_개행동'!E51="","",'[1]2_개행동'!E51)</f>
        <v>앞으로 살짝 기울여 손을 받음</v>
      </c>
      <c r="F14" s="6" t="str">
        <f>IF('[1]2_개행동'!F51="","",'[1]2_개행동'!F51)</f>
        <v>몸이 닿을 만큼 앞으로 붙임</v>
      </c>
      <c r="G14" s="6" t="str">
        <f>IF('[1]2_개행동'!G51="","",'[1]2_개행동'!G51)</f>
        <v>몸을 얹거나 올라탐 · 뛰어오름 · 떨어지지 않음</v>
      </c>
      <c r="H14" s="6" t="str">
        <f>IF('[1]2_개행동'!H51="","",'[1]2_개행동'!H51)</f>
        <v>사회성 — 사람</v>
      </c>
      <c r="I14" s="6" t="str">
        <f>IF('[1]2_개행동'!I51="","",'[1]2_개행동'!I51)</f>
        <v>양쪽·인사</v>
      </c>
      <c r="J14" s="9" t="str">
        <f>IF('[1]2_개행동'!J51="","",'[1]2_개행동'!J51)</f>
        <v/>
      </c>
      <c r="K14" s="9" t="str">
        <f>IF('[1]2_개행동'!K51="","",'[1]2_개행동'!K51)</f>
        <v/>
      </c>
      <c r="L14" s="9" t="str">
        <f>IF('[1]2_개행동'!L51="","",'[1]2_개행동'!L51)</f>
        <v/>
      </c>
      <c r="M14" s="9" t="str">
        <f>IF('[1]2_개행동'!M51="","",'[1]2_개행동'!M51)</f>
        <v/>
      </c>
      <c r="N14" s="9" t="str">
        <f>IF('[1]2_개행동'!N51="","",'[1]2_개행동'!N51)</f>
        <v/>
      </c>
      <c r="O14" s="9" t="str">
        <f>IF('[1]2_개행동'!O51="","",'[1]2_개행동'!O51)</f>
        <v/>
      </c>
      <c r="P14" s="9" t="str">
        <f>IF('[1]2_개행동'!P51="","",'[1]2_개행동'!P51)</f>
        <v/>
      </c>
      <c r="Q14" s="9" t="str">
        <f>IF('[1]2_개행동'!Q51="","",'[1]2_개행동'!Q51)</f>
        <v/>
      </c>
      <c r="R14" s="9" t="str">
        <f>IF('[1]2_개행동'!R51="","",'[1]2_개행동'!R51)</f>
        <v/>
      </c>
      <c r="S14" s="9" t="str">
        <f>IF('[1]2_개행동'!S51="","",'[1]2_개행동'!S51)</f>
        <v/>
      </c>
      <c r="T14" s="9" t="str">
        <f>IF('[1]2_개행동'!T51="","",'[1]2_개행동'!T51)</f>
        <v/>
      </c>
      <c r="U14" s="9" t="str">
        <f>IF('[1]2_개행동'!U51="","",'[1]2_개행동'!U51)</f>
        <v/>
      </c>
      <c r="V14" s="9" t="str">
        <f>IF('[1]2_개행동'!V51="","",'[1]2_개행동'!V51)</f>
        <v/>
      </c>
      <c r="W14" s="9" t="str">
        <f>IF('[1]2_개행동'!W51="","",'[1]2_개행동'!W51)</f>
        <v/>
      </c>
      <c r="X14" s="9" t="str">
        <f>IF('[1]2_개행동'!X51="","",'[1]2_개행동'!X51)</f>
        <v/>
      </c>
      <c r="Y14" s="9" t="str">
        <f>IF('[1]2_개행동'!Y51="","",'[1]2_개행동'!Y51)</f>
        <v/>
      </c>
      <c r="Z14" s="9" t="str">
        <f>IF('[1]2_개행동'!Z51="","",'[1]2_개행동'!Z51)</f>
        <v/>
      </c>
      <c r="AA14" s="9" t="str">
        <f>IF('[1]2_개행동'!AA51="","",'[1]2_개행동'!AA51)</f>
        <v/>
      </c>
      <c r="AB14" s="9" t="str">
        <f>IF('[1]2_개행동'!AB51="","",'[1]2_개행동'!AB51)</f>
        <v/>
      </c>
      <c r="AC14" s="9" t="str">
        <f>IF('[1]2_개행동'!AC51="","",'[1]2_개행동'!AC51)</f>
        <v/>
      </c>
    </row>
    <row r="15" spans="1:29" ht="80.099999999999994" customHeight="1">
      <c r="A15" s="5" t="s">
        <v>119</v>
      </c>
      <c r="B15" s="6" t="str">
        <f>IF('[1]2_개행동'!B52="","",'[1]2_개행동'!B52)</f>
        <v>[낯선 접촉] 몸의 움직임 · 최대 3초 ※몸통 자세·자발적 움직임을 함께 봄. 엉덩이 흔들림이나 C자 자세가 없다는 이유만으로 긴장 판정하지 않음. 미접촉은 빈칸.</v>
      </c>
      <c r="C15" s="6" t="str">
        <f>IF('[1]2_개행동'!C52="","",'[1]2_개행동'!C52)</f>
        <v>몸통·다리가 굳고 자세 변화 없이 버티는 모습</v>
      </c>
      <c r="D15" s="6" t="str">
        <f>IF('[1]2_개행동'!D52="","",'[1]2_개행동'!D52)</f>
        <v>몸을 낮추거나 긴장된 자세로 움직임이 제한됨</v>
      </c>
      <c r="E15" s="6" t="str">
        <f>IF('[1]2_개행동'!E52="","",'[1]2_개행동'!E52)</f>
        <v>뻣뻣한 버팀 없이 자연스러운 자세를 유지·변경함; 엉덩이 흔들림은 필수 아님</v>
      </c>
      <c r="F15" s="6" t="str">
        <f>IF('[1]2_개행동'!F52="","",'[1]2_개행동'!F52)</f>
        <v>몸을 크게 흔들거나 발 구르기·회전 움직임이 주됨</v>
      </c>
      <c r="G15" s="6" t="str">
        <f>IF('[1]2_개행동'!G52="","",'[1]2_개행동'!G52)</f>
        <v>반복 뛰어오름·몸 부딪치기 때문에 접촉 유지가 어려움</v>
      </c>
      <c r="H15" s="6" t="str">
        <f>IF('[1]2_개행동'!H52="","",'[1]2_개행동'!H52)</f>
        <v>사회성 — 사람</v>
      </c>
      <c r="I15" s="6" t="str">
        <f>IF('[1]2_개행동'!I52="","",'[1]2_개행동'!I52)</f>
        <v>양쪽·몸상태</v>
      </c>
      <c r="J15" s="9" t="str">
        <f>IF('[1]2_개행동'!J52="","",'[1]2_개행동'!J52)</f>
        <v/>
      </c>
      <c r="K15" s="9" t="str">
        <f>IF('[1]2_개행동'!K52="","",'[1]2_개행동'!K52)</f>
        <v/>
      </c>
      <c r="L15" s="9" t="str">
        <f>IF('[1]2_개행동'!L52="","",'[1]2_개행동'!L52)</f>
        <v/>
      </c>
      <c r="M15" s="9" t="str">
        <f>IF('[1]2_개행동'!M52="","",'[1]2_개행동'!M52)</f>
        <v/>
      </c>
      <c r="N15" s="9" t="str">
        <f>IF('[1]2_개행동'!N52="","",'[1]2_개행동'!N52)</f>
        <v/>
      </c>
      <c r="O15" s="9" t="str">
        <f>IF('[1]2_개행동'!O52="","",'[1]2_개행동'!O52)</f>
        <v/>
      </c>
      <c r="P15" s="9" t="str">
        <f>IF('[1]2_개행동'!P52="","",'[1]2_개행동'!P52)</f>
        <v/>
      </c>
      <c r="Q15" s="9" t="str">
        <f>IF('[1]2_개행동'!Q52="","",'[1]2_개행동'!Q52)</f>
        <v/>
      </c>
      <c r="R15" s="9" t="str">
        <f>IF('[1]2_개행동'!R52="","",'[1]2_개행동'!R52)</f>
        <v/>
      </c>
      <c r="S15" s="9" t="str">
        <f>IF('[1]2_개행동'!S52="","",'[1]2_개행동'!S52)</f>
        <v/>
      </c>
      <c r="T15" s="9" t="str">
        <f>IF('[1]2_개행동'!T52="","",'[1]2_개행동'!T52)</f>
        <v/>
      </c>
      <c r="U15" s="9" t="str">
        <f>IF('[1]2_개행동'!U52="","",'[1]2_개행동'!U52)</f>
        <v/>
      </c>
      <c r="V15" s="9" t="str">
        <f>IF('[1]2_개행동'!V52="","",'[1]2_개행동'!V52)</f>
        <v/>
      </c>
      <c r="W15" s="9" t="str">
        <f>IF('[1]2_개행동'!W52="","",'[1]2_개행동'!W52)</f>
        <v/>
      </c>
      <c r="X15" s="9" t="str">
        <f>IF('[1]2_개행동'!X52="","",'[1]2_개행동'!X52)</f>
        <v/>
      </c>
      <c r="Y15" s="9" t="str">
        <f>IF('[1]2_개행동'!Y52="","",'[1]2_개행동'!Y52)</f>
        <v/>
      </c>
      <c r="Z15" s="9" t="str">
        <f>IF('[1]2_개행동'!Z52="","",'[1]2_개행동'!Z52)</f>
        <v/>
      </c>
      <c r="AA15" s="9" t="str">
        <f>IF('[1]2_개행동'!AA52="","",'[1]2_개행동'!AA52)</f>
        <v/>
      </c>
      <c r="AB15" s="9" t="str">
        <f>IF('[1]2_개행동'!AB52="","",'[1]2_개행동'!AB52)</f>
        <v/>
      </c>
      <c r="AC15" s="9" t="str">
        <f>IF('[1]2_개행동'!AC52="","",'[1]2_개행동'!AC52)</f>
        <v/>
      </c>
    </row>
    <row r="16" spans="1:29" ht="63.95" customHeight="1">
      <c r="A16" s="5" t="s">
        <v>120</v>
      </c>
      <c r="B16" s="6" t="str">
        <f>IF('[1]1_바디시그널'!B45="","",'[1]1_바디시그널'!B45)</f>
        <v>[낯선 접촉] 꼬리 — 위치 ※형태 관찰. 기준 20초(바38)와 원값을 나란히 봄. 기준도 낯선 장소에서의 상태이며 평소 꼬리가 아님. 가림·단미 등 판독 불가면 빈칸.</v>
      </c>
      <c r="C16" s="6" t="str">
        <f>IF('[1]1_바디시그널'!C45="","",'[1]1_바디시그널'!C45)</f>
        <v>다리 사이로 말아 넣음</v>
      </c>
      <c r="D16" s="6" t="str">
        <f>IF('[1]1_바디시그널'!D45="","",'[1]1_바디시그널'!D45)</f>
        <v>등선보다 아래로 늘어뜨림 — 꼬리끝이 바닥을 가리킴</v>
      </c>
      <c r="E16" s="6" t="str">
        <f>IF('[1]1_바디시그널'!E45="","",'[1]1_바디시그널'!E45)</f>
        <v>등선 높이 — 꼬리끝이 바닥보다 위</v>
      </c>
      <c r="F16" s="6" t="str">
        <f>IF('[1]1_바디시그널'!F45="","",'[1]1_바디시그널'!F45)</f>
        <v>등선보다 높이 올라옴</v>
      </c>
      <c r="G16" s="6" t="str">
        <f>IF('[1]1_바디시그널'!G45="","",'[1]1_바디시그널'!G45)</f>
        <v>등 위로 높이 세우거나 말아 올림</v>
      </c>
      <c r="H16" s="6" t="str">
        <f>IF('[1]1_바디시그널'!H45="","",'[1]1_바디시그널'!H45)</f>
        <v>별도 관찰 · 꼬리 형태</v>
      </c>
      <c r="I16" s="6" t="str">
        <f>IF('[1]1_바디시그널'!I45="","",'[1]1_바디시그널'!I45)</f>
        <v>양쪽·위치</v>
      </c>
      <c r="J16" s="9" t="str">
        <f>IF('[1]1_바디시그널'!J45="","",'[1]1_바디시그널'!J45)</f>
        <v/>
      </c>
      <c r="K16" s="9" t="str">
        <f>IF('[1]1_바디시그널'!K45="","",'[1]1_바디시그널'!K45)</f>
        <v/>
      </c>
      <c r="L16" s="9" t="str">
        <f>IF('[1]1_바디시그널'!L45="","",'[1]1_바디시그널'!L45)</f>
        <v/>
      </c>
      <c r="M16" s="9" t="str">
        <f>IF('[1]1_바디시그널'!M45="","",'[1]1_바디시그널'!M45)</f>
        <v/>
      </c>
      <c r="N16" s="9" t="str">
        <f>IF('[1]1_바디시그널'!N45="","",'[1]1_바디시그널'!N45)</f>
        <v/>
      </c>
      <c r="O16" s="9" t="str">
        <f>IF('[1]1_바디시그널'!O45="","",'[1]1_바디시그널'!O45)</f>
        <v/>
      </c>
      <c r="P16" s="9" t="str">
        <f>IF('[1]1_바디시그널'!P45="","",'[1]1_바디시그널'!P45)</f>
        <v/>
      </c>
      <c r="Q16" s="9" t="str">
        <f>IF('[1]1_바디시그널'!Q45="","",'[1]1_바디시그널'!Q45)</f>
        <v/>
      </c>
      <c r="R16" s="9" t="str">
        <f>IF('[1]1_바디시그널'!R45="","",'[1]1_바디시그널'!R45)</f>
        <v/>
      </c>
      <c r="S16" s="9" t="str">
        <f>IF('[1]1_바디시그널'!S45="","",'[1]1_바디시그널'!S45)</f>
        <v/>
      </c>
      <c r="T16" s="9" t="str">
        <f>IF('[1]1_바디시그널'!T45="","",'[1]1_바디시그널'!T45)</f>
        <v/>
      </c>
      <c r="U16" s="9" t="str">
        <f>IF('[1]1_바디시그널'!U45="","",'[1]1_바디시그널'!U45)</f>
        <v/>
      </c>
      <c r="V16" s="9" t="str">
        <f>IF('[1]1_바디시그널'!V45="","",'[1]1_바디시그널'!V45)</f>
        <v/>
      </c>
      <c r="W16" s="9" t="str">
        <f>IF('[1]1_바디시그널'!W45="","",'[1]1_바디시그널'!W45)</f>
        <v/>
      </c>
      <c r="X16" s="9" t="str">
        <f>IF('[1]1_바디시그널'!X45="","",'[1]1_바디시그널'!X45)</f>
        <v/>
      </c>
      <c r="Y16" s="9" t="str">
        <f>IF('[1]1_바디시그널'!Y45="","",'[1]1_바디시그널'!Y45)</f>
        <v/>
      </c>
      <c r="Z16" s="9" t="str">
        <f>IF('[1]1_바디시그널'!Z45="","",'[1]1_바디시그널'!Z45)</f>
        <v/>
      </c>
      <c r="AA16" s="9" t="str">
        <f>IF('[1]1_바디시그널'!AA45="","",'[1]1_바디시그널'!AA45)</f>
        <v/>
      </c>
      <c r="AB16" s="9" t="str">
        <f>IF('[1]1_바디시그널'!AB45="","",'[1]1_바디시그널'!AB45)</f>
        <v/>
      </c>
      <c r="AC16" s="9" t="str">
        <f>IF('[1]1_바디시그널'!AC45="","",'[1]1_바디시그널'!AC45)</f>
        <v/>
      </c>
    </row>
    <row r="17" spans="1:29" ht="63.95" customHeight="1">
      <c r="A17" s="5" t="s">
        <v>121</v>
      </c>
      <c r="B17" s="6" t="str">
        <f>IF('[1]2_개행동'!B54="","",'[1]2_개행동'!B54)</f>
        <v>[낯선] 퇴장 시 따라가기 ※요원이 정지선에서 돌아 첫걸음을 뗀 순간~안전문 통과. 추가 부름·손짓 없음. 회피 후 조기 중단이면 정상 시행과 구분해 비우고 메모.</v>
      </c>
      <c r="C17" s="6" t="str">
        <f>IF('[1]2_개행동'!C54="","",'[1]2_개행동'!C54)</f>
        <v>요원 퇴장 시작 뒤 반대쪽으로 이동하거나 뒤로 피함</v>
      </c>
      <c r="D17" s="6" t="str">
        <f>IF('[1]2_개행동'!D54="","",'[1]2_개행동'!D54)</f>
        <v>요원 방향으로 움직이지 않음</v>
      </c>
      <c r="E17" s="6" t="str">
        <f>IF('[1]2_개행동'!E54="","",'[1]2_개행동'!E54)</f>
        <v>요원 방향으로 1~2걸음 움직인 뒤 멈추거나 다른 행동</v>
      </c>
      <c r="F17" s="6" t="str">
        <f>IF('[1]2_개행동'!F54="","",'[1]2_개행동'!F54)</f>
        <v>3걸음 이상 요원 방향으로 이동, 아래 +2 행동 없음</v>
      </c>
      <c r="G17" s="6" t="str">
        <f>IF('[1]2_개행동'!G54="","",'[1]2_개행동'!G54)</f>
        <v>따라가며 앞을 가로막거나 뛰어오름·앞발 올림</v>
      </c>
      <c r="H17" s="6" t="str">
        <f>IF('[1]2_개행동'!H54="","",'[1]2_개행동'!H54)</f>
        <v>사회성 — 사람</v>
      </c>
      <c r="I17" s="6" t="str">
        <f>IF('[1]2_개행동'!I54="","",'[1]2_개행동'!I54)</f>
        <v>양쪽·인사</v>
      </c>
      <c r="J17" s="9" t="str">
        <f>IF('[1]2_개행동'!J54="","",'[1]2_개행동'!J54)</f>
        <v/>
      </c>
      <c r="K17" s="9" t="str">
        <f>IF('[1]2_개행동'!K54="","",'[1]2_개행동'!K54)</f>
        <v/>
      </c>
      <c r="L17" s="9" t="str">
        <f>IF('[1]2_개행동'!L54="","",'[1]2_개행동'!L54)</f>
        <v/>
      </c>
      <c r="M17" s="9" t="str">
        <f>IF('[1]2_개행동'!M54="","",'[1]2_개행동'!M54)</f>
        <v/>
      </c>
      <c r="N17" s="9" t="str">
        <f>IF('[1]2_개행동'!N54="","",'[1]2_개행동'!N54)</f>
        <v/>
      </c>
      <c r="O17" s="9" t="str">
        <f>IF('[1]2_개행동'!O54="","",'[1]2_개행동'!O54)</f>
        <v/>
      </c>
      <c r="P17" s="9" t="str">
        <f>IF('[1]2_개행동'!P54="","",'[1]2_개행동'!P54)</f>
        <v/>
      </c>
      <c r="Q17" s="9" t="str">
        <f>IF('[1]2_개행동'!Q54="","",'[1]2_개행동'!Q54)</f>
        <v/>
      </c>
      <c r="R17" s="9" t="str">
        <f>IF('[1]2_개행동'!R54="","",'[1]2_개행동'!R54)</f>
        <v/>
      </c>
      <c r="S17" s="9" t="str">
        <f>IF('[1]2_개행동'!S54="","",'[1]2_개행동'!S54)</f>
        <v/>
      </c>
      <c r="T17" s="9" t="str">
        <f>IF('[1]2_개행동'!T54="","",'[1]2_개행동'!T54)</f>
        <v/>
      </c>
      <c r="U17" s="9" t="str">
        <f>IF('[1]2_개행동'!U54="","",'[1]2_개행동'!U54)</f>
        <v/>
      </c>
      <c r="V17" s="9" t="str">
        <f>IF('[1]2_개행동'!V54="","",'[1]2_개행동'!V54)</f>
        <v/>
      </c>
      <c r="W17" s="9" t="str">
        <f>IF('[1]2_개행동'!W54="","",'[1]2_개행동'!W54)</f>
        <v/>
      </c>
      <c r="X17" s="9" t="str">
        <f>IF('[1]2_개행동'!X54="","",'[1]2_개행동'!X54)</f>
        <v/>
      </c>
      <c r="Y17" s="9" t="str">
        <f>IF('[1]2_개행동'!Y54="","",'[1]2_개행동'!Y54)</f>
        <v/>
      </c>
      <c r="Z17" s="9" t="str">
        <f>IF('[1]2_개행동'!Z54="","",'[1]2_개행동'!Z54)</f>
        <v/>
      </c>
      <c r="AA17" s="9" t="str">
        <f>IF('[1]2_개행동'!AA54="","",'[1]2_개행동'!AA54)</f>
        <v/>
      </c>
      <c r="AB17" s="9" t="str">
        <f>IF('[1]2_개행동'!AB54="","",'[1]2_개행동'!AB54)</f>
        <v/>
      </c>
      <c r="AC17" s="9" t="str">
        <f>IF('[1]2_개행동'!AC54="","",'[1]2_개행동'!AC54)</f>
        <v/>
      </c>
    </row>
    <row r="18" spans="1:29" ht="63.95" customHeight="1">
      <c r="A18" s="5" t="s">
        <v>122</v>
      </c>
      <c r="B18" s="6" t="str">
        <f>IF('[1]2_개행동'!B57="","",'[1]2_개행동'!B57)</f>
        <v>[낯선] 보호자 왕복 경로 ※0~3 범주. 갔다가 다시 나온 사실만 기록. 안전기지 효과의 직접 검증·애착 유형 판정에 단독 사용하지 않음.</v>
      </c>
      <c r="C18" s="6" t="str">
        <f>IF('[1]2_개행동'!C57="","",'[1]2_개행동'!C57)</f>
        <v>0 — 보호자에게 가지 않았다</v>
      </c>
      <c r="D18" s="6" t="str">
        <f>IF('[1]2_개행동'!D57="","",'[1]2_개행동'!D57)</f>
        <v>1 — 보호자에게 갔고 그대로 머물렀다</v>
      </c>
      <c r="E18" s="6" t="str">
        <f>IF('[1]2_개행동'!E57="","",'[1]2_개행동'!E57)</f>
        <v>2 — 보호자에게 갔다가 다시 나와 요원 쪽을 살폈다</v>
      </c>
      <c r="F18" s="6" t="str">
        <f>IF('[1]2_개행동'!F57="","",'[1]2_개행동'!F57)</f>
        <v>3 — 갔다 나오기를 두 번 이상 되풀이했다</v>
      </c>
      <c r="G18" s="6" t="str">
        <f>IF('[1]2_개행동'!G57="","",'[1]2_개행동'!G57)</f>
        <v/>
      </c>
      <c r="H18" s="6" t="str">
        <f>IF('[1]2_개행동'!H57="","",'[1]2_개행동'!H57)</f>
        <v>— 참고 (영역 집계 제외)</v>
      </c>
      <c r="I18" s="6" t="str">
        <f>IF('[1]2_개행동'!I57="","",'[1]2_개행동'!I57)</f>
        <v>참고</v>
      </c>
      <c r="J18" s="9" t="str">
        <f>IF('[1]2_개행동'!J57="","",'[1]2_개행동'!J57)</f>
        <v/>
      </c>
      <c r="K18" s="9" t="str">
        <f>IF('[1]2_개행동'!K57="","",'[1]2_개행동'!K57)</f>
        <v/>
      </c>
      <c r="L18" s="9" t="str">
        <f>IF('[1]2_개행동'!L57="","",'[1]2_개행동'!L57)</f>
        <v/>
      </c>
      <c r="M18" s="9" t="str">
        <f>IF('[1]2_개행동'!M57="","",'[1]2_개행동'!M57)</f>
        <v/>
      </c>
      <c r="N18" s="9" t="str">
        <f>IF('[1]2_개행동'!N57="","",'[1]2_개행동'!N57)</f>
        <v/>
      </c>
      <c r="O18" s="9" t="str">
        <f>IF('[1]2_개행동'!O57="","",'[1]2_개행동'!O57)</f>
        <v/>
      </c>
      <c r="P18" s="9" t="str">
        <f>IF('[1]2_개행동'!P57="","",'[1]2_개행동'!P57)</f>
        <v/>
      </c>
      <c r="Q18" s="9" t="str">
        <f>IF('[1]2_개행동'!Q57="","",'[1]2_개행동'!Q57)</f>
        <v/>
      </c>
      <c r="R18" s="9" t="str">
        <f>IF('[1]2_개행동'!R57="","",'[1]2_개행동'!R57)</f>
        <v/>
      </c>
      <c r="S18" s="9" t="str">
        <f>IF('[1]2_개행동'!S57="","",'[1]2_개행동'!S57)</f>
        <v/>
      </c>
      <c r="T18" s="9" t="str">
        <f>IF('[1]2_개행동'!T57="","",'[1]2_개행동'!T57)</f>
        <v/>
      </c>
      <c r="U18" s="9" t="str">
        <f>IF('[1]2_개행동'!U57="","",'[1]2_개행동'!U57)</f>
        <v/>
      </c>
      <c r="V18" s="9" t="str">
        <f>IF('[1]2_개행동'!V57="","",'[1]2_개행동'!V57)</f>
        <v/>
      </c>
      <c r="W18" s="9" t="str">
        <f>IF('[1]2_개행동'!W57="","",'[1]2_개행동'!W57)</f>
        <v/>
      </c>
      <c r="X18" s="9" t="str">
        <f>IF('[1]2_개행동'!X57="","",'[1]2_개행동'!X57)</f>
        <v/>
      </c>
      <c r="Y18" s="9" t="str">
        <f>IF('[1]2_개행동'!Y57="","",'[1]2_개행동'!Y57)</f>
        <v/>
      </c>
      <c r="Z18" s="9" t="str">
        <f>IF('[1]2_개행동'!Z57="","",'[1]2_개행동'!Z57)</f>
        <v/>
      </c>
      <c r="AA18" s="9" t="str">
        <f>IF('[1]2_개행동'!AA57="","",'[1]2_개행동'!AA57)</f>
        <v/>
      </c>
      <c r="AB18" s="9" t="str">
        <f>IF('[1]2_개행동'!AB57="","",'[1]2_개행동'!AB57)</f>
        <v/>
      </c>
      <c r="AC18" s="9" t="str">
        <f>IF('[1]2_개행동'!AC57="","",'[1]2_개행동'!AC57)</f>
        <v/>
      </c>
    </row>
    <row r="19" spans="1:29" ht="60" customHeight="1">
      <c r="A19" s="5" t="s">
        <v>123</v>
      </c>
      <c r="B19" s="6" t="str">
        <f>IF('[1]3_보호자행동'!B17="","",'[1]3_보호자행동'!B17)</f>
        <v>[낯선] 보호자 — 개를 붙잡거나 안아 올렸다  ※0 또는 1 · 발생 기록 · 해당하면 1</v>
      </c>
      <c r="C19" s="6" t="str">
        <f>IF('[1]3_보호자행동'!C17="","",'[1]3_보호자행동'!C17)</f>
        <v>0 — 하지 않았다</v>
      </c>
      <c r="D19" s="6" t="str">
        <f>IF('[1]3_보호자행동'!D17="","",'[1]3_보호자행동'!D17)</f>
        <v>1 — 했다</v>
      </c>
      <c r="E19" s="6" t="str">
        <f>IF('[1]3_보호자행동'!E17="","",'[1]3_보호자행동'!E17)</f>
        <v/>
      </c>
      <c r="F19" s="6" t="str">
        <f>IF('[1]3_보호자행동'!F17="","",'[1]3_보호자행동'!F17)</f>
        <v/>
      </c>
      <c r="G19" s="6" t="str">
        <f>IF('[1]3_보호자행동'!G17="","",'[1]3_보호자행동'!G17)</f>
        <v/>
      </c>
      <c r="H19" s="6" t="str">
        <f>IF('[1]3_보호자행동'!H17="","",'[1]3_보호자행동'!H17)</f>
        <v>발생 기록 · 보23·24의 근거</v>
      </c>
      <c r="I19" s="6" t="str">
        <f>IF('[1]3_보호자행동'!I17="","",'[1]3_보호자행동'!I17)</f>
        <v>참고</v>
      </c>
      <c r="J19" s="9" t="str">
        <f>IF('[1]3_보호자행동'!J17="","",'[1]3_보호자행동'!J17)</f>
        <v/>
      </c>
      <c r="K19" s="9" t="str">
        <f>IF('[1]3_보호자행동'!K17="","",'[1]3_보호자행동'!K17)</f>
        <v/>
      </c>
      <c r="L19" s="9" t="str">
        <f>IF('[1]3_보호자행동'!L17="","",'[1]3_보호자행동'!L17)</f>
        <v/>
      </c>
      <c r="M19" s="9" t="str">
        <f>IF('[1]3_보호자행동'!M17="","",'[1]3_보호자행동'!M17)</f>
        <v/>
      </c>
      <c r="N19" s="9" t="str">
        <f>IF('[1]3_보호자행동'!N17="","",'[1]3_보호자행동'!N17)</f>
        <v/>
      </c>
      <c r="O19" s="9" t="str">
        <f>IF('[1]3_보호자행동'!O17="","",'[1]3_보호자행동'!O17)</f>
        <v/>
      </c>
      <c r="P19" s="9" t="str">
        <f>IF('[1]3_보호자행동'!P17="","",'[1]3_보호자행동'!P17)</f>
        <v/>
      </c>
      <c r="Q19" s="9" t="str">
        <f>IF('[1]3_보호자행동'!Q17="","",'[1]3_보호자행동'!Q17)</f>
        <v/>
      </c>
      <c r="R19" s="9" t="str">
        <f>IF('[1]3_보호자행동'!R17="","",'[1]3_보호자행동'!R17)</f>
        <v/>
      </c>
      <c r="S19" s="9" t="str">
        <f>IF('[1]3_보호자행동'!S17="","",'[1]3_보호자행동'!S17)</f>
        <v/>
      </c>
      <c r="T19" s="9" t="str">
        <f>IF('[1]3_보호자행동'!T17="","",'[1]3_보호자행동'!T17)</f>
        <v/>
      </c>
      <c r="U19" s="9" t="str">
        <f>IF('[1]3_보호자행동'!U17="","",'[1]3_보호자행동'!U17)</f>
        <v/>
      </c>
      <c r="V19" s="9" t="str">
        <f>IF('[1]3_보호자행동'!V17="","",'[1]3_보호자행동'!V17)</f>
        <v/>
      </c>
      <c r="W19" s="9" t="str">
        <f>IF('[1]3_보호자행동'!W17="","",'[1]3_보호자행동'!W17)</f>
        <v/>
      </c>
      <c r="X19" s="9" t="str">
        <f>IF('[1]3_보호자행동'!X17="","",'[1]3_보호자행동'!X17)</f>
        <v/>
      </c>
      <c r="Y19" s="9" t="str">
        <f>IF('[1]3_보호자행동'!Y17="","",'[1]3_보호자행동'!Y17)</f>
        <v/>
      </c>
      <c r="Z19" s="9" t="str">
        <f>IF('[1]3_보호자행동'!Z17="","",'[1]3_보호자행동'!Z17)</f>
        <v/>
      </c>
      <c r="AA19" s="9" t="str">
        <f>IF('[1]3_보호자행동'!AA17="","",'[1]3_보호자행동'!AA17)</f>
        <v/>
      </c>
      <c r="AB19" s="9" t="str">
        <f>IF('[1]3_보호자행동'!AB17="","",'[1]3_보호자행동'!AB17)</f>
        <v/>
      </c>
      <c r="AC19" s="9" t="str">
        <f>IF('[1]3_보호자행동'!AC17="","",'[1]3_보호자행동'!AC17)</f>
        <v/>
      </c>
    </row>
    <row r="20" spans="1:29" ht="60" customHeight="1">
      <c r="A20" s="5" t="s">
        <v>124</v>
      </c>
      <c r="B20" s="6" t="str">
        <f>IF('[1]3_보호자행동'!B40="","",'[1]3_보호자행동'!B40)</f>
        <v>보24 관찰 기회 ※0~3. 찾아온 뒤 개의 반응을 먼저 기록.</v>
      </c>
      <c r="C20" s="6" t="str">
        <f>IF('[1]3_보호자행동'!C40="","",'[1]3_보호자행동'!C40)</f>
        <v>0 — 보호자에게 찾아오지 않음</v>
      </c>
      <c r="D20" s="6" t="str">
        <f>IF('[1]3_보호자행동'!D40="","",'[1]3_보호자행동'!D40)</f>
        <v>1 — 찾아와 머물며 접촉 회피 없음</v>
      </c>
      <c r="E20" s="6" t="str">
        <f>IF('[1]3_보호자행동'!E40="","",'[1]3_보호자행동'!E40)</f>
        <v>2 — 찾아온 뒤 접촉 중 회피가 있었음</v>
      </c>
      <c r="F20" s="6" t="str">
        <f>IF('[1]3_보호자행동'!F40="","",'[1]3_보호자행동'!F40)</f>
        <v>3 — 개의 반응 판독 불가</v>
      </c>
      <c r="G20" s="6" t="str">
        <f>IF('[1]3_보호자행동'!G40="","",'[1]3_보호자행동'!G40)</f>
        <v/>
      </c>
      <c r="H20" s="6" t="str">
        <f>IF('[1]3_보호자행동'!H40="","",'[1]3_보호자행동'!H40)</f>
        <v>조건 기록</v>
      </c>
      <c r="I20" s="6" t="str">
        <f>IF('[1]3_보호자행동'!I40="","",'[1]3_보호자행동'!I40)</f>
        <v>기회</v>
      </c>
      <c r="J20" s="9" t="str">
        <f>IF('[1]3_보호자행동'!J40="","",'[1]3_보호자행동'!J40)</f>
        <v/>
      </c>
      <c r="K20" s="9" t="str">
        <f>IF('[1]3_보호자행동'!K40="","",'[1]3_보호자행동'!K40)</f>
        <v/>
      </c>
      <c r="L20" s="9" t="str">
        <f>IF('[1]3_보호자행동'!L40="","",'[1]3_보호자행동'!L40)</f>
        <v/>
      </c>
      <c r="M20" s="9" t="str">
        <f>IF('[1]3_보호자행동'!M40="","",'[1]3_보호자행동'!M40)</f>
        <v/>
      </c>
      <c r="N20" s="9" t="str">
        <f>IF('[1]3_보호자행동'!N40="","",'[1]3_보호자행동'!N40)</f>
        <v/>
      </c>
      <c r="O20" s="9" t="str">
        <f>IF('[1]3_보호자행동'!O40="","",'[1]3_보호자행동'!O40)</f>
        <v/>
      </c>
      <c r="P20" s="9" t="str">
        <f>IF('[1]3_보호자행동'!P40="","",'[1]3_보호자행동'!P40)</f>
        <v/>
      </c>
      <c r="Q20" s="9" t="str">
        <f>IF('[1]3_보호자행동'!Q40="","",'[1]3_보호자행동'!Q40)</f>
        <v/>
      </c>
      <c r="R20" s="9" t="str">
        <f>IF('[1]3_보호자행동'!R40="","",'[1]3_보호자행동'!R40)</f>
        <v/>
      </c>
      <c r="S20" s="9" t="str">
        <f>IF('[1]3_보호자행동'!S40="","",'[1]3_보호자행동'!S40)</f>
        <v/>
      </c>
      <c r="T20" s="9" t="str">
        <f>IF('[1]3_보호자행동'!T40="","",'[1]3_보호자행동'!T40)</f>
        <v/>
      </c>
      <c r="U20" s="9" t="str">
        <f>IF('[1]3_보호자행동'!U40="","",'[1]3_보호자행동'!U40)</f>
        <v/>
      </c>
      <c r="V20" s="9" t="str">
        <f>IF('[1]3_보호자행동'!V40="","",'[1]3_보호자행동'!V40)</f>
        <v/>
      </c>
      <c r="W20" s="9" t="str">
        <f>IF('[1]3_보호자행동'!W40="","",'[1]3_보호자행동'!W40)</f>
        <v/>
      </c>
      <c r="X20" s="9" t="str">
        <f>IF('[1]3_보호자행동'!X40="","",'[1]3_보호자행동'!X40)</f>
        <v/>
      </c>
      <c r="Y20" s="9" t="str">
        <f>IF('[1]3_보호자행동'!Y40="","",'[1]3_보호자행동'!Y40)</f>
        <v/>
      </c>
      <c r="Z20" s="9" t="str">
        <f>IF('[1]3_보호자행동'!Z40="","",'[1]3_보호자행동'!Z40)</f>
        <v/>
      </c>
      <c r="AA20" s="9" t="str">
        <f>IF('[1]3_보호자행동'!AA40="","",'[1]3_보호자행동'!AA40)</f>
        <v/>
      </c>
      <c r="AB20" s="9" t="str">
        <f>IF('[1]3_보호자행동'!AB40="","",'[1]3_보호자행동'!AB40)</f>
        <v/>
      </c>
      <c r="AC20" s="9" t="str">
        <f>IF('[1]3_보호자행동'!AC40="","",'[1]3_보호자행동'!AC40)</f>
        <v/>
      </c>
    </row>
    <row r="21" spans="1:29" ht="128.1" customHeight="1">
      <c r="A21" s="5" t="s">
        <v>125</v>
      </c>
      <c r="B21" s="6" t="str">
        <f>IF('[1]3_보호자행동'!B24="","",'[1]3_보호자행동'!B24)</f>
        <v>[낯선] 찾아온 개에 대한 접촉 대응 v0.2. 보40=1/2일 때. 개가 먼저 시작한 접촉·움직임을 따르는지, 이후 접근·회피 신호에 따라 대응을 바꾸는지 구분. 해당 근거가 없으면 빈칸+사유.</v>
      </c>
      <c r="C21" s="6" t="str">
        <f>IF('[1]3_보호자행동'!C24="","",'[1]3_보호자행동'!C24)</f>
        <v>-2 (범주): 다가온 개를 밀어내거나 몸을 옮겨 접촉을 피함</v>
      </c>
      <c r="D21" s="6" t="str">
        <f>IF('[1]3_보호자행동'!D24="","",'[1]3_보호자행동'!D24)</f>
        <v>−1: 개가 먼저 기대거나 앞발을 올리는 접촉을 받아 주고, 개가 움직이는 대로 몸·손 위치를 맞춤. 보호자가 새 접촉 형태·방향을 요구하지 않음.</v>
      </c>
      <c r="E21" s="6" t="str">
        <f>IF('[1]3_보호자행동'!E24="","",'[1]3_보호자행동'!E24)</f>
        <v>0: 개의 추가 접근·회피·멈춤을 확인한 뒤 접촉을 시작·멈추거나 방법을 바꿈. 변화 전후의 개 신호와 대응을 보27에 기록.</v>
      </c>
      <c r="F21" s="6" t="str">
        <f>IF('[1]3_보호자행동'!F24="","",'[1]3_보호자행동'!F24)</f>
        <v>+1 (범주): 개가 머무는 동안 보호자가 반복해서 쓰다듬거나 접촉 유지</v>
      </c>
      <c r="G21" s="6" t="str">
        <f>IF('[1]3_보호자행동'!G24="","",'[1]3_보호자행동'!G24)</f>
        <v>+2 (범주): 개를 붙잡거나 안아 올려 보호자 곁에 머물게 함</v>
      </c>
      <c r="H21" s="6" t="str">
        <f>IF('[1]3_보호자행동'!H24="","",'[1]3_보호자행동'!H24)</f>
        <v>보호자 유형 판정 근거
(점수 합계 제외)</v>
      </c>
      <c r="I21" s="6" t="str">
        <f>IF('[1]3_보호자행동'!I24="","",'[1]3_보호자행동'!I24)</f>
        <v>범주 · 유형 근거</v>
      </c>
      <c r="J21" s="9" t="str">
        <f>IF('[1]3_보호자행동'!J24="","",'[1]3_보호자행동'!J24)</f>
        <v/>
      </c>
      <c r="K21" s="9" t="str">
        <f>IF('[1]3_보호자행동'!K24="","",'[1]3_보호자행동'!K24)</f>
        <v/>
      </c>
      <c r="L21" s="9" t="str">
        <f>IF('[1]3_보호자행동'!L24="","",'[1]3_보호자행동'!L24)</f>
        <v/>
      </c>
      <c r="M21" s="9" t="str">
        <f>IF('[1]3_보호자행동'!M24="","",'[1]3_보호자행동'!M24)</f>
        <v/>
      </c>
      <c r="N21" s="9" t="str">
        <f>IF('[1]3_보호자행동'!N24="","",'[1]3_보호자행동'!N24)</f>
        <v/>
      </c>
      <c r="O21" s="9" t="str">
        <f>IF('[1]3_보호자행동'!O24="","",'[1]3_보호자행동'!O24)</f>
        <v/>
      </c>
      <c r="P21" s="9" t="str">
        <f>IF('[1]3_보호자행동'!P24="","",'[1]3_보호자행동'!P24)</f>
        <v/>
      </c>
      <c r="Q21" s="9" t="str">
        <f>IF('[1]3_보호자행동'!Q24="","",'[1]3_보호자행동'!Q24)</f>
        <v/>
      </c>
      <c r="R21" s="9" t="str">
        <f>IF('[1]3_보호자행동'!R24="","",'[1]3_보호자행동'!R24)</f>
        <v/>
      </c>
      <c r="S21" s="9" t="str">
        <f>IF('[1]3_보호자행동'!S24="","",'[1]3_보호자행동'!S24)</f>
        <v/>
      </c>
      <c r="T21" s="9" t="str">
        <f>IF('[1]3_보호자행동'!T24="","",'[1]3_보호자행동'!T24)</f>
        <v/>
      </c>
      <c r="U21" s="9" t="str">
        <f>IF('[1]3_보호자행동'!U24="","",'[1]3_보호자행동'!U24)</f>
        <v/>
      </c>
      <c r="V21" s="9" t="str">
        <f>IF('[1]3_보호자행동'!V24="","",'[1]3_보호자행동'!V24)</f>
        <v/>
      </c>
      <c r="W21" s="9" t="str">
        <f>IF('[1]3_보호자행동'!W24="","",'[1]3_보호자행동'!W24)</f>
        <v/>
      </c>
      <c r="X21" s="9" t="str">
        <f>IF('[1]3_보호자행동'!X24="","",'[1]3_보호자행동'!X24)</f>
        <v/>
      </c>
      <c r="Y21" s="9" t="str">
        <f>IF('[1]3_보호자행동'!Y24="","",'[1]3_보호자행동'!Y24)</f>
        <v/>
      </c>
      <c r="Z21" s="9" t="str">
        <f>IF('[1]3_보호자행동'!Z24="","",'[1]3_보호자행동'!Z24)</f>
        <v/>
      </c>
      <c r="AA21" s="9" t="str">
        <f>IF('[1]3_보호자행동'!AA24="","",'[1]3_보호자행동'!AA24)</f>
        <v/>
      </c>
      <c r="AB21" s="9" t="str">
        <f>IF('[1]3_보호자행동'!AB24="","",'[1]3_보호자행동'!AB24)</f>
        <v/>
      </c>
      <c r="AC21" s="9" t="str">
        <f>IF('[1]3_보호자행동'!AC24="","",'[1]3_보호자행동'!AC24)</f>
        <v/>
      </c>
    </row>
    <row r="22" spans="1:29" ht="60" customHeight="1">
      <c r="A22" s="5" t="s">
        <v>126</v>
      </c>
      <c r="B22" s="6" t="str">
        <f>IF('[1]3_보호자행동'!B27="","",'[1]3_보호자행동'!B27)</f>
        <v>보24 사유・시각</v>
      </c>
      <c r="C22" s="18" t="str">
        <f>IF('[1]3_보호자행동'!C27="","",'[1]3_보호자행동'!C27)</f>
        <v>첫 접근 시각 / 개가 요구한 접촉 / 보호자가 그대로 맞춘 행동 / 이후 신호에 따라 바꾼 행동. 단순 접촉 수용을 조율로 간주하지 않음. −1과 0이 함께 있으면 신호와 대응 변화가 확인된 0을 우선.</v>
      </c>
      <c r="D22" s="18"/>
      <c r="E22" s="18"/>
      <c r="F22" s="18"/>
      <c r="G22" s="18"/>
      <c r="H22" s="6" t="str">
        <f>IF('[1]3_보호자행동'!H27="","",'[1]3_보호자행동'!H27)</f>
        <v/>
      </c>
      <c r="I22" s="6" t="str">
        <f>IF('[1]3_보호자행동'!I27="","",'[1]3_보호자행동'!I27)</f>
        <v/>
      </c>
      <c r="J22" s="11" t="str">
        <f>IF('[1]3_보호자행동'!J27="","",'[1]3_보호자행동'!J27)</f>
        <v/>
      </c>
      <c r="K22" s="11" t="str">
        <f>IF('[1]3_보호자행동'!K27="","",'[1]3_보호자행동'!K27)</f>
        <v/>
      </c>
      <c r="L22" s="11" t="str">
        <f>IF('[1]3_보호자행동'!L27="","",'[1]3_보호자행동'!L27)</f>
        <v/>
      </c>
      <c r="M22" s="11" t="str">
        <f>IF('[1]3_보호자행동'!M27="","",'[1]3_보호자행동'!M27)</f>
        <v/>
      </c>
      <c r="N22" s="11" t="str">
        <f>IF('[1]3_보호자행동'!N27="","",'[1]3_보호자행동'!N27)</f>
        <v/>
      </c>
      <c r="O22" s="11" t="str">
        <f>IF('[1]3_보호자행동'!O27="","",'[1]3_보호자행동'!O27)</f>
        <v/>
      </c>
      <c r="P22" s="11" t="str">
        <f>IF('[1]3_보호자행동'!P27="","",'[1]3_보호자행동'!P27)</f>
        <v/>
      </c>
      <c r="Q22" s="11" t="str">
        <f>IF('[1]3_보호자행동'!Q27="","",'[1]3_보호자행동'!Q27)</f>
        <v/>
      </c>
      <c r="R22" s="11" t="str">
        <f>IF('[1]3_보호자행동'!R27="","",'[1]3_보호자행동'!R27)</f>
        <v/>
      </c>
      <c r="S22" s="11" t="str">
        <f>IF('[1]3_보호자행동'!S27="","",'[1]3_보호자행동'!S27)</f>
        <v/>
      </c>
      <c r="T22" s="11" t="str">
        <f>IF('[1]3_보호자행동'!T27="","",'[1]3_보호자행동'!T27)</f>
        <v/>
      </c>
      <c r="U22" s="11" t="str">
        <f>IF('[1]3_보호자행동'!U27="","",'[1]3_보호자행동'!U27)</f>
        <v/>
      </c>
      <c r="V22" s="11" t="str">
        <f>IF('[1]3_보호자행동'!V27="","",'[1]3_보호자행동'!V27)</f>
        <v/>
      </c>
      <c r="W22" s="11" t="str">
        <f>IF('[1]3_보호자행동'!W27="","",'[1]3_보호자행동'!W27)</f>
        <v/>
      </c>
      <c r="X22" s="11" t="str">
        <f>IF('[1]3_보호자행동'!X27="","",'[1]3_보호자행동'!X27)</f>
        <v/>
      </c>
      <c r="Y22" s="11" t="str">
        <f>IF('[1]3_보호자행동'!Y27="","",'[1]3_보호자행동'!Y27)</f>
        <v/>
      </c>
      <c r="Z22" s="11" t="str">
        <f>IF('[1]3_보호자행동'!Z27="","",'[1]3_보호자행동'!Z27)</f>
        <v/>
      </c>
      <c r="AA22" s="11" t="str">
        <f>IF('[1]3_보호자행동'!AA27="","",'[1]3_보호자행동'!AA27)</f>
        <v/>
      </c>
      <c r="AB22" s="11" t="str">
        <f>IF('[1]3_보호자행동'!AB27="","",'[1]3_보호자행동'!AB27)</f>
        <v/>
      </c>
      <c r="AC22" s="11" t="str">
        <f>IF('[1]3_보호자행동'!AC27="","",'[1]3_보호자행동'!AC27)</f>
        <v/>
      </c>
    </row>
    <row r="23" spans="1:29" ht="80.099999999999994" customHeight="1">
      <c r="A23" s="5" t="s">
        <v>127</v>
      </c>
      <c r="B23" s="6" t="str">
        <f>IF('[1]2_개행동'!B14="","",'[1]2_개행동'!B14)</f>
        <v>[낯선] 몸 상태 ※요원 등장~퇴장 전체의 주된 모습. 접근·접촉·퇴장 단계에서 반대 반응이 있었으면 메모.</v>
      </c>
      <c r="C23" s="6" t="str">
        <f>IF('[1]2_개행동'!C14="","",'[1]2_개행동'!C14)</f>
        <v>관찰 가능 시간의 절반 초과 동안 움직임이 멎고 몸이 뻣뻣함</v>
      </c>
      <c r="D23" s="6" t="str">
        <f>IF('[1]2_개행동'!D14="","",'[1]2_개행동'!D14)</f>
        <v>절반 초과 동안 낮춘 자세·조심스러운 움직임, 지속 굳음은 없음</v>
      </c>
      <c r="E23" s="6" t="str">
        <f>IF('[1]2_개행동'!E14="","",'[1]2_개행동'!E14)</f>
        <v>어느 극단도 절반을 넘지 않음; 주로 자연스러운 자세·이동. 반대 반응 혼재는 메모</v>
      </c>
      <c r="F23" s="6" t="str">
        <f>IF('[1]2_개행동'!F14="","",'[1]2_개행동'!F14)</f>
        <v>절반 초과 동안 같은 경로를 반복 이동하거나 자세를 자주 바꿈; 지속 뛰기 수준은 아님</v>
      </c>
      <c r="G23" s="6" t="str">
        <f>IF('[1]2_개행동'!G14="","",'[1]2_개행동'!G14)</f>
        <v>절반 초과 동안 뛰기·몸 부딪치기·급한 반복 이동이 이어짐</v>
      </c>
      <c r="H23" s="6" t="str">
        <f>IF('[1]2_개행동'!H14="","",'[1]2_개행동'!H14)</f>
        <v>사회성 — 사람</v>
      </c>
      <c r="I23" s="6" t="str">
        <f>IF('[1]2_개행동'!I14="","",'[1]2_개행동'!I14)</f>
        <v>양쪽·몸상태</v>
      </c>
      <c r="J23" s="9" t="str">
        <f>IF('[1]2_개행동'!J14="","",'[1]2_개행동'!J14)</f>
        <v/>
      </c>
      <c r="K23" s="9" t="str">
        <f>IF('[1]2_개행동'!K14="","",'[1]2_개행동'!K14)</f>
        <v/>
      </c>
      <c r="L23" s="9" t="str">
        <f>IF('[1]2_개행동'!L14="","",'[1]2_개행동'!L14)</f>
        <v/>
      </c>
      <c r="M23" s="9" t="str">
        <f>IF('[1]2_개행동'!M14="","",'[1]2_개행동'!M14)</f>
        <v/>
      </c>
      <c r="N23" s="9" t="str">
        <f>IF('[1]2_개행동'!N14="","",'[1]2_개행동'!N14)</f>
        <v/>
      </c>
      <c r="O23" s="9" t="str">
        <f>IF('[1]2_개행동'!O14="","",'[1]2_개행동'!O14)</f>
        <v/>
      </c>
      <c r="P23" s="9" t="str">
        <f>IF('[1]2_개행동'!P14="","",'[1]2_개행동'!P14)</f>
        <v/>
      </c>
      <c r="Q23" s="9" t="str">
        <f>IF('[1]2_개행동'!Q14="","",'[1]2_개행동'!Q14)</f>
        <v/>
      </c>
      <c r="R23" s="9" t="str">
        <f>IF('[1]2_개행동'!R14="","",'[1]2_개행동'!R14)</f>
        <v/>
      </c>
      <c r="S23" s="9" t="str">
        <f>IF('[1]2_개행동'!S14="","",'[1]2_개행동'!S14)</f>
        <v/>
      </c>
      <c r="T23" s="9" t="str">
        <f>IF('[1]2_개행동'!T14="","",'[1]2_개행동'!T14)</f>
        <v/>
      </c>
      <c r="U23" s="9" t="str">
        <f>IF('[1]2_개행동'!U14="","",'[1]2_개행동'!U14)</f>
        <v/>
      </c>
      <c r="V23" s="9" t="str">
        <f>IF('[1]2_개행동'!V14="","",'[1]2_개행동'!V14)</f>
        <v/>
      </c>
      <c r="W23" s="9" t="str">
        <f>IF('[1]2_개행동'!W14="","",'[1]2_개행동'!W14)</f>
        <v/>
      </c>
      <c r="X23" s="9" t="str">
        <f>IF('[1]2_개행동'!X14="","",'[1]2_개행동'!X14)</f>
        <v/>
      </c>
      <c r="Y23" s="9" t="str">
        <f>IF('[1]2_개행동'!Y14="","",'[1]2_개행동'!Y14)</f>
        <v/>
      </c>
      <c r="Z23" s="9" t="str">
        <f>IF('[1]2_개행동'!Z14="","",'[1]2_개행동'!Z14)</f>
        <v/>
      </c>
      <c r="AA23" s="9" t="str">
        <f>IF('[1]2_개행동'!AA14="","",'[1]2_개행동'!AA14)</f>
        <v/>
      </c>
      <c r="AB23" s="9" t="str">
        <f>IF('[1]2_개행동'!AB14="","",'[1]2_개행동'!AB14)</f>
        <v/>
      </c>
      <c r="AC23" s="9" t="str">
        <f>IF('[1]2_개행동'!AC14="","",'[1]2_개행동'!AC14)</f>
        <v/>
      </c>
    </row>
    <row r="24" spans="1:29" ht="80.099999999999994" customHeight="1">
      <c r="A24" s="5" t="s">
        <v>128</v>
      </c>
      <c r="B24" s="6" t="str">
        <f>IF('[1]2_개행동'!B16="","",'[1]2_개행동'!B16)</f>
        <v>[낯선] 거리 확보·위협 관련 신호 ※0~4 범주. 여러 신호는 가장 큰 코드와 나머지 시각을 기록. 강도의 등간 척도·합산값으로 사용하지 않음. 단독 고개 돌림을 두려움으로 확정하지 않음.</v>
      </c>
      <c r="C24" s="6" t="str">
        <f>IF('[1]2_개행동'!C16="","",'[1]2_개행동'!C16)</f>
        <v>0 — 아래 신호가 관찰되지 않음; 편안함의 확정은 아님</v>
      </c>
      <c r="D24" s="6" t="str">
        <f>IF('[1]2_개행동'!D16="","",'[1]2_개행동'!D16)</f>
        <v>1 — 고개를 돌림</v>
      </c>
      <c r="E24" s="6" t="str">
        <f>IF('[1]2_개행동'!E16="","",'[1]2_개행동'!E16)</f>
        <v>2 — 몸을 빼거나 뒤로 물러남</v>
      </c>
      <c r="F24" s="6" t="str">
        <f>IF('[1]2_개행동'!F16="","",'[1]2_개행동'!F16)</f>
        <v>3 — 돌아서서 벗어남 · 보호자 뒤나 구석으로 감</v>
      </c>
      <c r="G24" s="6" t="str">
        <f>IF('[1]2_개행동'!G16="","",'[1]2_개행동'!G16)</f>
        <v>4 — 으르렁거림 또는 굳은 채 노려봄</v>
      </c>
      <c r="H24" s="6" t="str">
        <f>IF('[1]2_개행동'!H16="","",'[1]2_개행동'!H16)</f>
        <v>사회성 — 사람</v>
      </c>
      <c r="I24" s="6" t="str">
        <f>IF('[1]2_개행동'!I16="","",'[1]2_개행동'!I16)</f>
        <v>범주 · 신호</v>
      </c>
      <c r="J24" s="9" t="str">
        <f>IF('[1]2_개행동'!J16="","",'[1]2_개행동'!J16)</f>
        <v/>
      </c>
      <c r="K24" s="9" t="str">
        <f>IF('[1]2_개행동'!K16="","",'[1]2_개행동'!K16)</f>
        <v/>
      </c>
      <c r="L24" s="9" t="str">
        <f>IF('[1]2_개행동'!L16="","",'[1]2_개행동'!L16)</f>
        <v/>
      </c>
      <c r="M24" s="9" t="str">
        <f>IF('[1]2_개행동'!M16="","",'[1]2_개행동'!M16)</f>
        <v/>
      </c>
      <c r="N24" s="9" t="str">
        <f>IF('[1]2_개행동'!N16="","",'[1]2_개행동'!N16)</f>
        <v/>
      </c>
      <c r="O24" s="9" t="str">
        <f>IF('[1]2_개행동'!O16="","",'[1]2_개행동'!O16)</f>
        <v/>
      </c>
      <c r="P24" s="9" t="str">
        <f>IF('[1]2_개행동'!P16="","",'[1]2_개행동'!P16)</f>
        <v/>
      </c>
      <c r="Q24" s="9" t="str">
        <f>IF('[1]2_개행동'!Q16="","",'[1]2_개행동'!Q16)</f>
        <v/>
      </c>
      <c r="R24" s="9" t="str">
        <f>IF('[1]2_개행동'!R16="","",'[1]2_개행동'!R16)</f>
        <v/>
      </c>
      <c r="S24" s="9" t="str">
        <f>IF('[1]2_개행동'!S16="","",'[1]2_개행동'!S16)</f>
        <v/>
      </c>
      <c r="T24" s="9" t="str">
        <f>IF('[1]2_개행동'!T16="","",'[1]2_개행동'!T16)</f>
        <v/>
      </c>
      <c r="U24" s="9" t="str">
        <f>IF('[1]2_개행동'!U16="","",'[1]2_개행동'!U16)</f>
        <v/>
      </c>
      <c r="V24" s="9" t="str">
        <f>IF('[1]2_개행동'!V16="","",'[1]2_개행동'!V16)</f>
        <v/>
      </c>
      <c r="W24" s="9" t="str">
        <f>IF('[1]2_개행동'!W16="","",'[1]2_개행동'!W16)</f>
        <v/>
      </c>
      <c r="X24" s="9" t="str">
        <f>IF('[1]2_개행동'!X16="","",'[1]2_개행동'!X16)</f>
        <v/>
      </c>
      <c r="Y24" s="9" t="str">
        <f>IF('[1]2_개행동'!Y16="","",'[1]2_개행동'!Y16)</f>
        <v/>
      </c>
      <c r="Z24" s="9" t="str">
        <f>IF('[1]2_개행동'!Z16="","",'[1]2_개행동'!Z16)</f>
        <v/>
      </c>
      <c r="AA24" s="9" t="str">
        <f>IF('[1]2_개행동'!AA16="","",'[1]2_개행동'!AA16)</f>
        <v/>
      </c>
      <c r="AB24" s="9" t="str">
        <f>IF('[1]2_개행동'!AB16="","",'[1]2_개행동'!AB16)</f>
        <v/>
      </c>
      <c r="AC24" s="9" t="str">
        <f>IF('[1]2_개행동'!AC16="","",'[1]2_개행동'!AC16)</f>
        <v/>
      </c>
    </row>
    <row r="25" spans="1:29" ht="63.95" customHeight="1">
      <c r="A25" s="5" t="s">
        <v>129</v>
      </c>
      <c r="B25" s="6" t="str">
        <f>IF('[1]1_바디시그널'!B11="","",'[1]1_바디시그널'!B11)</f>
        <v>[낯선] 꼬리 — 위치 ※형태 관찰. 기준 20초(바38)와 원값을 나란히 봄. 기준도 낯선 장소에서의 상태이며 평소 꼬리가 아님. 가림·단미 등 판독 불가면 빈칸.</v>
      </c>
      <c r="C25" s="6" t="str">
        <f>IF('[1]1_바디시그널'!C11="","",'[1]1_바디시그널'!C11)</f>
        <v>다리 사이로 말아 넣음</v>
      </c>
      <c r="D25" s="6" t="str">
        <f>IF('[1]1_바디시그널'!D11="","",'[1]1_바디시그널'!D11)</f>
        <v>등선보다 아래로 늘어뜨림 — 꼬리끝이 바닥을 가리킴</v>
      </c>
      <c r="E25" s="6" t="str">
        <f>IF('[1]1_바디시그널'!E11="","",'[1]1_바디시그널'!E11)</f>
        <v>등선 높이 — 꼬리끝이 바닥보다 위</v>
      </c>
      <c r="F25" s="6" t="str">
        <f>IF('[1]1_바디시그널'!F11="","",'[1]1_바디시그널'!F11)</f>
        <v>등선보다 높이 올라옴</v>
      </c>
      <c r="G25" s="6" t="str">
        <f>IF('[1]1_바디시그널'!G11="","",'[1]1_바디시그널'!G11)</f>
        <v>등 위로 높이 세우거나 말아 올림</v>
      </c>
      <c r="H25" s="6" t="str">
        <f>IF('[1]1_바디시그널'!H11="","",'[1]1_바디시그널'!H11)</f>
        <v>별도 관찰 · 꼬리 형태</v>
      </c>
      <c r="I25" s="6" t="str">
        <f>IF('[1]1_바디시그널'!I11="","",'[1]1_바디시그널'!I11)</f>
        <v>양쪽·위치</v>
      </c>
      <c r="J25" s="9" t="str">
        <f>IF('[1]1_바디시그널'!J11="","",'[1]1_바디시그널'!J11)</f>
        <v/>
      </c>
      <c r="K25" s="9" t="str">
        <f>IF('[1]1_바디시그널'!K11="","",'[1]1_바디시그널'!K11)</f>
        <v/>
      </c>
      <c r="L25" s="9" t="str">
        <f>IF('[1]1_바디시그널'!L11="","",'[1]1_바디시그널'!L11)</f>
        <v/>
      </c>
      <c r="M25" s="9" t="str">
        <f>IF('[1]1_바디시그널'!M11="","",'[1]1_바디시그널'!M11)</f>
        <v/>
      </c>
      <c r="N25" s="9" t="str">
        <f>IF('[1]1_바디시그널'!N11="","",'[1]1_바디시그널'!N11)</f>
        <v/>
      </c>
      <c r="O25" s="9" t="str">
        <f>IF('[1]1_바디시그널'!O11="","",'[1]1_바디시그널'!O11)</f>
        <v/>
      </c>
      <c r="P25" s="9" t="str">
        <f>IF('[1]1_바디시그널'!P11="","",'[1]1_바디시그널'!P11)</f>
        <v/>
      </c>
      <c r="Q25" s="9" t="str">
        <f>IF('[1]1_바디시그널'!Q11="","",'[1]1_바디시그널'!Q11)</f>
        <v/>
      </c>
      <c r="R25" s="9" t="str">
        <f>IF('[1]1_바디시그널'!R11="","",'[1]1_바디시그널'!R11)</f>
        <v/>
      </c>
      <c r="S25" s="9" t="str">
        <f>IF('[1]1_바디시그널'!S11="","",'[1]1_바디시그널'!S11)</f>
        <v/>
      </c>
      <c r="T25" s="9" t="str">
        <f>IF('[1]1_바디시그널'!T11="","",'[1]1_바디시그널'!T11)</f>
        <v/>
      </c>
      <c r="U25" s="9" t="str">
        <f>IF('[1]1_바디시그널'!U11="","",'[1]1_바디시그널'!U11)</f>
        <v/>
      </c>
      <c r="V25" s="9" t="str">
        <f>IF('[1]1_바디시그널'!V11="","",'[1]1_바디시그널'!V11)</f>
        <v/>
      </c>
      <c r="W25" s="9" t="str">
        <f>IF('[1]1_바디시그널'!W11="","",'[1]1_바디시그널'!W11)</f>
        <v/>
      </c>
      <c r="X25" s="9" t="str">
        <f>IF('[1]1_바디시그널'!X11="","",'[1]1_바디시그널'!X11)</f>
        <v/>
      </c>
      <c r="Y25" s="9" t="str">
        <f>IF('[1]1_바디시그널'!Y11="","",'[1]1_바디시그널'!Y11)</f>
        <v/>
      </c>
      <c r="Z25" s="9" t="str">
        <f>IF('[1]1_바디시그널'!Z11="","",'[1]1_바디시그널'!Z11)</f>
        <v/>
      </c>
      <c r="AA25" s="9" t="str">
        <f>IF('[1]1_바디시그널'!AA11="","",'[1]1_바디시그널'!AA11)</f>
        <v/>
      </c>
      <c r="AB25" s="9" t="str">
        <f>IF('[1]1_바디시그널'!AB11="","",'[1]1_바디시그널'!AB11)</f>
        <v/>
      </c>
      <c r="AC25" s="9" t="str">
        <f>IF('[1]1_바디시그널'!AC11="","",'[1]1_바디시그널'!AC11)</f>
        <v/>
      </c>
    </row>
    <row r="26" spans="1:29" ht="63.95" customHeight="1">
      <c r="A26" s="5" t="s">
        <v>130</v>
      </c>
      <c r="B26" s="6" t="str">
        <f>IF('[1]1_바디시그널'!B41="","",'[1]1_바디시그널'!B41)</f>
        <v>[낯선] 꼬리 — 흔들림 ※원속도 영상에서 관찰. 빠르기는 영상의 연속 움직임으로 확인하며 초당 5장 추출만으로 판단하지 않음. 감정 확정 금지.</v>
      </c>
      <c r="C26" s="6" t="str">
        <f>IF('[1]1_바디시그널'!C41="","",'[1]1_바디시그널'!C41)</f>
        <v>몸도 굳고 꼬리 움직임도 멎은 상태가 주된 모습</v>
      </c>
      <c r="D26" s="6" t="str">
        <f>IF('[1]1_바디시그널'!D41="","",'[1]1_바디시그널'!D41)</f>
        <v>몸은 굳지 않았으나 작은 꼬리 움직임만 간헐적으로 보임</v>
      </c>
      <c r="E26" s="6" t="str">
        <f>IF('[1]1_바디시그널'!E41="","",'[1]1_바디시그널'!E41)</f>
        <v>편안한 자세로 꼬리가 멈춰 있거나 느리고 넓게 움직임</v>
      </c>
      <c r="F26" s="6" t="str">
        <f>IF('[1]1_바디시그널'!F41="","",'[1]1_바디시그널'!F41)</f>
        <v>빠른 좌우 움직임이 주된 모습</v>
      </c>
      <c r="G26" s="6" t="str">
        <f>IF('[1]1_바디시그널'!G41="","",'[1]1_바디시그널'!G41)</f>
        <v>짧은 진폭으로 떨듯 빠른 움직임이 주된 모습</v>
      </c>
      <c r="H26" s="6" t="str">
        <f>IF('[1]1_바디시그널'!H41="","",'[1]1_바디시그널'!H41)</f>
        <v>별도 관찰 · 꼬리 움직임</v>
      </c>
      <c r="I26" s="6" t="str">
        <f>IF('[1]1_바디시그널'!I41="","",'[1]1_바디시그널'!I41)</f>
        <v>양쪽·움직임</v>
      </c>
      <c r="J26" s="9" t="str">
        <f>IF('[1]1_바디시그널'!J41="","",'[1]1_바디시그널'!J41)</f>
        <v/>
      </c>
      <c r="K26" s="9" t="str">
        <f>IF('[1]1_바디시그널'!K41="","",'[1]1_바디시그널'!K41)</f>
        <v/>
      </c>
      <c r="L26" s="9" t="str">
        <f>IF('[1]1_바디시그널'!L41="","",'[1]1_바디시그널'!L41)</f>
        <v/>
      </c>
      <c r="M26" s="9" t="str">
        <f>IF('[1]1_바디시그널'!M41="","",'[1]1_바디시그널'!M41)</f>
        <v/>
      </c>
      <c r="N26" s="9" t="str">
        <f>IF('[1]1_바디시그널'!N41="","",'[1]1_바디시그널'!N41)</f>
        <v/>
      </c>
      <c r="O26" s="9" t="str">
        <f>IF('[1]1_바디시그널'!O41="","",'[1]1_바디시그널'!O41)</f>
        <v/>
      </c>
      <c r="P26" s="9" t="str">
        <f>IF('[1]1_바디시그널'!P41="","",'[1]1_바디시그널'!P41)</f>
        <v/>
      </c>
      <c r="Q26" s="9" t="str">
        <f>IF('[1]1_바디시그널'!Q41="","",'[1]1_바디시그널'!Q41)</f>
        <v/>
      </c>
      <c r="R26" s="9" t="str">
        <f>IF('[1]1_바디시그널'!R41="","",'[1]1_바디시그널'!R41)</f>
        <v/>
      </c>
      <c r="S26" s="9" t="str">
        <f>IF('[1]1_바디시그널'!S41="","",'[1]1_바디시그널'!S41)</f>
        <v/>
      </c>
      <c r="T26" s="9" t="str">
        <f>IF('[1]1_바디시그널'!T41="","",'[1]1_바디시그널'!T41)</f>
        <v/>
      </c>
      <c r="U26" s="9" t="str">
        <f>IF('[1]1_바디시그널'!U41="","",'[1]1_바디시그널'!U41)</f>
        <v/>
      </c>
      <c r="V26" s="9" t="str">
        <f>IF('[1]1_바디시그널'!V41="","",'[1]1_바디시그널'!V41)</f>
        <v/>
      </c>
      <c r="W26" s="9" t="str">
        <f>IF('[1]1_바디시그널'!W41="","",'[1]1_바디시그널'!W41)</f>
        <v/>
      </c>
      <c r="X26" s="9" t="str">
        <f>IF('[1]1_바디시그널'!X41="","",'[1]1_바디시그널'!X41)</f>
        <v/>
      </c>
      <c r="Y26" s="9" t="str">
        <f>IF('[1]1_바디시그널'!Y41="","",'[1]1_바디시그널'!Y41)</f>
        <v/>
      </c>
      <c r="Z26" s="9" t="str">
        <f>IF('[1]1_바디시그널'!Z41="","",'[1]1_바디시그널'!Z41)</f>
        <v/>
      </c>
      <c r="AA26" s="9" t="str">
        <f>IF('[1]1_바디시그널'!AA41="","",'[1]1_바디시그널'!AA41)</f>
        <v/>
      </c>
      <c r="AB26" s="9" t="str">
        <f>IF('[1]1_바디시그널'!AB41="","",'[1]1_바디시그널'!AB41)</f>
        <v/>
      </c>
      <c r="AC26" s="9" t="str">
        <f>IF('[1]1_바디시그널'!AC41="","",'[1]1_바디시그널'!AC41)</f>
        <v/>
      </c>
    </row>
    <row r="27" spans="1:29" ht="63.95" customHeight="1">
      <c r="A27" s="5" t="s">
        <v>131</v>
      </c>
      <c r="B27" s="6" t="str">
        <f>IF('[1]2_개행동'!B49="","",'[1]2_개행동'!B49)</f>
        <v>[낯선] 발성량 ※0~3 시간 비중 · 요원 등장~퇴장. 못 들으면 빈칸; 0은 들었으나 없음. 종류·시각·관찰 초는 메모. 꼬리로 소리 의미를 정하지 않음.</v>
      </c>
      <c r="C27" s="6" t="str">
        <f>IF('[1]2_개행동'!C49="","",'[1]2_개행동'!C49)</f>
        <v>0 — 발성 없음</v>
      </c>
      <c r="D27" s="6" t="str">
        <f>IF('[1]2_개행동'!D49="","",'[1]2_개행동'!D49)</f>
        <v>1 — 발성 누적 비중 0 초과~1/3 이하</v>
      </c>
      <c r="E27" s="6" t="str">
        <f>IF('[1]2_개행동'!E49="","",'[1]2_개행동'!E49)</f>
        <v>2 — 1/3 초과~2/3 이하</v>
      </c>
      <c r="F27" s="6" t="str">
        <f>IF('[1]2_개행동'!F49="","",'[1]2_개행동'!F49)</f>
        <v>3 — 2/3 초과</v>
      </c>
      <c r="G27" s="6" t="str">
        <f>IF('[1]2_개행동'!G49="","",'[1]2_개행동'!G49)</f>
        <v/>
      </c>
      <c r="H27" s="6" t="str">
        <f>IF('[1]2_개행동'!H49="","",'[1]2_개행동'!H49)</f>
        <v>별도 관찰 · 발성</v>
      </c>
      <c r="I27" s="6" t="str">
        <f>IF('[1]2_개행동'!I49="","",'[1]2_개행동'!I49)</f>
        <v>한쪽·발성량</v>
      </c>
      <c r="J27" s="9" t="str">
        <f>IF('[1]2_개행동'!J49="","",'[1]2_개행동'!J49)</f>
        <v/>
      </c>
      <c r="K27" s="9" t="str">
        <f>IF('[1]2_개행동'!K49="","",'[1]2_개행동'!K49)</f>
        <v/>
      </c>
      <c r="L27" s="9" t="str">
        <f>IF('[1]2_개행동'!L49="","",'[1]2_개행동'!L49)</f>
        <v/>
      </c>
      <c r="M27" s="9" t="str">
        <f>IF('[1]2_개행동'!M49="","",'[1]2_개행동'!M49)</f>
        <v/>
      </c>
      <c r="N27" s="9" t="str">
        <f>IF('[1]2_개행동'!N49="","",'[1]2_개행동'!N49)</f>
        <v/>
      </c>
      <c r="O27" s="9" t="str">
        <f>IF('[1]2_개행동'!O49="","",'[1]2_개행동'!O49)</f>
        <v/>
      </c>
      <c r="P27" s="9" t="str">
        <f>IF('[1]2_개행동'!P49="","",'[1]2_개행동'!P49)</f>
        <v/>
      </c>
      <c r="Q27" s="9" t="str">
        <f>IF('[1]2_개행동'!Q49="","",'[1]2_개행동'!Q49)</f>
        <v/>
      </c>
      <c r="R27" s="9" t="str">
        <f>IF('[1]2_개행동'!R49="","",'[1]2_개행동'!R49)</f>
        <v/>
      </c>
      <c r="S27" s="9" t="str">
        <f>IF('[1]2_개행동'!S49="","",'[1]2_개행동'!S49)</f>
        <v/>
      </c>
      <c r="T27" s="9" t="str">
        <f>IF('[1]2_개행동'!T49="","",'[1]2_개행동'!T49)</f>
        <v/>
      </c>
      <c r="U27" s="9" t="str">
        <f>IF('[1]2_개행동'!U49="","",'[1]2_개행동'!U49)</f>
        <v/>
      </c>
      <c r="V27" s="9" t="str">
        <f>IF('[1]2_개행동'!V49="","",'[1]2_개행동'!V49)</f>
        <v/>
      </c>
      <c r="W27" s="9" t="str">
        <f>IF('[1]2_개행동'!W49="","",'[1]2_개행동'!W49)</f>
        <v/>
      </c>
      <c r="X27" s="9" t="str">
        <f>IF('[1]2_개행동'!X49="","",'[1]2_개행동'!X49)</f>
        <v/>
      </c>
      <c r="Y27" s="9" t="str">
        <f>IF('[1]2_개행동'!Y49="","",'[1]2_개행동'!Y49)</f>
        <v/>
      </c>
      <c r="Z27" s="9" t="str">
        <f>IF('[1]2_개행동'!Z49="","",'[1]2_개행동'!Z49)</f>
        <v/>
      </c>
      <c r="AA27" s="9" t="str">
        <f>IF('[1]2_개행동'!AA49="","",'[1]2_개행동'!AA49)</f>
        <v/>
      </c>
      <c r="AB27" s="9" t="str">
        <f>IF('[1]2_개행동'!AB49="","",'[1]2_개행동'!AB49)</f>
        <v/>
      </c>
      <c r="AC27" s="9" t="str">
        <f>IF('[1]2_개행동'!AC49="","",'[1]2_개행동'!AC49)</f>
        <v/>
      </c>
    </row>
    <row r="28" spans="1:29" ht="60" customHeight="1">
      <c r="A28" s="5" t="s">
        <v>132</v>
      </c>
      <c r="B28" s="6" t="str">
        <f>IF('[1]1_바디시그널'!B23="","",'[1]1_바디시그널'!B23)</f>
        <v>[낯선 사람] 몸 털기 횟수  ※구간 전체 30초 · 참고</v>
      </c>
      <c r="C28" s="18" t="str">
        <f>IF('[1]1_바디시그널'!C23="","",'[1]1_바디시그널'!C23)</f>
        <v>온몸을 좌우로 빠르게 턴 횟수를 셉니다. 머리만 흔든 것은 빼고, 몸이 안 보인 구간이면 빈칸(0 과 다름).</v>
      </c>
      <c r="D28" s="18"/>
      <c r="E28" s="18"/>
      <c r="F28" s="18"/>
      <c r="G28" s="18"/>
      <c r="H28" s="6" t="str">
        <f>IF('[1]1_바디시그널'!H23="","",'[1]1_바디시그널'!H23)</f>
        <v>별도 관찰 · 행동 횟수</v>
      </c>
      <c r="I28" s="6" t="str">
        <f>IF('[1]1_바디시그널'!I23="","",'[1]1_바디시그널'!I23)</f>
        <v>참고</v>
      </c>
      <c r="J28" s="9" t="str">
        <f>IF('[1]1_바디시그널'!J23="","",'[1]1_바디시그널'!J23)</f>
        <v/>
      </c>
      <c r="K28" s="9" t="str">
        <f>IF('[1]1_바디시그널'!K23="","",'[1]1_바디시그널'!K23)</f>
        <v/>
      </c>
      <c r="L28" s="9" t="str">
        <f>IF('[1]1_바디시그널'!L23="","",'[1]1_바디시그널'!L23)</f>
        <v/>
      </c>
      <c r="M28" s="9" t="str">
        <f>IF('[1]1_바디시그널'!M23="","",'[1]1_바디시그널'!M23)</f>
        <v/>
      </c>
      <c r="N28" s="9" t="str">
        <f>IF('[1]1_바디시그널'!N23="","",'[1]1_바디시그널'!N23)</f>
        <v/>
      </c>
      <c r="O28" s="9" t="str">
        <f>IF('[1]1_바디시그널'!O23="","",'[1]1_바디시그널'!O23)</f>
        <v/>
      </c>
      <c r="P28" s="9" t="str">
        <f>IF('[1]1_바디시그널'!P23="","",'[1]1_바디시그널'!P23)</f>
        <v/>
      </c>
      <c r="Q28" s="9" t="str">
        <f>IF('[1]1_바디시그널'!Q23="","",'[1]1_바디시그널'!Q23)</f>
        <v/>
      </c>
      <c r="R28" s="9" t="str">
        <f>IF('[1]1_바디시그널'!R23="","",'[1]1_바디시그널'!R23)</f>
        <v/>
      </c>
      <c r="S28" s="9" t="str">
        <f>IF('[1]1_바디시그널'!S23="","",'[1]1_바디시그널'!S23)</f>
        <v/>
      </c>
      <c r="T28" s="9" t="str">
        <f>IF('[1]1_바디시그널'!T23="","",'[1]1_바디시그널'!T23)</f>
        <v/>
      </c>
      <c r="U28" s="9" t="str">
        <f>IF('[1]1_바디시그널'!U23="","",'[1]1_바디시그널'!U23)</f>
        <v/>
      </c>
      <c r="V28" s="9" t="str">
        <f>IF('[1]1_바디시그널'!V23="","",'[1]1_바디시그널'!V23)</f>
        <v/>
      </c>
      <c r="W28" s="9" t="str">
        <f>IF('[1]1_바디시그널'!W23="","",'[1]1_바디시그널'!W23)</f>
        <v/>
      </c>
      <c r="X28" s="9" t="str">
        <f>IF('[1]1_바디시그널'!X23="","",'[1]1_바디시그널'!X23)</f>
        <v/>
      </c>
      <c r="Y28" s="9" t="str">
        <f>IF('[1]1_바디시그널'!Y23="","",'[1]1_바디시그널'!Y23)</f>
        <v/>
      </c>
      <c r="Z28" s="9" t="str">
        <f>IF('[1]1_바디시그널'!Z23="","",'[1]1_바디시그널'!Z23)</f>
        <v/>
      </c>
      <c r="AA28" s="9" t="str">
        <f>IF('[1]1_바디시그널'!AA23="","",'[1]1_바디시그널'!AA23)</f>
        <v/>
      </c>
      <c r="AB28" s="9" t="str">
        <f>IF('[1]1_바디시그널'!AB23="","",'[1]1_바디시그널'!AB23)</f>
        <v/>
      </c>
      <c r="AC28" s="9" t="str">
        <f>IF('[1]1_바디시그널'!AC23="","",'[1]1_바디시그널'!AC23)</f>
        <v/>
      </c>
    </row>
    <row r="29" spans="1:29" ht="60" customHeight="1">
      <c r="A29" s="5" t="s">
        <v>133</v>
      </c>
      <c r="B29" s="6" t="str">
        <f>IF('[1]1_바디시그널'!B24="","",'[1]1_바디시그널'!B24)</f>
        <v>[낯선 사람] 하품 횟수  ※구간 전체 30초 · 참고</v>
      </c>
      <c r="C29" s="18" t="str">
        <f>IF('[1]1_바디시그널'!C24="","",'[1]1_바디시그널'!C24)</f>
        <v>입을 크게 벌렸다 닫은 횟수를 셉니다. 짖음 · 헐떡임과 구분하고, 얼굴이 안 보인 구간이면 빈칸(0 과 다름).</v>
      </c>
      <c r="D29" s="18"/>
      <c r="E29" s="18"/>
      <c r="F29" s="18"/>
      <c r="G29" s="18"/>
      <c r="H29" s="6" t="str">
        <f>IF('[1]1_바디시그널'!H24="","",'[1]1_바디시그널'!H24)</f>
        <v>별도 관찰 · 행동 횟수</v>
      </c>
      <c r="I29" s="6" t="str">
        <f>IF('[1]1_바디시그널'!I24="","",'[1]1_바디시그널'!I24)</f>
        <v>참고</v>
      </c>
      <c r="J29" s="9" t="str">
        <f>IF('[1]1_바디시그널'!J24="","",'[1]1_바디시그널'!J24)</f>
        <v/>
      </c>
      <c r="K29" s="9" t="str">
        <f>IF('[1]1_바디시그널'!K24="","",'[1]1_바디시그널'!K24)</f>
        <v/>
      </c>
      <c r="L29" s="9" t="str">
        <f>IF('[1]1_바디시그널'!L24="","",'[1]1_바디시그널'!L24)</f>
        <v/>
      </c>
      <c r="M29" s="9" t="str">
        <f>IF('[1]1_바디시그널'!M24="","",'[1]1_바디시그널'!M24)</f>
        <v/>
      </c>
      <c r="N29" s="9" t="str">
        <f>IF('[1]1_바디시그널'!N24="","",'[1]1_바디시그널'!N24)</f>
        <v/>
      </c>
      <c r="O29" s="9" t="str">
        <f>IF('[1]1_바디시그널'!O24="","",'[1]1_바디시그널'!O24)</f>
        <v/>
      </c>
      <c r="P29" s="9" t="str">
        <f>IF('[1]1_바디시그널'!P24="","",'[1]1_바디시그널'!P24)</f>
        <v/>
      </c>
      <c r="Q29" s="9" t="str">
        <f>IF('[1]1_바디시그널'!Q24="","",'[1]1_바디시그널'!Q24)</f>
        <v/>
      </c>
      <c r="R29" s="9" t="str">
        <f>IF('[1]1_바디시그널'!R24="","",'[1]1_바디시그널'!R24)</f>
        <v/>
      </c>
      <c r="S29" s="9" t="str">
        <f>IF('[1]1_바디시그널'!S24="","",'[1]1_바디시그널'!S24)</f>
        <v/>
      </c>
      <c r="T29" s="9" t="str">
        <f>IF('[1]1_바디시그널'!T24="","",'[1]1_바디시그널'!T24)</f>
        <v/>
      </c>
      <c r="U29" s="9" t="str">
        <f>IF('[1]1_바디시그널'!U24="","",'[1]1_바디시그널'!U24)</f>
        <v/>
      </c>
      <c r="V29" s="9" t="str">
        <f>IF('[1]1_바디시그널'!V24="","",'[1]1_바디시그널'!V24)</f>
        <v/>
      </c>
      <c r="W29" s="9" t="str">
        <f>IF('[1]1_바디시그널'!W24="","",'[1]1_바디시그널'!W24)</f>
        <v/>
      </c>
      <c r="X29" s="9" t="str">
        <f>IF('[1]1_바디시그널'!X24="","",'[1]1_바디시그널'!X24)</f>
        <v/>
      </c>
      <c r="Y29" s="9" t="str">
        <f>IF('[1]1_바디시그널'!Y24="","",'[1]1_바디시그널'!Y24)</f>
        <v/>
      </c>
      <c r="Z29" s="9" t="str">
        <f>IF('[1]1_바디시그널'!Z24="","",'[1]1_바디시그널'!Z24)</f>
        <v/>
      </c>
      <c r="AA29" s="9" t="str">
        <f>IF('[1]1_바디시그널'!AA24="","",'[1]1_바디시그널'!AA24)</f>
        <v/>
      </c>
      <c r="AB29" s="9" t="str">
        <f>IF('[1]1_바디시그널'!AB24="","",'[1]1_바디시그널'!AB24)</f>
        <v/>
      </c>
      <c r="AC29" s="9" t="str">
        <f>IF('[1]1_바디시그널'!AC24="","",'[1]1_바디시그널'!AC24)</f>
        <v/>
      </c>
    </row>
    <row r="30" spans="1:29" ht="60" customHeight="1">
      <c r="A30" s="5" t="s">
        <v>134</v>
      </c>
      <c r="B30" s="6" t="str">
        <f>IF('[1]1_바디시그널'!B25="","",'[1]1_바디시그널'!B25)</f>
        <v>[낯선 사람] 코 핥기 횟수  ※구간 전체 30초 · 참고</v>
      </c>
      <c r="C30" s="18" t="str">
        <f>IF('[1]1_바디시그널'!C25="","",'[1]1_바디시그널'!C25)</f>
        <v>혀가 나와 코나 윗입술을 스친 횟수를 셉니다. 1초 이상 떨어져야 따로 세고, 먹이를 먹은 뒤 30초는 세지 않습니다. 얼굴이 안 보이면 빈칸.</v>
      </c>
      <c r="D30" s="18"/>
      <c r="E30" s="18"/>
      <c r="F30" s="18"/>
      <c r="G30" s="18"/>
      <c r="H30" s="6" t="str">
        <f>IF('[1]1_바디시그널'!H25="","",'[1]1_바디시그널'!H25)</f>
        <v>별도 관찰 · 행동 횟수</v>
      </c>
      <c r="I30" s="6" t="str">
        <f>IF('[1]1_바디시그널'!I25="","",'[1]1_바디시그널'!I25)</f>
        <v>참고</v>
      </c>
      <c r="J30" s="9" t="str">
        <f>IF('[1]1_바디시그널'!J25="","",'[1]1_바디시그널'!J25)</f>
        <v/>
      </c>
      <c r="K30" s="9" t="str">
        <f>IF('[1]1_바디시그널'!K25="","",'[1]1_바디시그널'!K25)</f>
        <v/>
      </c>
      <c r="L30" s="9" t="str">
        <f>IF('[1]1_바디시그널'!L25="","",'[1]1_바디시그널'!L25)</f>
        <v/>
      </c>
      <c r="M30" s="9" t="str">
        <f>IF('[1]1_바디시그널'!M25="","",'[1]1_바디시그널'!M25)</f>
        <v/>
      </c>
      <c r="N30" s="9" t="str">
        <f>IF('[1]1_바디시그널'!N25="","",'[1]1_바디시그널'!N25)</f>
        <v/>
      </c>
      <c r="O30" s="9" t="str">
        <f>IF('[1]1_바디시그널'!O25="","",'[1]1_바디시그널'!O25)</f>
        <v/>
      </c>
      <c r="P30" s="9" t="str">
        <f>IF('[1]1_바디시그널'!P25="","",'[1]1_바디시그널'!P25)</f>
        <v/>
      </c>
      <c r="Q30" s="9" t="str">
        <f>IF('[1]1_바디시그널'!Q25="","",'[1]1_바디시그널'!Q25)</f>
        <v/>
      </c>
      <c r="R30" s="9" t="str">
        <f>IF('[1]1_바디시그널'!R25="","",'[1]1_바디시그널'!R25)</f>
        <v/>
      </c>
      <c r="S30" s="9" t="str">
        <f>IF('[1]1_바디시그널'!S25="","",'[1]1_바디시그널'!S25)</f>
        <v/>
      </c>
      <c r="T30" s="9" t="str">
        <f>IF('[1]1_바디시그널'!T25="","",'[1]1_바디시그널'!T25)</f>
        <v/>
      </c>
      <c r="U30" s="9" t="str">
        <f>IF('[1]1_바디시그널'!U25="","",'[1]1_바디시그널'!U25)</f>
        <v/>
      </c>
      <c r="V30" s="9" t="str">
        <f>IF('[1]1_바디시그널'!V25="","",'[1]1_바디시그널'!V25)</f>
        <v/>
      </c>
      <c r="W30" s="9" t="str">
        <f>IF('[1]1_바디시그널'!W25="","",'[1]1_바디시그널'!W25)</f>
        <v/>
      </c>
      <c r="X30" s="9" t="str">
        <f>IF('[1]1_바디시그널'!X25="","",'[1]1_바디시그널'!X25)</f>
        <v/>
      </c>
      <c r="Y30" s="9" t="str">
        <f>IF('[1]1_바디시그널'!Y25="","",'[1]1_바디시그널'!Y25)</f>
        <v/>
      </c>
      <c r="Z30" s="9" t="str">
        <f>IF('[1]1_바디시그널'!Z25="","",'[1]1_바디시그널'!Z25)</f>
        <v/>
      </c>
      <c r="AA30" s="9" t="str">
        <f>IF('[1]1_바디시그널'!AA25="","",'[1]1_바디시그널'!AA25)</f>
        <v/>
      </c>
      <c r="AB30" s="9" t="str">
        <f>IF('[1]1_바디시그널'!AB25="","",'[1]1_바디시그널'!AB25)</f>
        <v/>
      </c>
      <c r="AC30" s="9" t="str">
        <f>IF('[1]1_바디시그널'!AC25="","",'[1]1_바디시그널'!AC25)</f>
        <v/>
      </c>
    </row>
  </sheetData>
  <sheetProtection sheet="1" objects="1" scenarios="1" formatColumns="0" formatRows="0"/>
  <mergeCells count="8">
    <mergeCell ref="C28:G28"/>
    <mergeCell ref="C29:G29"/>
    <mergeCell ref="C30:G30"/>
    <mergeCell ref="A1:I1"/>
    <mergeCell ref="A2:I2"/>
    <mergeCell ref="A3:I3"/>
    <mergeCell ref="C10:G10"/>
    <mergeCell ref="C22:G2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9" customWidth="1"/>
    <col min="2" max="2" width="56" customWidth="1"/>
    <col min="3" max="7" width="25" customWidth="1"/>
    <col min="8" max="9" width="19" customWidth="1"/>
    <col min="10" max="29" width="10" customWidth="1"/>
  </cols>
  <sheetData>
    <row r="1" spans="1:29" ht="33.950000000000003" customHeight="1">
      <c r="A1" s="19" t="s">
        <v>9</v>
      </c>
      <c r="B1" s="19"/>
      <c r="C1" s="19"/>
      <c r="D1" s="19"/>
      <c r="E1" s="19"/>
      <c r="F1" s="19"/>
      <c r="G1" s="19"/>
      <c r="H1" s="19"/>
      <c r="I1" s="1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6.1" customHeight="1">
      <c r="A2" s="20" t="s">
        <v>174</v>
      </c>
      <c r="B2" s="20"/>
      <c r="C2" s="20"/>
      <c r="D2" s="20"/>
      <c r="E2" s="20"/>
      <c r="F2" s="20"/>
      <c r="G2" s="20"/>
      <c r="H2" s="20"/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6.1" customHeight="1">
      <c r="A3" s="20" t="s">
        <v>175</v>
      </c>
      <c r="B3" s="20"/>
      <c r="C3" s="20"/>
      <c r="D3" s="20"/>
      <c r="E3" s="20"/>
      <c r="F3" s="20"/>
      <c r="G3" s="20"/>
      <c r="H3" s="20"/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0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tr">
        <f>IF('[1]1_바디시그널'!J4="","",'[1]1_바디시그널'!J4)</f>
        <v>1번</v>
      </c>
      <c r="K4" s="2" t="str">
        <f>IF('[1]1_바디시그널'!K4="","",'[1]1_바디시그널'!K4)</f>
        <v>2번</v>
      </c>
      <c r="L4" s="2" t="str">
        <f>IF('[1]1_바디시그널'!L4="","",'[1]1_바디시그널'!L4)</f>
        <v>3번</v>
      </c>
      <c r="M4" s="2" t="str">
        <f>IF('[1]1_바디시그널'!M4="","",'[1]1_바디시그널'!M4)</f>
        <v>4번</v>
      </c>
      <c r="N4" s="2" t="str">
        <f>IF('[1]1_바디시그널'!N4="","",'[1]1_바디시그널'!N4)</f>
        <v>5번</v>
      </c>
      <c r="O4" s="2" t="str">
        <f>IF('[1]1_바디시그널'!O4="","",'[1]1_바디시그널'!O4)</f>
        <v>6번</v>
      </c>
      <c r="P4" s="2" t="str">
        <f>IF('[1]1_바디시그널'!P4="","",'[1]1_바디시그널'!P4)</f>
        <v>7번</v>
      </c>
      <c r="Q4" s="2" t="str">
        <f>IF('[1]1_바디시그널'!Q4="","",'[1]1_바디시그널'!Q4)</f>
        <v>8번</v>
      </c>
      <c r="R4" s="2" t="str">
        <f>IF('[1]1_바디시그널'!R4="","",'[1]1_바디시그널'!R4)</f>
        <v>9번</v>
      </c>
      <c r="S4" s="2" t="str">
        <f>IF('[1]1_바디시그널'!S4="","",'[1]1_바디시그널'!S4)</f>
        <v>10번</v>
      </c>
      <c r="T4" s="2" t="str">
        <f>IF('[1]1_바디시그널'!T4="","",'[1]1_바디시그널'!T4)</f>
        <v>11번</v>
      </c>
      <c r="U4" s="2" t="str">
        <f>IF('[1]1_바디시그널'!U4="","",'[1]1_바디시그널'!U4)</f>
        <v>12번</v>
      </c>
      <c r="V4" s="2" t="str">
        <f>IF('[1]1_바디시그널'!V4="","",'[1]1_바디시그널'!V4)</f>
        <v>13번</v>
      </c>
      <c r="W4" s="2" t="str">
        <f>IF('[1]1_바디시그널'!W4="","",'[1]1_바디시그널'!W4)</f>
        <v>14번</v>
      </c>
      <c r="X4" s="2" t="str">
        <f>IF('[1]1_바디시그널'!X4="","",'[1]1_바디시그널'!X4)</f>
        <v>15번</v>
      </c>
      <c r="Y4" s="2" t="str">
        <f>IF('[1]1_바디시그널'!Y4="","",'[1]1_바디시그널'!Y4)</f>
        <v>16번</v>
      </c>
      <c r="Z4" s="2" t="str">
        <f>IF('[1]1_바디시그널'!Z4="","",'[1]1_바디시그널'!Z4)</f>
        <v>17번</v>
      </c>
      <c r="AA4" s="2" t="str">
        <f>IF('[1]1_바디시그널'!AA4="","",'[1]1_바디시그널'!AA4)</f>
        <v>18번</v>
      </c>
      <c r="AB4" s="2" t="str">
        <f>IF('[1]1_바디시그널'!AB4="","",'[1]1_바디시그널'!AB4)</f>
        <v>19번</v>
      </c>
      <c r="AC4" s="2" t="str">
        <f>IF('[1]1_바디시그널'!AC4="","",'[1]1_바디시그널'!AC4)</f>
        <v>20번</v>
      </c>
    </row>
    <row r="5" spans="1:29" ht="80.099999999999994" customHeight="1">
      <c r="A5" s="5" t="s">
        <v>135</v>
      </c>
      <c r="B5" s="6" t="str">
        <f>IF('[1]2_개행동'!B34="","",'[1]2_개행동'!B34)</f>
        <v>[퇴장] 새 물건 반응 ※5초 정지+통과. +2→−2→−1→0→+1 순으로 확인. 여러 반응이면 순서·시각 기록. 정지 신호와 목줄 유도 조건은 보14 확인.</v>
      </c>
      <c r="C5" s="6" t="str">
        <f>IF('[1]2_개행동'!C34="","",'[1]2_개행동'!C34)</f>
        <v>버티거나 뒷걸음·큰 우회로 물건에서 거리를 벌림</v>
      </c>
      <c r="D5" s="6" t="str">
        <f>IF('[1]2_개행동'!D34="","",'[1]2_개행동'!D34)</f>
        <v>위 행동 없이 목을 길게 빼 살피거나 머뭇거리지만 코 접촉 없음</v>
      </c>
      <c r="E5" s="6" t="str">
        <f>IF('[1]2_개행동'!E34="","",'[1]2_개행동'!E34)</f>
        <v>위 행동 없이 살피거나 코 접촉 후 정지 시간을 함께 보내고 보호자가 이동하면 따라감</v>
      </c>
      <c r="F5" s="6" t="str">
        <f>IF('[1]2_개행동'!F34="","",'[1]2_개행동'!F34)</f>
        <v>위 행동 없이 곧장 코 접촉하고 정지 시간 중 물건을 지나쳐 이동함</v>
      </c>
      <c r="G5" s="6" t="str">
        <f>IF('[1]2_개행동'!G34="","",'[1]2_개행동'!G34)</f>
        <v>물건을 향해 뛰거나 당겨 발·몸·입으로 강하게 접촉함</v>
      </c>
      <c r="H5" s="6" t="str">
        <f>IF('[1]2_개행동'!H34="","",'[1]2_개행동'!H34)</f>
        <v>퇴장 — 환경 적응</v>
      </c>
      <c r="I5" s="6" t="str">
        <f>IF('[1]2_개행동'!I34="","",'[1]2_개행동'!I34)</f>
        <v>양쪽·살핌</v>
      </c>
      <c r="J5" s="9" t="str">
        <f>IF('[1]2_개행동'!J34="","",'[1]2_개행동'!J34)</f>
        <v/>
      </c>
      <c r="K5" s="9" t="str">
        <f>IF('[1]2_개행동'!K34="","",'[1]2_개행동'!K34)</f>
        <v/>
      </c>
      <c r="L5" s="9" t="str">
        <f>IF('[1]2_개행동'!L34="","",'[1]2_개행동'!L34)</f>
        <v/>
      </c>
      <c r="M5" s="9" t="str">
        <f>IF('[1]2_개행동'!M34="","",'[1]2_개행동'!M34)</f>
        <v/>
      </c>
      <c r="N5" s="9" t="str">
        <f>IF('[1]2_개행동'!N34="","",'[1]2_개행동'!N34)</f>
        <v/>
      </c>
      <c r="O5" s="9" t="str">
        <f>IF('[1]2_개행동'!O34="","",'[1]2_개행동'!O34)</f>
        <v/>
      </c>
      <c r="P5" s="9" t="str">
        <f>IF('[1]2_개행동'!P34="","",'[1]2_개행동'!P34)</f>
        <v/>
      </c>
      <c r="Q5" s="9" t="str">
        <f>IF('[1]2_개행동'!Q34="","",'[1]2_개행동'!Q34)</f>
        <v/>
      </c>
      <c r="R5" s="9" t="str">
        <f>IF('[1]2_개행동'!R34="","",'[1]2_개행동'!R34)</f>
        <v/>
      </c>
      <c r="S5" s="9" t="str">
        <f>IF('[1]2_개행동'!S34="","",'[1]2_개행동'!S34)</f>
        <v/>
      </c>
      <c r="T5" s="9" t="str">
        <f>IF('[1]2_개행동'!T34="","",'[1]2_개행동'!T34)</f>
        <v/>
      </c>
      <c r="U5" s="9" t="str">
        <f>IF('[1]2_개행동'!U34="","",'[1]2_개행동'!U34)</f>
        <v/>
      </c>
      <c r="V5" s="9" t="str">
        <f>IF('[1]2_개행동'!V34="","",'[1]2_개행동'!V34)</f>
        <v/>
      </c>
      <c r="W5" s="9" t="str">
        <f>IF('[1]2_개행동'!W34="","",'[1]2_개행동'!W34)</f>
        <v/>
      </c>
      <c r="X5" s="9" t="str">
        <f>IF('[1]2_개행동'!X34="","",'[1]2_개행동'!X34)</f>
        <v/>
      </c>
      <c r="Y5" s="9" t="str">
        <f>IF('[1]2_개행동'!Y34="","",'[1]2_개행동'!Y34)</f>
        <v/>
      </c>
      <c r="Z5" s="9" t="str">
        <f>IF('[1]2_개행동'!Z34="","",'[1]2_개행동'!Z34)</f>
        <v/>
      </c>
      <c r="AA5" s="9" t="str">
        <f>IF('[1]2_개행동'!AA34="","",'[1]2_개행동'!AA34)</f>
        <v/>
      </c>
      <c r="AB5" s="9" t="str">
        <f>IF('[1]2_개행동'!AB34="","",'[1]2_개행동'!AB34)</f>
        <v/>
      </c>
      <c r="AC5" s="9" t="str">
        <f>IF('[1]2_개행동'!AC34="","",'[1]2_개행동'!AC34)</f>
        <v/>
      </c>
    </row>
    <row r="6" spans="1:29" ht="80.099999999999994" customHeight="1">
      <c r="A6" s="5" t="s">
        <v>36</v>
      </c>
      <c r="B6" s="6" t="str">
        <f>IF('[1]3_보호자행동'!B14="","",'[1]3_보호자행동'!B14)</f>
        <v>[물건] 조건 준수 ※입장·퇴장 각 5초. 복지 중단과 단순 지시 이탈은 메모로 구분. 코드3이면 물건 비교 보류. 제외된 개 모양 물체 항목은 채점하지 않음.</v>
      </c>
      <c r="C6" s="6" t="str">
        <f>IF('[1]3_보호자행동'!C14="","",'[1]3_보호자행동'!C14)</f>
        <v>입장·퇴장 모두 물건 앞에서 5초 · 말·손짓·끌기 없이 멈춤 — 유효</v>
      </c>
      <c r="D6" s="6" t="str">
        <f>IF('[1]3_보호자행동'!D14="","",'[1]3_보호자행동'!D14)</f>
        <v>한 번 말하거나 짧게 멈춤 — 유효(주의)</v>
      </c>
      <c r="E6" s="6" t="str">
        <f>IF('[1]3_보호자행동'!E14="","",'[1]3_보호자행동'!E14)</f>
        <v>멈춤 미실시·유도/끌기 등 조건 이탈 — 개30·32·34 비교 보류</v>
      </c>
      <c r="F6" s="6" t="str">
        <f>IF('[1]3_보호자행동'!F14="","",'[1]3_보호자행동'!F14)</f>
        <v/>
      </c>
      <c r="G6" s="6" t="str">
        <f>IF('[1]3_보호자행동'!G14="","",'[1]3_보호자행동'!G14)</f>
        <v/>
      </c>
      <c r="H6" s="6" t="str">
        <f>IF('[1]3_보호자행동'!H14="","",'[1]3_보호자행동'!H14)</f>
        <v>— 참고 (영역 집계 제외)</v>
      </c>
      <c r="I6" s="6" t="str">
        <f>IF('[1]3_보호자행동'!I14="","",'[1]3_보호자행동'!I14)</f>
        <v>참고</v>
      </c>
      <c r="J6" s="9" t="str">
        <f>IF('[1]3_보호자행동'!J14="","",'[1]3_보호자행동'!J14)</f>
        <v/>
      </c>
      <c r="K6" s="9" t="str">
        <f>IF('[1]3_보호자행동'!K14="","",'[1]3_보호자행동'!K14)</f>
        <v/>
      </c>
      <c r="L6" s="9" t="str">
        <f>IF('[1]3_보호자행동'!L14="","",'[1]3_보호자행동'!L14)</f>
        <v/>
      </c>
      <c r="M6" s="9" t="str">
        <f>IF('[1]3_보호자행동'!M14="","",'[1]3_보호자행동'!M14)</f>
        <v/>
      </c>
      <c r="N6" s="9" t="str">
        <f>IF('[1]3_보호자행동'!N14="","",'[1]3_보호자행동'!N14)</f>
        <v/>
      </c>
      <c r="O6" s="9" t="str">
        <f>IF('[1]3_보호자행동'!O14="","",'[1]3_보호자행동'!O14)</f>
        <v/>
      </c>
      <c r="P6" s="9" t="str">
        <f>IF('[1]3_보호자행동'!P14="","",'[1]3_보호자행동'!P14)</f>
        <v/>
      </c>
      <c r="Q6" s="9" t="str">
        <f>IF('[1]3_보호자행동'!Q14="","",'[1]3_보호자행동'!Q14)</f>
        <v/>
      </c>
      <c r="R6" s="9" t="str">
        <f>IF('[1]3_보호자행동'!R14="","",'[1]3_보호자행동'!R14)</f>
        <v/>
      </c>
      <c r="S6" s="9" t="str">
        <f>IF('[1]3_보호자행동'!S14="","",'[1]3_보호자행동'!S14)</f>
        <v/>
      </c>
      <c r="T6" s="9" t="str">
        <f>IF('[1]3_보호자행동'!T14="","",'[1]3_보호자행동'!T14)</f>
        <v/>
      </c>
      <c r="U6" s="9" t="str">
        <f>IF('[1]3_보호자행동'!U14="","",'[1]3_보호자행동'!U14)</f>
        <v/>
      </c>
      <c r="V6" s="9" t="str">
        <f>IF('[1]3_보호자행동'!V14="","",'[1]3_보호자행동'!V14)</f>
        <v/>
      </c>
      <c r="W6" s="9" t="str">
        <f>IF('[1]3_보호자행동'!W14="","",'[1]3_보호자행동'!W14)</f>
        <v/>
      </c>
      <c r="X6" s="9" t="str">
        <f>IF('[1]3_보호자행동'!X14="","",'[1]3_보호자행동'!X14)</f>
        <v/>
      </c>
      <c r="Y6" s="9" t="str">
        <f>IF('[1]3_보호자행동'!Y14="","",'[1]3_보호자행동'!Y14)</f>
        <v/>
      </c>
      <c r="Z6" s="9" t="str">
        <f>IF('[1]3_보호자행동'!Z14="","",'[1]3_보호자행동'!Z14)</f>
        <v/>
      </c>
      <c r="AA6" s="9" t="str">
        <f>IF('[1]3_보호자행동'!AA14="","",'[1]3_보호자행동'!AA14)</f>
        <v/>
      </c>
      <c r="AB6" s="9" t="str">
        <f>IF('[1]3_보호자행동'!AB14="","",'[1]3_보호자행동'!AB14)</f>
        <v/>
      </c>
      <c r="AC6" s="9" t="str">
        <f>IF('[1]3_보호자행동'!AC14="","",'[1]3_보호자행동'!AC14)</f>
        <v/>
      </c>
    </row>
    <row r="7" spans="1:29" ht="63.95" customHeight="1">
      <c r="A7" s="5" t="s">
        <v>137</v>
      </c>
      <c r="B7" s="6" t="str">
        <f>IF('[1]2_개행동'!B28="","",'[1]2_개행동'!B28)</f>
        <v>[퇴장] 문 통과 ※입장 개5와 같은 관찰 기준. 앞서 나감의 이유나 환경 적응을 이 한 항목으로 정하지 않음.</v>
      </c>
      <c r="C7" s="6" t="str">
        <f>IF('[1]2_개행동'!C28="","",'[1]2_개행동'!C28)</f>
        <v>문턱 앞 버팀·우회로 자발 통과하지 못함; 유도·안기·당김은 별도 기록</v>
      </c>
      <c r="D7" s="6" t="str">
        <f>IF('[1]2_개행동'!D28="","",'[1]2_개행동'!D28)</f>
        <v>자발 통과했으나 보호자 뒤에서 문턱을 넘음</v>
      </c>
      <c r="E7" s="6" t="str">
        <f>IF('[1]2_개행동'!E28="","",'[1]2_개행동'!E28)</f>
        <v>보호자와 나란히 문턱을 넘음</v>
      </c>
      <c r="F7" s="6" t="str">
        <f>IF('[1]2_개행동'!F28="","",'[1]2_개행동'!F28)</f>
        <v>보호자보다 앞서 걸어 문턱을 넘음</v>
      </c>
      <c r="G7" s="6" t="str">
        <f>IF('[1]2_개행동'!G28="","",'[1]2_개행동'!G28)</f>
        <v>앞서 뛰거나 줄이 당겨진 채 문턱을 넘음</v>
      </c>
      <c r="H7" s="6" t="str">
        <f>IF('[1]2_개행동'!H28="","",'[1]2_개행동'!H28)</f>
        <v>퇴장 — 환경 적응</v>
      </c>
      <c r="I7" s="6" t="str">
        <f>IF('[1]2_개행동'!I28="","",'[1]2_개행동'!I28)</f>
        <v>양쪽·통과</v>
      </c>
      <c r="J7" s="9" t="str">
        <f>IF('[1]2_개행동'!J28="","",'[1]2_개행동'!J28)</f>
        <v/>
      </c>
      <c r="K7" s="9" t="str">
        <f>IF('[1]2_개행동'!K28="","",'[1]2_개행동'!K28)</f>
        <v/>
      </c>
      <c r="L7" s="9" t="str">
        <f>IF('[1]2_개행동'!L28="","",'[1]2_개행동'!L28)</f>
        <v/>
      </c>
      <c r="M7" s="9" t="str">
        <f>IF('[1]2_개행동'!M28="","",'[1]2_개행동'!M28)</f>
        <v/>
      </c>
      <c r="N7" s="9" t="str">
        <f>IF('[1]2_개행동'!N28="","",'[1]2_개행동'!N28)</f>
        <v/>
      </c>
      <c r="O7" s="9" t="str">
        <f>IF('[1]2_개행동'!O28="","",'[1]2_개행동'!O28)</f>
        <v/>
      </c>
      <c r="P7" s="9" t="str">
        <f>IF('[1]2_개행동'!P28="","",'[1]2_개행동'!P28)</f>
        <v/>
      </c>
      <c r="Q7" s="9" t="str">
        <f>IF('[1]2_개행동'!Q28="","",'[1]2_개행동'!Q28)</f>
        <v/>
      </c>
      <c r="R7" s="9" t="str">
        <f>IF('[1]2_개행동'!R28="","",'[1]2_개행동'!R28)</f>
        <v/>
      </c>
      <c r="S7" s="9" t="str">
        <f>IF('[1]2_개행동'!S28="","",'[1]2_개행동'!S28)</f>
        <v/>
      </c>
      <c r="T7" s="9" t="str">
        <f>IF('[1]2_개행동'!T28="","",'[1]2_개행동'!T28)</f>
        <v/>
      </c>
      <c r="U7" s="9" t="str">
        <f>IF('[1]2_개행동'!U28="","",'[1]2_개행동'!U28)</f>
        <v/>
      </c>
      <c r="V7" s="9" t="str">
        <f>IF('[1]2_개행동'!V28="","",'[1]2_개행동'!V28)</f>
        <v/>
      </c>
      <c r="W7" s="9" t="str">
        <f>IF('[1]2_개행동'!W28="","",'[1]2_개행동'!W28)</f>
        <v/>
      </c>
      <c r="X7" s="9" t="str">
        <f>IF('[1]2_개행동'!X28="","",'[1]2_개행동'!X28)</f>
        <v/>
      </c>
      <c r="Y7" s="9" t="str">
        <f>IF('[1]2_개행동'!Y28="","",'[1]2_개행동'!Y28)</f>
        <v/>
      </c>
      <c r="Z7" s="9" t="str">
        <f>IF('[1]2_개행동'!Z28="","",'[1]2_개행동'!Z28)</f>
        <v/>
      </c>
      <c r="AA7" s="9" t="str">
        <f>IF('[1]2_개행동'!AA28="","",'[1]2_개행동'!AA28)</f>
        <v/>
      </c>
      <c r="AB7" s="9" t="str">
        <f>IF('[1]2_개행동'!AB28="","",'[1]2_개행동'!AB28)</f>
        <v/>
      </c>
      <c r="AC7" s="9" t="str">
        <f>IF('[1]2_개행동'!AC28="","",'[1]2_개행동'!AC28)</f>
        <v/>
      </c>
    </row>
    <row r="8" spans="1:29" ht="63.95" customHeight="1">
      <c r="A8" s="5" t="s">
        <v>138</v>
      </c>
      <c r="B8" s="6" t="str">
        <f>IF('[1]2_개행동'!B29="","",'[1]2_개행동'!B29)</f>
        <v>[퇴장] 냄새 — 나가면서 코를 쓰는가</v>
      </c>
      <c r="C8" s="6" t="str">
        <f>IF('[1]2_개행동'!C29="","",'[1]2_개행동'!C29)</f>
        <v>0 — 냄새 맡는 모습 관찰</v>
      </c>
      <c r="D8" s="6" t="str">
        <f>IF('[1]2_개행동'!D29="","",'[1]2_개행동'!D29)</f>
        <v>1 — 구간을 볼 수 있었으나 냄새 맡는 모습 없음</v>
      </c>
      <c r="E8" s="6" t="str">
        <f>IF('[1]2_개행동'!E29="","",'[1]2_개행동'!E29)</f>
        <v/>
      </c>
      <c r="F8" s="6" t="str">
        <f>IF('[1]2_개행동'!F29="","",'[1]2_개행동'!F29)</f>
        <v/>
      </c>
      <c r="G8" s="6" t="str">
        <f>IF('[1]2_개행동'!G29="","",'[1]2_개행동'!G29)</f>
        <v/>
      </c>
      <c r="H8" s="6" t="str">
        <f>IF('[1]2_개행동'!H29="","",'[1]2_개행동'!H29)</f>
        <v>— 참고 · 입장↔퇴장 비교용</v>
      </c>
      <c r="I8" s="6" t="str">
        <f>IF('[1]2_개행동'!I29="","",'[1]2_개행동'!I29)</f>
        <v>범주 0/1</v>
      </c>
      <c r="J8" s="9" t="str">
        <f>IF('[1]2_개행동'!J29="","",'[1]2_개행동'!J29)</f>
        <v/>
      </c>
      <c r="K8" s="9" t="str">
        <f>IF('[1]2_개행동'!K29="","",'[1]2_개행동'!K29)</f>
        <v/>
      </c>
      <c r="L8" s="9" t="str">
        <f>IF('[1]2_개행동'!L29="","",'[1]2_개행동'!L29)</f>
        <v/>
      </c>
      <c r="M8" s="9" t="str">
        <f>IF('[1]2_개행동'!M29="","",'[1]2_개행동'!M29)</f>
        <v/>
      </c>
      <c r="N8" s="9" t="str">
        <f>IF('[1]2_개행동'!N29="","",'[1]2_개행동'!N29)</f>
        <v/>
      </c>
      <c r="O8" s="9" t="str">
        <f>IF('[1]2_개행동'!O29="","",'[1]2_개행동'!O29)</f>
        <v/>
      </c>
      <c r="P8" s="9" t="str">
        <f>IF('[1]2_개행동'!P29="","",'[1]2_개행동'!P29)</f>
        <v/>
      </c>
      <c r="Q8" s="9" t="str">
        <f>IF('[1]2_개행동'!Q29="","",'[1]2_개행동'!Q29)</f>
        <v/>
      </c>
      <c r="R8" s="9" t="str">
        <f>IF('[1]2_개행동'!R29="","",'[1]2_개행동'!R29)</f>
        <v/>
      </c>
      <c r="S8" s="9" t="str">
        <f>IF('[1]2_개행동'!S29="","",'[1]2_개행동'!S29)</f>
        <v/>
      </c>
      <c r="T8" s="9" t="str">
        <f>IF('[1]2_개행동'!T29="","",'[1]2_개행동'!T29)</f>
        <v/>
      </c>
      <c r="U8" s="9" t="str">
        <f>IF('[1]2_개행동'!U29="","",'[1]2_개행동'!U29)</f>
        <v/>
      </c>
      <c r="V8" s="9" t="str">
        <f>IF('[1]2_개행동'!V29="","",'[1]2_개행동'!V29)</f>
        <v/>
      </c>
      <c r="W8" s="9" t="str">
        <f>IF('[1]2_개행동'!W29="","",'[1]2_개행동'!W29)</f>
        <v/>
      </c>
      <c r="X8" s="9" t="str">
        <f>IF('[1]2_개행동'!X29="","",'[1]2_개행동'!X29)</f>
        <v/>
      </c>
      <c r="Y8" s="9" t="str">
        <f>IF('[1]2_개행동'!Y29="","",'[1]2_개행동'!Y29)</f>
        <v/>
      </c>
      <c r="Z8" s="9" t="str">
        <f>IF('[1]2_개행동'!Z29="","",'[1]2_개행동'!Z29)</f>
        <v/>
      </c>
      <c r="AA8" s="9" t="str">
        <f>IF('[1]2_개행동'!AA29="","",'[1]2_개행동'!AA29)</f>
        <v/>
      </c>
      <c r="AB8" s="9" t="str">
        <f>IF('[1]2_개행동'!AB29="","",'[1]2_개행동'!AB29)</f>
        <v/>
      </c>
      <c r="AC8" s="9" t="str">
        <f>IF('[1]2_개행동'!AC29="","",'[1]2_개행동'!AC29)</f>
        <v/>
      </c>
    </row>
    <row r="9" spans="1:29" ht="80.099999999999994" customHeight="1">
      <c r="A9" s="5" t="s">
        <v>139</v>
      </c>
      <c r="B9" s="6" t="str">
        <f>IF('[1]2_개행동'!B46="","",'[1]2_개행동'!B46)</f>
        <v>[퇴장] 리드줄 상태 — 줄당김 체크  ※참고 · 목줄을 채운 뒤 문을 나갈 때까지 대체로 어느 쪽이었는지(물건 앞 5초 멈춤은 빼고) — 보6 · 보9 는 이 값과 따로, 당긴 장면 · 버틴 장면이 있었는지로 매깁니다</v>
      </c>
      <c r="C9" s="6" t="str">
        <f>IF('[1]2_개행동'!C46="","",'[1]2_개행동'!C46)</f>
        <v>뒤에서 버텨 줄이 뒤로 팽팽함</v>
      </c>
      <c r="D9" s="6" t="str">
        <f>IF('[1]2_개행동'!D46="","",'[1]2_개행동'!D46)</f>
        <v>뒤처져 따라옴 · 줄은 느슨함</v>
      </c>
      <c r="E9" s="6" t="str">
        <f>IF('[1]2_개행동'!E46="","",'[1]2_개행동'!E46)</f>
        <v>옆에서 잘 감 · 줄이 느슨함</v>
      </c>
      <c r="F9" s="6" t="str">
        <f>IF('[1]2_개행동'!F46="","",'[1]2_개행동'!F46)</f>
        <v>앞에서 팽팽했다 느슨했다를 반복</v>
      </c>
      <c r="G9" s="6" t="str">
        <f>IF('[1]2_개행동'!G46="","",'[1]2_개행동'!G46)</f>
        <v>앞에서 계속 당겨 줄이 팽팽함</v>
      </c>
      <c r="H9" s="6" t="str">
        <f>IF('[1]2_개행동'!H46="","",'[1]2_개행동'!H46)</f>
        <v>— 참고 (보6 · 보9 조건 확인)</v>
      </c>
      <c r="I9" s="6" t="str">
        <f>IF('[1]2_개행동'!I46="","",'[1]2_개행동'!I46)</f>
        <v>참고</v>
      </c>
      <c r="J9" s="9" t="str">
        <f>IF('[1]2_개행동'!J46="","",'[1]2_개행동'!J46)</f>
        <v/>
      </c>
      <c r="K9" s="9" t="str">
        <f>IF('[1]2_개행동'!K46="","",'[1]2_개행동'!K46)</f>
        <v/>
      </c>
      <c r="L9" s="9" t="str">
        <f>IF('[1]2_개행동'!L46="","",'[1]2_개행동'!L46)</f>
        <v/>
      </c>
      <c r="M9" s="9" t="str">
        <f>IF('[1]2_개행동'!M46="","",'[1]2_개행동'!M46)</f>
        <v/>
      </c>
      <c r="N9" s="9" t="str">
        <f>IF('[1]2_개행동'!N46="","",'[1]2_개행동'!N46)</f>
        <v/>
      </c>
      <c r="O9" s="9" t="str">
        <f>IF('[1]2_개행동'!O46="","",'[1]2_개행동'!O46)</f>
        <v/>
      </c>
      <c r="P9" s="9" t="str">
        <f>IF('[1]2_개행동'!P46="","",'[1]2_개행동'!P46)</f>
        <v/>
      </c>
      <c r="Q9" s="9" t="str">
        <f>IF('[1]2_개행동'!Q46="","",'[1]2_개행동'!Q46)</f>
        <v/>
      </c>
      <c r="R9" s="9" t="str">
        <f>IF('[1]2_개행동'!R46="","",'[1]2_개행동'!R46)</f>
        <v/>
      </c>
      <c r="S9" s="9" t="str">
        <f>IF('[1]2_개행동'!S46="","",'[1]2_개행동'!S46)</f>
        <v/>
      </c>
      <c r="T9" s="9" t="str">
        <f>IF('[1]2_개행동'!T46="","",'[1]2_개행동'!T46)</f>
        <v/>
      </c>
      <c r="U9" s="9" t="str">
        <f>IF('[1]2_개행동'!U46="","",'[1]2_개행동'!U46)</f>
        <v/>
      </c>
      <c r="V9" s="9" t="str">
        <f>IF('[1]2_개행동'!V46="","",'[1]2_개행동'!V46)</f>
        <v/>
      </c>
      <c r="W9" s="9" t="str">
        <f>IF('[1]2_개행동'!W46="","",'[1]2_개행동'!W46)</f>
        <v/>
      </c>
      <c r="X9" s="9" t="str">
        <f>IF('[1]2_개행동'!X46="","",'[1]2_개행동'!X46)</f>
        <v/>
      </c>
      <c r="Y9" s="9" t="str">
        <f>IF('[1]2_개행동'!Y46="","",'[1]2_개행동'!Y46)</f>
        <v/>
      </c>
      <c r="Z9" s="9" t="str">
        <f>IF('[1]2_개행동'!Z46="","",'[1]2_개행동'!Z46)</f>
        <v/>
      </c>
      <c r="AA9" s="9" t="str">
        <f>IF('[1]2_개행동'!AA46="","",'[1]2_개행동'!AA46)</f>
        <v/>
      </c>
      <c r="AB9" s="9" t="str">
        <f>IF('[1]2_개행동'!AB46="","",'[1]2_개행동'!AB46)</f>
        <v/>
      </c>
      <c r="AC9" s="9" t="str">
        <f>IF('[1]2_개행동'!AC46="","",'[1]2_개행동'!AC46)</f>
        <v/>
      </c>
    </row>
    <row r="10" spans="1:29" ht="111.95" customHeight="1">
      <c r="A10" s="5" t="s">
        <v>22</v>
      </c>
      <c r="B10" s="6" t="str">
        <f>IF('[1]3_보호자행동'!B5="","",'[1]3_보호자행동'!B5)</f>
        <v>앞에서 줄을 당길 때의 요청 표현. 실제 발화로 −1/0/+1 분류. 음량·어조·반복은 별도 메모. 발화 없음·요청 없음·판독 불가·기회 없음은 빈칸+사유. 여러 사건의 건수·시각은 개59에 기록.</v>
      </c>
      <c r="C10" s="6" t="str">
        <f>IF('[1]3_보호자행동'!C5="","",'[1]3_보호자행동'!C5)</f>
        <v>−2 미사용</v>
      </c>
      <c r="D10" s="6" t="str">
        <f>IF('[1]3_보호자행동'!D5="","",'[1]3_보호자행동'!D5)</f>
        <v>−1 부탁·제안: 질문·청유·부탁으로 행동 요청. 예: “와 줄래?”, “같이 가자”. 같은 사건에서 직접 지시 없음.</v>
      </c>
      <c r="E10" s="6" t="str">
        <f>IF('[1]3_보호자행동'!E5="","",'[1]3_보호자행동'!E5)</f>
        <v>0 혼합: 같은 당김 사건에서 부탁·제안과 직접 지시가 모두 확인됨. 순서 기록. 미발화·모호함을 0으로 넣지 않음.</v>
      </c>
      <c r="F10" s="6" t="str">
        <f>IF('[1]3_보호자행동'!F5="","",'[1]3_보호자행동'!F5)</f>
        <v>+1 직접 지시: 할 행동·멈출 행동을 직접 말함. 예: “기다려”, “이리 와”, “당기지 마”. 같은 사건에서 부탁·제안 없음.</v>
      </c>
      <c r="G10" s="6" t="str">
        <f>IF('[1]3_보호자행동'!G5="","",'[1]3_보호자행동'!G5)</f>
        <v>+2 미사용</v>
      </c>
      <c r="H10" s="6" t="str">
        <f>IF('[1]3_보호자행동'!H5="","",'[1]3_보호자행동'!H5)</f>
        <v>보호자 상호작용 · 보조 근거</v>
      </c>
      <c r="I10" s="6" t="str">
        <f>IF('[1]3_보호자행동'!I5="","",'[1]3_보호자행동'!I5)</f>
        <v>범주 · 요청 표현</v>
      </c>
      <c r="J10" s="9" t="str">
        <f>IF('[1]3_보호자행동'!J5="","",'[1]3_보호자행동'!J5)</f>
        <v/>
      </c>
      <c r="K10" s="9" t="str">
        <f>IF('[1]3_보호자행동'!K5="","",'[1]3_보호자행동'!K5)</f>
        <v/>
      </c>
      <c r="L10" s="9" t="str">
        <f>IF('[1]3_보호자행동'!L5="","",'[1]3_보호자행동'!L5)</f>
        <v/>
      </c>
      <c r="M10" s="9" t="str">
        <f>IF('[1]3_보호자행동'!M5="","",'[1]3_보호자행동'!M5)</f>
        <v/>
      </c>
      <c r="N10" s="9" t="str">
        <f>IF('[1]3_보호자행동'!N5="","",'[1]3_보호자행동'!N5)</f>
        <v/>
      </c>
      <c r="O10" s="9" t="str">
        <f>IF('[1]3_보호자행동'!O5="","",'[1]3_보호자행동'!O5)</f>
        <v/>
      </c>
      <c r="P10" s="9" t="str">
        <f>IF('[1]3_보호자행동'!P5="","",'[1]3_보호자행동'!P5)</f>
        <v/>
      </c>
      <c r="Q10" s="9" t="str">
        <f>IF('[1]3_보호자행동'!Q5="","",'[1]3_보호자행동'!Q5)</f>
        <v/>
      </c>
      <c r="R10" s="9" t="str">
        <f>IF('[1]3_보호자행동'!R5="","",'[1]3_보호자행동'!R5)</f>
        <v/>
      </c>
      <c r="S10" s="9" t="str">
        <f>IF('[1]3_보호자행동'!S5="","",'[1]3_보호자행동'!S5)</f>
        <v/>
      </c>
      <c r="T10" s="9" t="str">
        <f>IF('[1]3_보호자행동'!T5="","",'[1]3_보호자행동'!T5)</f>
        <v/>
      </c>
      <c r="U10" s="9" t="str">
        <f>IF('[1]3_보호자행동'!U5="","",'[1]3_보호자행동'!U5)</f>
        <v/>
      </c>
      <c r="V10" s="9" t="str">
        <f>IF('[1]3_보호자행동'!V5="","",'[1]3_보호자행동'!V5)</f>
        <v/>
      </c>
      <c r="W10" s="9" t="str">
        <f>IF('[1]3_보호자행동'!W5="","",'[1]3_보호자행동'!W5)</f>
        <v/>
      </c>
      <c r="X10" s="9" t="str">
        <f>IF('[1]3_보호자행동'!X5="","",'[1]3_보호자행동'!X5)</f>
        <v/>
      </c>
      <c r="Y10" s="9" t="str">
        <f>IF('[1]3_보호자행동'!Y5="","",'[1]3_보호자행동'!Y5)</f>
        <v/>
      </c>
      <c r="Z10" s="9" t="str">
        <f>IF('[1]3_보호자행동'!Z5="","",'[1]3_보호자행동'!Z5)</f>
        <v/>
      </c>
      <c r="AA10" s="9" t="str">
        <f>IF('[1]3_보호자행동'!AA5="","",'[1]3_보호자행동'!AA5)</f>
        <v/>
      </c>
      <c r="AB10" s="9" t="str">
        <f>IF('[1]3_보호자행동'!AB5="","",'[1]3_보호자행동'!AB5)</f>
        <v/>
      </c>
      <c r="AC10" s="9" t="str">
        <f>IF('[1]3_보호자행동'!AC5="","",'[1]3_보호자행동'!AC5)</f>
        <v/>
      </c>
    </row>
    <row r="11" spans="1:29" ht="80.099999999999994" customHeight="1">
      <c r="A11" s="5" t="s">
        <v>24</v>
      </c>
      <c r="B11" s="6" t="str">
        <f>IF('[1]3_보호자행동'!B6="","",'[1]3_보호자행동'!B6)</f>
        <v>앞에서 당기는 개에 대한 줄 대처 ※당김이 발생한 사건. 줄 팽팽함의 원인을 보호자 힘으로 추정하지 않음. 복수 사건은 개59 또는 보25~27에 시각·상반 반응 기록.</v>
      </c>
      <c r="C11" s="6" t="str">
        <f>IF('[1]3_보호자행동'!C6="","",'[1]3_보호자행동'!C6)</f>
        <v>개가 가는 쪽으로 보호자가 이동해 줄 길이·거리를 맞춤</v>
      </c>
      <c r="D11" s="6" t="str">
        <f>IF('[1]3_보호자행동'!D6="","",'[1]3_보호자행동'!D6)</f>
        <v>현 위치에서 멈추어 기다림; 보호자가 줄을 당겨 이동시키지 않음</v>
      </c>
      <c r="E11" s="6" t="str">
        <f>IF('[1]3_보호자행동'!E6="","",'[1]3_보호자행동'!E6)</f>
        <v>멈추어 부르거나 유도한 뒤 개가 돌아오면 이동</v>
      </c>
      <c r="F11" s="6" t="str">
        <f>IF('[1]3_보호자행동'!F6="","",'[1]3_보호자행동'!F6)</f>
        <v>줄을 짧게 당긴 뒤 즉시 풀어 줌</v>
      </c>
      <c r="G11" s="6" t="str">
        <f>IF('[1]3_보호자행동'!G6="","",'[1]3_보호자행동'!G6)</f>
        <v>당긴 줄을 유지하거나 반복 당겨 개 몸을 이동시킴</v>
      </c>
      <c r="H11" s="6" t="str">
        <f>IF('[1]3_보호자행동'!H6="","",'[1]3_보호자행동'!H6)</f>
        <v>보호자 상호작용 · 개별</v>
      </c>
      <c r="I11" s="6" t="str">
        <f>IF('[1]3_보호자행동'!I6="","",'[1]3_보호자행동'!I6)</f>
        <v>양쪽 · 개입 정도</v>
      </c>
      <c r="J11" s="9" t="str">
        <f>IF('[1]3_보호자행동'!J6="","",'[1]3_보호자행동'!J6)</f>
        <v/>
      </c>
      <c r="K11" s="9" t="str">
        <f>IF('[1]3_보호자행동'!K6="","",'[1]3_보호자행동'!K6)</f>
        <v/>
      </c>
      <c r="L11" s="9" t="str">
        <f>IF('[1]3_보호자행동'!L6="","",'[1]3_보호자행동'!L6)</f>
        <v/>
      </c>
      <c r="M11" s="9" t="str">
        <f>IF('[1]3_보호자행동'!M6="","",'[1]3_보호자행동'!M6)</f>
        <v/>
      </c>
      <c r="N11" s="9" t="str">
        <f>IF('[1]3_보호자행동'!N6="","",'[1]3_보호자행동'!N6)</f>
        <v/>
      </c>
      <c r="O11" s="9" t="str">
        <f>IF('[1]3_보호자행동'!O6="","",'[1]3_보호자행동'!O6)</f>
        <v/>
      </c>
      <c r="P11" s="9" t="str">
        <f>IF('[1]3_보호자행동'!P6="","",'[1]3_보호자행동'!P6)</f>
        <v/>
      </c>
      <c r="Q11" s="9" t="str">
        <f>IF('[1]3_보호자행동'!Q6="","",'[1]3_보호자행동'!Q6)</f>
        <v/>
      </c>
      <c r="R11" s="9" t="str">
        <f>IF('[1]3_보호자행동'!R6="","",'[1]3_보호자행동'!R6)</f>
        <v/>
      </c>
      <c r="S11" s="9" t="str">
        <f>IF('[1]3_보호자행동'!S6="","",'[1]3_보호자행동'!S6)</f>
        <v/>
      </c>
      <c r="T11" s="9" t="str">
        <f>IF('[1]3_보호자행동'!T6="","",'[1]3_보호자행동'!T6)</f>
        <v/>
      </c>
      <c r="U11" s="9" t="str">
        <f>IF('[1]3_보호자행동'!U6="","",'[1]3_보호자행동'!U6)</f>
        <v/>
      </c>
      <c r="V11" s="9" t="str">
        <f>IF('[1]3_보호자행동'!V6="","",'[1]3_보호자행동'!V6)</f>
        <v/>
      </c>
      <c r="W11" s="9" t="str">
        <f>IF('[1]3_보호자행동'!W6="","",'[1]3_보호자행동'!W6)</f>
        <v/>
      </c>
      <c r="X11" s="9" t="str">
        <f>IF('[1]3_보호자행동'!X6="","",'[1]3_보호자행동'!X6)</f>
        <v/>
      </c>
      <c r="Y11" s="9" t="str">
        <f>IF('[1]3_보호자행동'!Y6="","",'[1]3_보호자행동'!Y6)</f>
        <v/>
      </c>
      <c r="Z11" s="9" t="str">
        <f>IF('[1]3_보호자행동'!Z6="","",'[1]3_보호자행동'!Z6)</f>
        <v/>
      </c>
      <c r="AA11" s="9" t="str">
        <f>IF('[1]3_보호자행동'!AA6="","",'[1]3_보호자행동'!AA6)</f>
        <v/>
      </c>
      <c r="AB11" s="9" t="str">
        <f>IF('[1]3_보호자행동'!AB6="","",'[1]3_보호자행동'!AB6)</f>
        <v/>
      </c>
      <c r="AC11" s="9" t="str">
        <f>IF('[1]3_보호자행동'!AC6="","",'[1]3_보호자행동'!AC6)</f>
        <v/>
      </c>
    </row>
    <row r="12" spans="1:29" ht="80.099999999999994" customHeight="1">
      <c r="A12" s="5" t="s">
        <v>25</v>
      </c>
      <c r="B12" s="6" t="str">
        <f>IF('[1]3_보호자행동'!B9="","",'[1]3_보호자행동'!B9)</f>
        <v>뒤처지거나 버티는 개에 대한 줄 대처 ※버팀 사건이 있을 때. 안아 옮김은 이 축과 별도 메모. 복수 반응은 사건별 시각을 남기고 주된 반응을 선택.</v>
      </c>
      <c r="C12" s="6" t="str">
        <f>IF('[1]3_보호자행동'!C9="","",'[1]3_보호자행동'!C9)</f>
        <v>개 쪽으로 되돌아가 줄을 느슨하게 함</v>
      </c>
      <c r="D12" s="6" t="str">
        <f>IF('[1]3_보호자행동'!D9="","",'[1]3_보호자행동'!D9)</f>
        <v>현 위치에서 줄을 느슨하게 두고 기다림</v>
      </c>
      <c r="E12" s="6" t="str">
        <f>IF('[1]3_보호자행동'!E9="","",'[1]3_보호자행동'!E9)</f>
        <v>줄이 느슨한 상태에서 말·허용된 유도 수단으로 이동을 요청</v>
      </c>
      <c r="F12" s="6" t="str">
        <f>IF('[1]3_보호자행동'!F9="","",'[1]3_보호자행동'!F9)</f>
        <v>줄을 짧게 당겼다 풀어 이동을 요청</v>
      </c>
      <c r="G12" s="6" t="str">
        <f>IF('[1]3_보호자행동'!G9="","",'[1]3_보호자행동'!G9)</f>
        <v>줄을 당긴 상태로 유지해 개 몸을 이동시킴</v>
      </c>
      <c r="H12" s="6" t="str">
        <f>IF('[1]3_보호자행동'!H9="","",'[1]3_보호자행동'!H9)</f>
        <v>보호자 상호작용 · 개별</v>
      </c>
      <c r="I12" s="6" t="str">
        <f>IF('[1]3_보호자행동'!I9="","",'[1]3_보호자행동'!I9)</f>
        <v>양쪽 · 개입 정도</v>
      </c>
      <c r="J12" s="9" t="str">
        <f>IF('[1]3_보호자행동'!J9="","",'[1]3_보호자행동'!J9)</f>
        <v/>
      </c>
      <c r="K12" s="9" t="str">
        <f>IF('[1]3_보호자행동'!K9="","",'[1]3_보호자행동'!K9)</f>
        <v/>
      </c>
      <c r="L12" s="9" t="str">
        <f>IF('[1]3_보호자행동'!L9="","",'[1]3_보호자행동'!L9)</f>
        <v/>
      </c>
      <c r="M12" s="9" t="str">
        <f>IF('[1]3_보호자행동'!M9="","",'[1]3_보호자행동'!M9)</f>
        <v/>
      </c>
      <c r="N12" s="9" t="str">
        <f>IF('[1]3_보호자행동'!N9="","",'[1]3_보호자행동'!N9)</f>
        <v/>
      </c>
      <c r="O12" s="9" t="str">
        <f>IF('[1]3_보호자행동'!O9="","",'[1]3_보호자행동'!O9)</f>
        <v/>
      </c>
      <c r="P12" s="9" t="str">
        <f>IF('[1]3_보호자행동'!P9="","",'[1]3_보호자행동'!P9)</f>
        <v/>
      </c>
      <c r="Q12" s="9" t="str">
        <f>IF('[1]3_보호자행동'!Q9="","",'[1]3_보호자행동'!Q9)</f>
        <v/>
      </c>
      <c r="R12" s="9" t="str">
        <f>IF('[1]3_보호자행동'!R9="","",'[1]3_보호자행동'!R9)</f>
        <v/>
      </c>
      <c r="S12" s="9" t="str">
        <f>IF('[1]3_보호자행동'!S9="","",'[1]3_보호자행동'!S9)</f>
        <v/>
      </c>
      <c r="T12" s="9" t="str">
        <f>IF('[1]3_보호자행동'!T9="","",'[1]3_보호자행동'!T9)</f>
        <v/>
      </c>
      <c r="U12" s="9" t="str">
        <f>IF('[1]3_보호자행동'!U9="","",'[1]3_보호자행동'!U9)</f>
        <v/>
      </c>
      <c r="V12" s="9" t="str">
        <f>IF('[1]3_보호자행동'!V9="","",'[1]3_보호자행동'!V9)</f>
        <v/>
      </c>
      <c r="W12" s="9" t="str">
        <f>IF('[1]3_보호자행동'!W9="","",'[1]3_보호자행동'!W9)</f>
        <v/>
      </c>
      <c r="X12" s="9" t="str">
        <f>IF('[1]3_보호자행동'!X9="","",'[1]3_보호자행동'!X9)</f>
        <v/>
      </c>
      <c r="Y12" s="9" t="str">
        <f>IF('[1]3_보호자행동'!Y9="","",'[1]3_보호자행동'!Y9)</f>
        <v/>
      </c>
      <c r="Z12" s="9" t="str">
        <f>IF('[1]3_보호자행동'!Z9="","",'[1]3_보호자행동'!Z9)</f>
        <v/>
      </c>
      <c r="AA12" s="9" t="str">
        <f>IF('[1]3_보호자행동'!AA9="","",'[1]3_보호자행동'!AA9)</f>
        <v/>
      </c>
      <c r="AB12" s="9" t="str">
        <f>IF('[1]3_보호자행동'!AB9="","",'[1]3_보호자행동'!AB9)</f>
        <v/>
      </c>
      <c r="AC12" s="9" t="str">
        <f>IF('[1]3_보호자행동'!AC9="","",'[1]3_보호자행동'!AC9)</f>
        <v/>
      </c>
    </row>
    <row r="13" spans="1:29" ht="63.95" customHeight="1">
      <c r="A13" s="5" t="s">
        <v>140</v>
      </c>
      <c r="B13" s="6" t="str">
        <f>IF('[1]2_개행동'!B50="","",'[1]2_개행동'!B50)</f>
        <v>[퇴장] 발성량 ※0~3 시간 비중 · 퇴장 전체. 못 들으면 빈칸; 0은 들었으나 없음. 종류·시각·관찰 초는 메모. 꼬리로 소리 의미를 정하지 않음.</v>
      </c>
      <c r="C13" s="6" t="str">
        <f>IF('[1]2_개행동'!C50="","",'[1]2_개행동'!C50)</f>
        <v>0 — 발성 없음</v>
      </c>
      <c r="D13" s="6" t="str">
        <f>IF('[1]2_개행동'!D50="","",'[1]2_개행동'!D50)</f>
        <v>1 — 발성 누적 비중 0 초과~1/3 이하</v>
      </c>
      <c r="E13" s="6" t="str">
        <f>IF('[1]2_개행동'!E50="","",'[1]2_개행동'!E50)</f>
        <v>2 — 1/3 초과~2/3 이하</v>
      </c>
      <c r="F13" s="6" t="str">
        <f>IF('[1]2_개행동'!F50="","",'[1]2_개행동'!F50)</f>
        <v>3 — 2/3 초과</v>
      </c>
      <c r="G13" s="6" t="str">
        <f>IF('[1]2_개행동'!G50="","",'[1]2_개행동'!G50)</f>
        <v/>
      </c>
      <c r="H13" s="6" t="str">
        <f>IF('[1]2_개행동'!H50="","",'[1]2_개행동'!H50)</f>
        <v>별도 관찰 · 발성</v>
      </c>
      <c r="I13" s="6" t="str">
        <f>IF('[1]2_개행동'!I50="","",'[1]2_개행동'!I50)</f>
        <v>한쪽·발성량</v>
      </c>
      <c r="J13" s="9" t="str">
        <f>IF('[1]2_개행동'!J50="","",'[1]2_개행동'!J50)</f>
        <v/>
      </c>
      <c r="K13" s="9" t="str">
        <f>IF('[1]2_개행동'!K50="","",'[1]2_개행동'!K50)</f>
        <v/>
      </c>
      <c r="L13" s="9" t="str">
        <f>IF('[1]2_개행동'!L50="","",'[1]2_개행동'!L50)</f>
        <v/>
      </c>
      <c r="M13" s="9" t="str">
        <f>IF('[1]2_개행동'!M50="","",'[1]2_개행동'!M50)</f>
        <v/>
      </c>
      <c r="N13" s="9" t="str">
        <f>IF('[1]2_개행동'!N50="","",'[1]2_개행동'!N50)</f>
        <v/>
      </c>
      <c r="O13" s="9" t="str">
        <f>IF('[1]2_개행동'!O50="","",'[1]2_개행동'!O50)</f>
        <v/>
      </c>
      <c r="P13" s="9" t="str">
        <f>IF('[1]2_개행동'!P50="","",'[1]2_개행동'!P50)</f>
        <v/>
      </c>
      <c r="Q13" s="9" t="str">
        <f>IF('[1]2_개행동'!Q50="","",'[1]2_개행동'!Q50)</f>
        <v/>
      </c>
      <c r="R13" s="9" t="str">
        <f>IF('[1]2_개행동'!R50="","",'[1]2_개행동'!R50)</f>
        <v/>
      </c>
      <c r="S13" s="9" t="str">
        <f>IF('[1]2_개행동'!S50="","",'[1]2_개행동'!S50)</f>
        <v/>
      </c>
      <c r="T13" s="9" t="str">
        <f>IF('[1]2_개행동'!T50="","",'[1]2_개행동'!T50)</f>
        <v/>
      </c>
      <c r="U13" s="9" t="str">
        <f>IF('[1]2_개행동'!U50="","",'[1]2_개행동'!U50)</f>
        <v/>
      </c>
      <c r="V13" s="9" t="str">
        <f>IF('[1]2_개행동'!V50="","",'[1]2_개행동'!V50)</f>
        <v/>
      </c>
      <c r="W13" s="9" t="str">
        <f>IF('[1]2_개행동'!W50="","",'[1]2_개행동'!W50)</f>
        <v/>
      </c>
      <c r="X13" s="9" t="str">
        <f>IF('[1]2_개행동'!X50="","",'[1]2_개행동'!X50)</f>
        <v/>
      </c>
      <c r="Y13" s="9" t="str">
        <f>IF('[1]2_개행동'!Y50="","",'[1]2_개행동'!Y50)</f>
        <v/>
      </c>
      <c r="Z13" s="9" t="str">
        <f>IF('[1]2_개행동'!Z50="","",'[1]2_개행동'!Z50)</f>
        <v/>
      </c>
      <c r="AA13" s="9" t="str">
        <f>IF('[1]2_개행동'!AA50="","",'[1]2_개행동'!AA50)</f>
        <v/>
      </c>
      <c r="AB13" s="9" t="str">
        <f>IF('[1]2_개행동'!AB50="","",'[1]2_개행동'!AB50)</f>
        <v/>
      </c>
      <c r="AC13" s="9" t="str">
        <f>IF('[1]2_개행동'!AC50="","",'[1]2_개행동'!AC50)</f>
        <v/>
      </c>
    </row>
    <row r="14" spans="1:29" ht="63.95" customHeight="1">
      <c r="A14" s="5" t="s">
        <v>141</v>
      </c>
      <c r="B14" s="6" t="str">
        <f>IF('[1]1_바디시그널'!B13="","",'[1]1_바디시그널'!B13)</f>
        <v>[퇴장] 꼬리 — 위치 ※형태 관찰. 기준 20초(바38)와 원값을 나란히 봄. 기준도 낯선 장소에서의 상태이며 평소 꼬리가 아님. 가림·단미 등 판독 불가면 빈칸.</v>
      </c>
      <c r="C14" s="6" t="str">
        <f>IF('[1]1_바디시그널'!C13="","",'[1]1_바디시그널'!C13)</f>
        <v>다리 사이로 말아 넣음</v>
      </c>
      <c r="D14" s="6" t="str">
        <f>IF('[1]1_바디시그널'!D13="","",'[1]1_바디시그널'!D13)</f>
        <v>등선보다 아래로 늘어뜨림 — 꼬리끝이 바닥을 가리킴</v>
      </c>
      <c r="E14" s="6" t="str">
        <f>IF('[1]1_바디시그널'!E13="","",'[1]1_바디시그널'!E13)</f>
        <v>등선 높이 — 꼬리끝이 바닥보다 위</v>
      </c>
      <c r="F14" s="6" t="str">
        <f>IF('[1]1_바디시그널'!F13="","",'[1]1_바디시그널'!F13)</f>
        <v>등선보다 높이 올라옴</v>
      </c>
      <c r="G14" s="6" t="str">
        <f>IF('[1]1_바디시그널'!G13="","",'[1]1_바디시그널'!G13)</f>
        <v>등 위로 높이 세우거나 말아 올림</v>
      </c>
      <c r="H14" s="6" t="str">
        <f>IF('[1]1_바디시그널'!H13="","",'[1]1_바디시그널'!H13)</f>
        <v>별도 관찰 · 꼬리 형태</v>
      </c>
      <c r="I14" s="6" t="str">
        <f>IF('[1]1_바디시그널'!I13="","",'[1]1_바디시그널'!I13)</f>
        <v>양쪽·위치</v>
      </c>
      <c r="J14" s="9" t="str">
        <f>IF('[1]1_바디시그널'!J13="","",'[1]1_바디시그널'!J13)</f>
        <v/>
      </c>
      <c r="K14" s="9" t="str">
        <f>IF('[1]1_바디시그널'!K13="","",'[1]1_바디시그널'!K13)</f>
        <v/>
      </c>
      <c r="L14" s="9" t="str">
        <f>IF('[1]1_바디시그널'!L13="","",'[1]1_바디시그널'!L13)</f>
        <v/>
      </c>
      <c r="M14" s="9" t="str">
        <f>IF('[1]1_바디시그널'!M13="","",'[1]1_바디시그널'!M13)</f>
        <v/>
      </c>
      <c r="N14" s="9" t="str">
        <f>IF('[1]1_바디시그널'!N13="","",'[1]1_바디시그널'!N13)</f>
        <v/>
      </c>
      <c r="O14" s="9" t="str">
        <f>IF('[1]1_바디시그널'!O13="","",'[1]1_바디시그널'!O13)</f>
        <v/>
      </c>
      <c r="P14" s="9" t="str">
        <f>IF('[1]1_바디시그널'!P13="","",'[1]1_바디시그널'!P13)</f>
        <v/>
      </c>
      <c r="Q14" s="9" t="str">
        <f>IF('[1]1_바디시그널'!Q13="","",'[1]1_바디시그널'!Q13)</f>
        <v/>
      </c>
      <c r="R14" s="9" t="str">
        <f>IF('[1]1_바디시그널'!R13="","",'[1]1_바디시그널'!R13)</f>
        <v/>
      </c>
      <c r="S14" s="9" t="str">
        <f>IF('[1]1_바디시그널'!S13="","",'[1]1_바디시그널'!S13)</f>
        <v/>
      </c>
      <c r="T14" s="9" t="str">
        <f>IF('[1]1_바디시그널'!T13="","",'[1]1_바디시그널'!T13)</f>
        <v/>
      </c>
      <c r="U14" s="9" t="str">
        <f>IF('[1]1_바디시그널'!U13="","",'[1]1_바디시그널'!U13)</f>
        <v/>
      </c>
      <c r="V14" s="9" t="str">
        <f>IF('[1]1_바디시그널'!V13="","",'[1]1_바디시그널'!V13)</f>
        <v/>
      </c>
      <c r="W14" s="9" t="str">
        <f>IF('[1]1_바디시그널'!W13="","",'[1]1_바디시그널'!W13)</f>
        <v/>
      </c>
      <c r="X14" s="9" t="str">
        <f>IF('[1]1_바디시그널'!X13="","",'[1]1_바디시그널'!X13)</f>
        <v/>
      </c>
      <c r="Y14" s="9" t="str">
        <f>IF('[1]1_바디시그널'!Y13="","",'[1]1_바디시그널'!Y13)</f>
        <v/>
      </c>
      <c r="Z14" s="9" t="str">
        <f>IF('[1]1_바디시그널'!Z13="","",'[1]1_바디시그널'!Z13)</f>
        <v/>
      </c>
      <c r="AA14" s="9" t="str">
        <f>IF('[1]1_바디시그널'!AA13="","",'[1]1_바디시그널'!AA13)</f>
        <v/>
      </c>
      <c r="AB14" s="9" t="str">
        <f>IF('[1]1_바디시그널'!AB13="","",'[1]1_바디시그널'!AB13)</f>
        <v/>
      </c>
      <c r="AC14" s="9" t="str">
        <f>IF('[1]1_바디시그널'!AC13="","",'[1]1_바디시그널'!AC13)</f>
        <v/>
      </c>
    </row>
    <row r="15" spans="1:29" ht="60" customHeight="1">
      <c r="A15" s="5" t="s">
        <v>142</v>
      </c>
      <c r="B15" s="6" t="str">
        <f>IF('[1]1_바디시그널'!B35="","",'[1]1_바디시그널'!B35)</f>
        <v>[퇴장] 몸 털기 횟수  ※구간 전체 ~30초 · 참고</v>
      </c>
      <c r="C15" s="18" t="str">
        <f>IF('[1]1_바디시그널'!C35="","",'[1]1_바디시그널'!C35)</f>
        <v>온몸을 좌우로 빠르게 턴 횟수를 셉니다. 머리만 흔든 것은 빼고, 몸이 안 보인 구간이면 빈칸(0 과 다름).</v>
      </c>
      <c r="D15" s="18"/>
      <c r="E15" s="18"/>
      <c r="F15" s="18"/>
      <c r="G15" s="18"/>
      <c r="H15" s="6" t="str">
        <f>IF('[1]1_바디시그널'!H35="","",'[1]1_바디시그널'!H35)</f>
        <v>별도 관찰 · 행동 횟수</v>
      </c>
      <c r="I15" s="6" t="str">
        <f>IF('[1]1_바디시그널'!I35="","",'[1]1_바디시그널'!I35)</f>
        <v>참고</v>
      </c>
      <c r="J15" s="9" t="str">
        <f>IF('[1]1_바디시그널'!J35="","",'[1]1_바디시그널'!J35)</f>
        <v/>
      </c>
      <c r="K15" s="9" t="str">
        <f>IF('[1]1_바디시그널'!K35="","",'[1]1_바디시그널'!K35)</f>
        <v/>
      </c>
      <c r="L15" s="9" t="str">
        <f>IF('[1]1_바디시그널'!L35="","",'[1]1_바디시그널'!L35)</f>
        <v/>
      </c>
      <c r="M15" s="9" t="str">
        <f>IF('[1]1_바디시그널'!M35="","",'[1]1_바디시그널'!M35)</f>
        <v/>
      </c>
      <c r="N15" s="9" t="str">
        <f>IF('[1]1_바디시그널'!N35="","",'[1]1_바디시그널'!N35)</f>
        <v/>
      </c>
      <c r="O15" s="9" t="str">
        <f>IF('[1]1_바디시그널'!O35="","",'[1]1_바디시그널'!O35)</f>
        <v/>
      </c>
      <c r="P15" s="9" t="str">
        <f>IF('[1]1_바디시그널'!P35="","",'[1]1_바디시그널'!P35)</f>
        <v/>
      </c>
      <c r="Q15" s="9" t="str">
        <f>IF('[1]1_바디시그널'!Q35="","",'[1]1_바디시그널'!Q35)</f>
        <v/>
      </c>
      <c r="R15" s="9" t="str">
        <f>IF('[1]1_바디시그널'!R35="","",'[1]1_바디시그널'!R35)</f>
        <v/>
      </c>
      <c r="S15" s="9" t="str">
        <f>IF('[1]1_바디시그널'!S35="","",'[1]1_바디시그널'!S35)</f>
        <v/>
      </c>
      <c r="T15" s="9" t="str">
        <f>IF('[1]1_바디시그널'!T35="","",'[1]1_바디시그널'!T35)</f>
        <v/>
      </c>
      <c r="U15" s="9" t="str">
        <f>IF('[1]1_바디시그널'!U35="","",'[1]1_바디시그널'!U35)</f>
        <v/>
      </c>
      <c r="V15" s="9" t="str">
        <f>IF('[1]1_바디시그널'!V35="","",'[1]1_바디시그널'!V35)</f>
        <v/>
      </c>
      <c r="W15" s="9" t="str">
        <f>IF('[1]1_바디시그널'!W35="","",'[1]1_바디시그널'!W35)</f>
        <v/>
      </c>
      <c r="X15" s="9" t="str">
        <f>IF('[1]1_바디시그널'!X35="","",'[1]1_바디시그널'!X35)</f>
        <v/>
      </c>
      <c r="Y15" s="9" t="str">
        <f>IF('[1]1_바디시그널'!Y35="","",'[1]1_바디시그널'!Y35)</f>
        <v/>
      </c>
      <c r="Z15" s="9" t="str">
        <f>IF('[1]1_바디시그널'!Z35="","",'[1]1_바디시그널'!Z35)</f>
        <v/>
      </c>
      <c r="AA15" s="9" t="str">
        <f>IF('[1]1_바디시그널'!AA35="","",'[1]1_바디시그널'!AA35)</f>
        <v/>
      </c>
      <c r="AB15" s="9" t="str">
        <f>IF('[1]1_바디시그널'!AB35="","",'[1]1_바디시그널'!AB35)</f>
        <v/>
      </c>
      <c r="AC15" s="9" t="str">
        <f>IF('[1]1_바디시그널'!AC35="","",'[1]1_바디시그널'!AC35)</f>
        <v/>
      </c>
    </row>
    <row r="16" spans="1:29" ht="60" customHeight="1">
      <c r="A16" s="5" t="s">
        <v>143</v>
      </c>
      <c r="B16" s="6" t="str">
        <f>IF('[1]1_바디시그널'!B36="","",'[1]1_바디시그널'!B36)</f>
        <v>[퇴장] 하품 횟수  ※구간 전체 ~30초 · 참고</v>
      </c>
      <c r="C16" s="18" t="str">
        <f>IF('[1]1_바디시그널'!C36="","",'[1]1_바디시그널'!C36)</f>
        <v>입을 크게 벌렸다 닫은 횟수를 셉니다. 짖음 · 헐떡임과 구분하고, 얼굴이 안 보인 구간이면 빈칸(0 과 다름).</v>
      </c>
      <c r="D16" s="18"/>
      <c r="E16" s="18"/>
      <c r="F16" s="18"/>
      <c r="G16" s="18"/>
      <c r="H16" s="6" t="str">
        <f>IF('[1]1_바디시그널'!H36="","",'[1]1_바디시그널'!H36)</f>
        <v>별도 관찰 · 행동 횟수</v>
      </c>
      <c r="I16" s="6" t="str">
        <f>IF('[1]1_바디시그널'!I36="","",'[1]1_바디시그널'!I36)</f>
        <v>참고</v>
      </c>
      <c r="J16" s="9" t="str">
        <f>IF('[1]1_바디시그널'!J36="","",'[1]1_바디시그널'!J36)</f>
        <v/>
      </c>
      <c r="K16" s="9" t="str">
        <f>IF('[1]1_바디시그널'!K36="","",'[1]1_바디시그널'!K36)</f>
        <v/>
      </c>
      <c r="L16" s="9" t="str">
        <f>IF('[1]1_바디시그널'!L36="","",'[1]1_바디시그널'!L36)</f>
        <v/>
      </c>
      <c r="M16" s="9" t="str">
        <f>IF('[1]1_바디시그널'!M36="","",'[1]1_바디시그널'!M36)</f>
        <v/>
      </c>
      <c r="N16" s="9" t="str">
        <f>IF('[1]1_바디시그널'!N36="","",'[1]1_바디시그널'!N36)</f>
        <v/>
      </c>
      <c r="O16" s="9" t="str">
        <f>IF('[1]1_바디시그널'!O36="","",'[1]1_바디시그널'!O36)</f>
        <v/>
      </c>
      <c r="P16" s="9" t="str">
        <f>IF('[1]1_바디시그널'!P36="","",'[1]1_바디시그널'!P36)</f>
        <v/>
      </c>
      <c r="Q16" s="9" t="str">
        <f>IF('[1]1_바디시그널'!Q36="","",'[1]1_바디시그널'!Q36)</f>
        <v/>
      </c>
      <c r="R16" s="9" t="str">
        <f>IF('[1]1_바디시그널'!R36="","",'[1]1_바디시그널'!R36)</f>
        <v/>
      </c>
      <c r="S16" s="9" t="str">
        <f>IF('[1]1_바디시그널'!S36="","",'[1]1_바디시그널'!S36)</f>
        <v/>
      </c>
      <c r="T16" s="9" t="str">
        <f>IF('[1]1_바디시그널'!T36="","",'[1]1_바디시그널'!T36)</f>
        <v/>
      </c>
      <c r="U16" s="9" t="str">
        <f>IF('[1]1_바디시그널'!U36="","",'[1]1_바디시그널'!U36)</f>
        <v/>
      </c>
      <c r="V16" s="9" t="str">
        <f>IF('[1]1_바디시그널'!V36="","",'[1]1_바디시그널'!V36)</f>
        <v/>
      </c>
      <c r="W16" s="9" t="str">
        <f>IF('[1]1_바디시그널'!W36="","",'[1]1_바디시그널'!W36)</f>
        <v/>
      </c>
      <c r="X16" s="9" t="str">
        <f>IF('[1]1_바디시그널'!X36="","",'[1]1_바디시그널'!X36)</f>
        <v/>
      </c>
      <c r="Y16" s="9" t="str">
        <f>IF('[1]1_바디시그널'!Y36="","",'[1]1_바디시그널'!Y36)</f>
        <v/>
      </c>
      <c r="Z16" s="9" t="str">
        <f>IF('[1]1_바디시그널'!Z36="","",'[1]1_바디시그널'!Z36)</f>
        <v/>
      </c>
      <c r="AA16" s="9" t="str">
        <f>IF('[1]1_바디시그널'!AA36="","",'[1]1_바디시그널'!AA36)</f>
        <v/>
      </c>
      <c r="AB16" s="9" t="str">
        <f>IF('[1]1_바디시그널'!AB36="","",'[1]1_바디시그널'!AB36)</f>
        <v/>
      </c>
      <c r="AC16" s="9" t="str">
        <f>IF('[1]1_바디시그널'!AC36="","",'[1]1_바디시그널'!AC36)</f>
        <v/>
      </c>
    </row>
    <row r="17" spans="1:29" ht="60" customHeight="1">
      <c r="A17" s="5" t="s">
        <v>144</v>
      </c>
      <c r="B17" s="6" t="str">
        <f>IF('[1]1_바디시그널'!B37="","",'[1]1_바디시그널'!B37)</f>
        <v>[퇴장] 코 핥기 횟수  ※구간 전체 ~30초 · 참고</v>
      </c>
      <c r="C17" s="18" t="str">
        <f>IF('[1]1_바디시그널'!C37="","",'[1]1_바디시그널'!C37)</f>
        <v>혀가 나와 코나 윗입술을 스친 횟수를 셉니다. 1초 이상 떨어져야 따로 세고, 먹이를 먹은 뒤 30초는 세지 않습니다. 얼굴이 안 보이면 빈칸.</v>
      </c>
      <c r="D17" s="18"/>
      <c r="E17" s="18"/>
      <c r="F17" s="18"/>
      <c r="G17" s="18"/>
      <c r="H17" s="6" t="str">
        <f>IF('[1]1_바디시그널'!H37="","",'[1]1_바디시그널'!H37)</f>
        <v>별도 관찰 · 행동 횟수</v>
      </c>
      <c r="I17" s="6" t="str">
        <f>IF('[1]1_바디시그널'!I37="","",'[1]1_바디시그널'!I37)</f>
        <v>참고</v>
      </c>
      <c r="J17" s="9" t="str">
        <f>IF('[1]1_바디시그널'!J37="","",'[1]1_바디시그널'!J37)</f>
        <v/>
      </c>
      <c r="K17" s="9" t="str">
        <f>IF('[1]1_바디시그널'!K37="","",'[1]1_바디시그널'!K37)</f>
        <v/>
      </c>
      <c r="L17" s="9" t="str">
        <f>IF('[1]1_바디시그널'!L37="","",'[1]1_바디시그널'!L37)</f>
        <v/>
      </c>
      <c r="M17" s="9" t="str">
        <f>IF('[1]1_바디시그널'!M37="","",'[1]1_바디시그널'!M37)</f>
        <v/>
      </c>
      <c r="N17" s="9" t="str">
        <f>IF('[1]1_바디시그널'!N37="","",'[1]1_바디시그널'!N37)</f>
        <v/>
      </c>
      <c r="O17" s="9" t="str">
        <f>IF('[1]1_바디시그널'!O37="","",'[1]1_바디시그널'!O37)</f>
        <v/>
      </c>
      <c r="P17" s="9" t="str">
        <f>IF('[1]1_바디시그널'!P37="","",'[1]1_바디시그널'!P37)</f>
        <v/>
      </c>
      <c r="Q17" s="9" t="str">
        <f>IF('[1]1_바디시그널'!Q37="","",'[1]1_바디시그널'!Q37)</f>
        <v/>
      </c>
      <c r="R17" s="9" t="str">
        <f>IF('[1]1_바디시그널'!R37="","",'[1]1_바디시그널'!R37)</f>
        <v/>
      </c>
      <c r="S17" s="9" t="str">
        <f>IF('[1]1_바디시그널'!S37="","",'[1]1_바디시그널'!S37)</f>
        <v/>
      </c>
      <c r="T17" s="9" t="str">
        <f>IF('[1]1_바디시그널'!T37="","",'[1]1_바디시그널'!T37)</f>
        <v/>
      </c>
      <c r="U17" s="9" t="str">
        <f>IF('[1]1_바디시그널'!U37="","",'[1]1_바디시그널'!U37)</f>
        <v/>
      </c>
      <c r="V17" s="9" t="str">
        <f>IF('[1]1_바디시그널'!V37="","",'[1]1_바디시그널'!V37)</f>
        <v/>
      </c>
      <c r="W17" s="9" t="str">
        <f>IF('[1]1_바디시그널'!W37="","",'[1]1_바디시그널'!W37)</f>
        <v/>
      </c>
      <c r="X17" s="9" t="str">
        <f>IF('[1]1_바디시그널'!X37="","",'[1]1_바디시그널'!X37)</f>
        <v/>
      </c>
      <c r="Y17" s="9" t="str">
        <f>IF('[1]1_바디시그널'!Y37="","",'[1]1_바디시그널'!Y37)</f>
        <v/>
      </c>
      <c r="Z17" s="9" t="str">
        <f>IF('[1]1_바디시그널'!Z37="","",'[1]1_바디시그널'!Z37)</f>
        <v/>
      </c>
      <c r="AA17" s="9" t="str">
        <f>IF('[1]1_바디시그널'!AA37="","",'[1]1_바디시그널'!AA37)</f>
        <v/>
      </c>
      <c r="AB17" s="9" t="str">
        <f>IF('[1]1_바디시그널'!AB37="","",'[1]1_바디시그널'!AB37)</f>
        <v/>
      </c>
      <c r="AC17" s="9" t="str">
        <f>IF('[1]1_바디시그널'!AC37="","",'[1]1_바디시그널'!AC37)</f>
        <v/>
      </c>
    </row>
    <row r="18" spans="1:29" ht="63.95" customHeight="1">
      <c r="A18" s="7" t="s">
        <v>145</v>
      </c>
      <c r="B18" s="8" t="str">
        <f>IF('[1]2_개행동'!B35="","",'[1]2_개행동'!B35)</f>
        <v>[퇴장] 개 모양 물체 — 두 번째 곁 지나감  ※입장과 같게 5초 멈춤  ※사용하지 않습니다 (2026-09-22) — 개 모양 물체를 절차에서 뺐습니다</v>
      </c>
      <c r="C18" s="8" t="str">
        <f>IF('[1]2_개행동'!C35="","",'[1]2_개행동'!C35)</f>
        <v/>
      </c>
      <c r="D18" s="8" t="str">
        <f>IF('[1]2_개행동'!D35="","",'[1]2_개행동'!D35)</f>
        <v/>
      </c>
      <c r="E18" s="8" t="str">
        <f>IF('[1]2_개행동'!E35="","",'[1]2_개행동'!E35)</f>
        <v/>
      </c>
      <c r="F18" s="8" t="str">
        <f>IF('[1]2_개행동'!F35="","",'[1]2_개행동'!F35)</f>
        <v/>
      </c>
      <c r="G18" s="8" t="str">
        <f>IF('[1]2_개행동'!G35="","",'[1]2_개행동'!G35)</f>
        <v/>
      </c>
      <c r="H18" s="8" t="str">
        <f>IF('[1]2_개행동'!H35="","",'[1]2_개행동'!H35)</f>
        <v>— 사용 안 함</v>
      </c>
      <c r="I18" s="8" t="str">
        <f>IF('[1]2_개행동'!I35="","",'[1]2_개행동'!I35)</f>
        <v>미사용</v>
      </c>
      <c r="J18" s="9" t="str">
        <f>IF('[1]2_개행동'!J35="","",'[1]2_개행동'!J35)</f>
        <v/>
      </c>
      <c r="K18" s="9" t="str">
        <f>IF('[1]2_개행동'!K35="","",'[1]2_개행동'!K35)</f>
        <v/>
      </c>
      <c r="L18" s="9" t="str">
        <f>IF('[1]2_개행동'!L35="","",'[1]2_개행동'!L35)</f>
        <v/>
      </c>
      <c r="M18" s="9" t="str">
        <f>IF('[1]2_개행동'!M35="","",'[1]2_개행동'!M35)</f>
        <v/>
      </c>
      <c r="N18" s="9" t="str">
        <f>IF('[1]2_개행동'!N35="","",'[1]2_개행동'!N35)</f>
        <v/>
      </c>
      <c r="O18" s="9" t="str">
        <f>IF('[1]2_개행동'!O35="","",'[1]2_개행동'!O35)</f>
        <v/>
      </c>
      <c r="P18" s="9" t="str">
        <f>IF('[1]2_개행동'!P35="","",'[1]2_개행동'!P35)</f>
        <v/>
      </c>
      <c r="Q18" s="9" t="str">
        <f>IF('[1]2_개행동'!Q35="","",'[1]2_개행동'!Q35)</f>
        <v/>
      </c>
      <c r="R18" s="9" t="str">
        <f>IF('[1]2_개행동'!R35="","",'[1]2_개행동'!R35)</f>
        <v/>
      </c>
      <c r="S18" s="9" t="str">
        <f>IF('[1]2_개행동'!S35="","",'[1]2_개행동'!S35)</f>
        <v/>
      </c>
      <c r="T18" s="9" t="str">
        <f>IF('[1]2_개행동'!T35="","",'[1]2_개행동'!T35)</f>
        <v/>
      </c>
      <c r="U18" s="9" t="str">
        <f>IF('[1]2_개행동'!U35="","",'[1]2_개행동'!U35)</f>
        <v/>
      </c>
      <c r="V18" s="9" t="str">
        <f>IF('[1]2_개행동'!V35="","",'[1]2_개행동'!V35)</f>
        <v/>
      </c>
      <c r="W18" s="9" t="str">
        <f>IF('[1]2_개행동'!W35="","",'[1]2_개행동'!W35)</f>
        <v/>
      </c>
      <c r="X18" s="9" t="str">
        <f>IF('[1]2_개행동'!X35="","",'[1]2_개행동'!X35)</f>
        <v/>
      </c>
      <c r="Y18" s="9" t="str">
        <f>IF('[1]2_개행동'!Y35="","",'[1]2_개행동'!Y35)</f>
        <v/>
      </c>
      <c r="Z18" s="9" t="str">
        <f>IF('[1]2_개행동'!Z35="","",'[1]2_개행동'!Z35)</f>
        <v/>
      </c>
      <c r="AA18" s="9" t="str">
        <f>IF('[1]2_개행동'!AA35="","",'[1]2_개행동'!AA35)</f>
        <v/>
      </c>
      <c r="AB18" s="9" t="str">
        <f>IF('[1]2_개행동'!AB35="","",'[1]2_개행동'!AB35)</f>
        <v/>
      </c>
      <c r="AC18" s="9" t="str">
        <f>IF('[1]2_개행동'!AC35="","",'[1]2_개행동'!AC35)</f>
        <v/>
      </c>
    </row>
  </sheetData>
  <sheetProtection sheet="1" objects="1" scenarios="1" formatColumns="0" formatRows="0"/>
  <mergeCells count="6">
    <mergeCell ref="C17:G17"/>
    <mergeCell ref="A1:I1"/>
    <mergeCell ref="A2:I2"/>
    <mergeCell ref="A3:I3"/>
    <mergeCell ref="C15:G15"/>
    <mergeCell ref="C16:G16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0_안내</vt:lpstr>
      <vt:lpstr>1_입장</vt:lpstr>
      <vt:lpstr>2_기준</vt:lpstr>
      <vt:lpstr>3_혼자</vt:lpstr>
      <vt:lpstr>4_재회</vt:lpstr>
      <vt:lpstr>5_무시</vt:lpstr>
      <vt:lpstr>6_걷기</vt:lpstr>
      <vt:lpstr>7_낯선사람</vt:lpstr>
      <vt:lpstr>8_퇴장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2026-09-29T01:45:04Z</dcterms:modified>
</cp:coreProperties>
</file>
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6380" windowHeight="8190" tabRatio="500" firstSheet="0" activeTab="1" autoFilterDateGrouping="1"/>
  </bookViews>
  <sheets>
    <sheet xmlns:r="http://schemas.openxmlformats.org/officeDocument/2006/relationships" name="0_안내" sheetId="1" state="visible" r:id="rId1"/>
    <sheet xmlns:r="http://schemas.openxmlformats.org/officeDocument/2006/relationships" name="1_바디시그널" sheetId="2" state="visible" r:id="rId2"/>
    <sheet xmlns:r="http://schemas.openxmlformats.org/officeDocument/2006/relationships" name="2_개행동" sheetId="3" state="visible" r:id="rId3"/>
    <sheet xmlns:r="http://schemas.openxmlformats.org/officeDocument/2006/relationships" name="3_보호자행동" sheetId="4" state="visible" r:id="rId4"/>
    <sheet xmlns:r="http://schemas.openxmlformats.org/officeDocument/2006/relationships" name="여러쌍비교" sheetId="5" state="visible" r:id="rId5"/>
    <sheet xmlns:r="http://schemas.openxmlformats.org/officeDocument/2006/relationships" name="한마리상세" sheetId="6" state="visible" r:id="rId6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0"/>
  <fonts count="25">
    <font>
      <name val="Calibri"/>
      <charset val="1"/>
      <family val="2"/>
      <color theme="1"/>
      <sz val="11"/>
    </font>
    <font>
      <name val="맑은 고딕"/>
      <charset val="129"/>
      <family val="3"/>
      <b val="1"/>
      <color rgb="FF1F3864"/>
      <sz val="15"/>
    </font>
    <font>
      <name val="맑은 고딕"/>
      <charset val="129"/>
      <family val="3"/>
      <sz val="10"/>
    </font>
    <font>
      <name val="Noto Sans CJK SC"/>
      <family val="2"/>
      <b val="1"/>
      <color rgb="FF1F3864"/>
      <sz val="12"/>
    </font>
    <font>
      <name val="Noto Sans CJK SC"/>
      <family val="2"/>
      <sz val="10"/>
    </font>
    <font>
      <name val="맑은 고딕"/>
      <charset val="129"/>
      <family val="3"/>
      <color rgb="FF1F6F3F"/>
      <sz val="10"/>
    </font>
    <font>
      <name val="Noto Sans CJK SC"/>
      <family val="2"/>
      <b val="1"/>
      <color rgb="FF1F3864"/>
      <sz val="14"/>
    </font>
    <font>
      <name val="Noto Sans CJK SC"/>
      <family val="2"/>
      <color rgb="FF555555"/>
      <sz val="9"/>
    </font>
    <font>
      <name val="맑은 고딕"/>
      <charset val="129"/>
      <family val="3"/>
      <i val="1"/>
      <color rgb="FFC00000"/>
      <sz val="9"/>
    </font>
    <font>
      <name val="Noto Sans CJK SC"/>
      <family val="2"/>
      <b val="1"/>
      <sz val="10"/>
    </font>
    <font>
      <name val="맑은 고딕"/>
      <charset val="129"/>
      <family val="3"/>
      <b val="1"/>
      <sz val="10"/>
    </font>
    <font>
      <name val="맑은 고딕"/>
      <charset val="129"/>
      <family val="3"/>
      <b val="1"/>
      <color rgb="FF833C00"/>
      <sz val="10"/>
    </font>
    <font>
      <name val="Noto Sans CJK SC"/>
      <family val="2"/>
      <b val="1"/>
      <sz val="9"/>
    </font>
    <font>
      <name val="Noto Sans CJK SC"/>
      <family val="2"/>
      <sz val="8"/>
    </font>
    <font>
      <name val="Noto Sans CJK SC"/>
      <family val="2"/>
      <sz val="9"/>
    </font>
    <font>
      <name val="맑은 고딕"/>
      <charset val="129"/>
      <family val="3"/>
      <sz val="9"/>
    </font>
    <font>
      <name val="맑은 고딕"/>
      <charset val="129"/>
      <family val="3"/>
      <b val="1"/>
      <color rgb="FFC00000"/>
      <sz val="10"/>
    </font>
    <font>
      <name val="맑은 고딕"/>
      <charset val="129"/>
      <family val="3"/>
      <b val="1"/>
      <color rgb="FF0000FF"/>
      <sz val="10"/>
    </font>
    <font>
      <name val="Noto Sans CJK SC"/>
      <family val="2"/>
      <color rgb="FFC00000"/>
      <sz val="9"/>
    </font>
    <font>
      <name val="맑은 고딕"/>
      <charset val="129"/>
      <family val="3"/>
      <b val="1"/>
      <color rgb="FF1F3864"/>
      <sz val="14"/>
    </font>
    <font>
      <name val="Noto Sans CJK SC"/>
      <family val="2"/>
      <b val="1"/>
      <color rgb="FF1F3864"/>
      <sz val="10"/>
    </font>
    <font>
      <name val="맑은 고딕"/>
      <charset val="129"/>
      <family val="3"/>
      <color rgb="FF000000"/>
      <sz val="10"/>
    </font>
    <font>
      <name val="Noto Sans CJK SC"/>
      <family val="2"/>
      <b val="1"/>
      <sz val="11"/>
    </font>
    <font>
      <name val="맑은 고딕"/>
      <charset val="129"/>
      <family val="3"/>
      <b val="1"/>
      <color rgb="FF0000FF"/>
      <sz val="12"/>
    </font>
    <font>
      <name val="돋움"/>
      <charset val="129"/>
      <family val="3"/>
      <sz val="8"/>
    </font>
  </fonts>
  <fills count="10">
    <fill>
      <patternFill/>
    </fill>
    <fill>
      <patternFill patternType="gray125"/>
    </fill>
    <fill>
      <patternFill patternType="solid">
        <fgColor rgb="FFDCE6F1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rgb="FFF2F7FB"/>
        <bgColor rgb="FFF3F9F3"/>
      </patternFill>
    </fill>
    <fill>
      <patternFill patternType="solid">
        <fgColor rgb="FFF2F2F2"/>
        <bgColor rgb="FFF7F3FA"/>
      </patternFill>
    </fill>
    <fill>
      <patternFill patternType="solid">
        <fgColor rgb="FFFFF2CC"/>
        <bgColor rgb="FFFCE4D6"/>
      </patternFill>
    </fill>
    <fill>
      <patternFill patternType="solid">
        <fgColor rgb="FFF7F3FA"/>
        <bgColor rgb="FFF2F2F2"/>
      </patternFill>
    </fill>
    <fill>
      <patternFill patternType="solid">
        <fgColor rgb="FFF3F9F3"/>
        <bgColor rgb="FFF2F7FB"/>
      </patternFill>
    </fill>
    <fill>
      <patternFill patternType="solid">
        <fgColor rgb="FFFDF6EF"/>
        <bgColor rgb="FFF7F3FA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1F38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11" fillId="3" borderId="2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12" fillId="0" borderId="0" pivotButton="0" quotePrefix="0" xfId="0"/>
    <xf numFmtId="0" fontId="13" fillId="0" borderId="0" pivotButton="0" quotePrefix="0" xfId="0"/>
    <xf numFmtId="0" fontId="14" fillId="4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left" vertical="center"/>
    </xf>
    <xf numFmtId="0" fontId="14" fillId="4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left" vertical="center" wrapText="1"/>
    </xf>
    <xf numFmtId="0" fontId="16" fillId="4" borderId="1" applyAlignment="1" pivotButton="0" quotePrefix="0" xfId="0">
      <alignment horizontal="center" vertical="center"/>
    </xf>
    <xf numFmtId="0" fontId="17" fillId="6" borderId="2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/>
    </xf>
    <xf numFmtId="0" fontId="15" fillId="4" borderId="1" applyAlignment="1" pivotButton="0" quotePrefix="0" xfId="0">
      <alignment horizontal="left" vertical="center" wrapText="1"/>
    </xf>
    <xf numFmtId="0" fontId="14" fillId="7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left" vertical="center"/>
    </xf>
    <xf numFmtId="0" fontId="14" fillId="7" borderId="1" applyAlignment="1" pivotButton="0" quotePrefix="0" xfId="0">
      <alignment horizontal="left" vertical="center" wrapText="1"/>
    </xf>
    <xf numFmtId="0" fontId="16" fillId="7" borderId="1" applyAlignment="1" pivotButton="0" quotePrefix="0" xfId="0">
      <alignment horizontal="center" vertical="center"/>
    </xf>
    <xf numFmtId="0" fontId="15" fillId="7" borderId="1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left" vertical="center"/>
    </xf>
    <xf numFmtId="0" fontId="14" fillId="8" borderId="1" applyAlignment="1" pivotButton="0" quotePrefix="0" xfId="0">
      <alignment horizontal="left" vertical="center" wrapText="1"/>
    </xf>
    <xf numFmtId="0" fontId="16" fillId="8" borderId="1" applyAlignment="1" pivotButton="0" quotePrefix="0" xfId="0">
      <alignment horizontal="center" vertical="center"/>
    </xf>
    <xf numFmtId="0" fontId="15" fillId="8" borderId="1" applyAlignment="1" pivotButton="0" quotePrefix="0" xfId="0">
      <alignment horizontal="left" vertical="center" wrapText="1"/>
    </xf>
    <xf numFmtId="0" fontId="14" fillId="9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left" vertical="center"/>
    </xf>
    <xf numFmtId="0" fontId="14" fillId="9" borderId="1" applyAlignment="1" pivotButton="0" quotePrefix="0" xfId="0">
      <alignment horizontal="left" vertical="center" wrapText="1"/>
    </xf>
    <xf numFmtId="0" fontId="16" fillId="9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left" vertical="center" wrapText="1"/>
    </xf>
    <xf numFmtId="0" fontId="18" fillId="0" borderId="0" pivotButton="0" quotePrefix="0" xfId="0"/>
    <xf numFmtId="0" fontId="15" fillId="7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left" vertical="center"/>
    </xf>
    <xf numFmtId="0" fontId="15" fillId="8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left" vertical="center"/>
    </xf>
    <xf numFmtId="0" fontId="19" fillId="0" borderId="0" pivotButton="0" quotePrefix="0" xfId="0"/>
    <xf numFmtId="0" fontId="20" fillId="2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0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3" fillId="6" borderId="1" applyAlignment="1" pivotButton="0" quotePrefix="0" xfId="0">
      <alignment horizontal="center"/>
    </xf>
    <xf numFmtId="0" fontId="9" fillId="2" borderId="1" applyAlignment="1" pivotButton="0" quotePrefix="0" xfId="0">
      <alignment horizontal="center"/>
    </xf>
    <xf numFmtId="0" fontId="9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0" fontId="20" fillId="2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FF000000"/>
      <rgbColor rgb="FFFDF6EF"/>
      <rgbColor rgb="FFC00000"/>
      <rgbColor rgb="FF00FF00"/>
      <rgbColor rgb="FF0000FF"/>
      <rgbColor rgb="FFFFFF00"/>
      <rgbColor rgb="FFFF00FF"/>
      <rgbColor rgb="FF00FFFF"/>
      <rgbColor rgb="FF800000"/>
      <rgbColor rgb="FF1F6F3F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F7F3F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7FB"/>
      <rgbColor rgb="FFF3F9F3"/>
      <rgbColor rgb="FFF2F2F2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833C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"/>
  <sheetViews>
    <sheetView zoomScaleNormal="100" workbookViewId="0">
      <selection activeCell="A1" sqref="A1"/>
    </sheetView>
  </sheetViews>
  <sheetFormatPr baseColWidth="8" defaultColWidth="8.7109375" defaultRowHeight="15"/>
  <cols>
    <col width="122" customWidth="1" style="1" min="1" max="1"/>
  </cols>
  <sheetData>
    <row r="1" ht="23.1" customHeight="1" s="1">
      <c r="A1" s="2" t="inlineStr">
        <is>
          <t>행동 채점표 — 2026-08-20 수정본 (55항목). AI 관측 가능 + 중복·저변별 항목 정리</t>
        </is>
      </c>
    </row>
    <row r="2" ht="15" customHeight="1" s="1">
      <c r="A2" s="3" t="n"/>
    </row>
    <row r="3" ht="19.35" customHeight="1" s="1">
      <c r="A3" s="4" t="inlineStr">
        <is>
          <t>■ 한 파일로 20마리까지</t>
        </is>
      </c>
    </row>
    <row r="4" ht="15" customHeight="1" s="1">
      <c r="A4" s="5" t="inlineStr">
        <is>
          <t>세 입력 시트 모두 J열부터 오른쪽으로 1번~20번 칸이 있습니다. 강아지마다 한 열을 쓰세요.</t>
        </is>
      </c>
    </row>
    <row r="5" ht="15" customHeight="1" s="1">
      <c r="A5" s="5" t="inlineStr">
        <is>
          <t>이름과 견종은 [여러쌍비교] 시트의 B·C열에 적으면 됩니다. 번호가 서로 연결되어 있습니다.</t>
        </is>
      </c>
    </row>
    <row r="6" ht="15" customHeight="1" s="1">
      <c r="A6" s="3" t="n"/>
    </row>
    <row r="7" ht="15" customHeight="1" s="1">
      <c r="A7" s="4" t="inlineStr">
        <is>
          <t>■ 고른 번호가 곧 점수입니다</t>
        </is>
      </c>
    </row>
    <row r="8" ht="15" customHeight="1" s="1">
      <c r="A8" s="3" t="inlineStr">
        <is>
          <t>1 = 양호(문제 없음)   3 = 중간   5 = 확실한 강한 문제</t>
        </is>
      </c>
    </row>
    <row r="9" ht="15" customHeight="1" s="1">
      <c r="A9" s="3" t="inlineStr">
        <is>
          <t>2점과 4점 칸은 마땅한 상태가 없으면 비워 두었습니다(회색). 현장에서 발견하면 직접 써 넣으세요.</t>
        </is>
      </c>
    </row>
    <row r="10" ht="15" customHeight="1" s="1">
      <c r="A10" s="5" t="inlineStr">
        <is>
          <t>빈 칸에 글을 넣는 즉시 20마리 전원에게 선택지로 적용되고 집계에도 반영됩니다.</t>
        </is>
      </c>
    </row>
    <row r="11" ht="15" customHeight="1" s="1">
      <c r="A11" s="3" t="n"/>
    </row>
    <row r="12" ht="15" customHeight="1" s="1">
      <c r="A12" s="4" t="inlineStr">
        <is>
          <t>■ 방향 태그</t>
        </is>
      </c>
    </row>
    <row r="13" ht="15" customHeight="1" s="1">
      <c r="A13" s="5" t="inlineStr">
        <is>
          <t>선택지 끝의 [A] = 과함(과흥분·과잉통제·불안), [B] = 위축(공포·방임·회피).</t>
        </is>
      </c>
    </row>
    <row r="14" ht="15" customHeight="1" s="1">
      <c r="A14" s="5" t="inlineStr">
        <is>
          <t>직접 칸을 채울 때도 라벨 끝에 [A] 또는 [B]를 붙이면 방향이 자동 판정됩니다. 없으면 방향 없음(-).</t>
        </is>
      </c>
    </row>
    <row r="15" ht="15" customHeight="1" s="1">
      <c r="A15" s="3" t="n"/>
    </row>
    <row r="16" ht="15" customHeight="1" s="1">
      <c r="A16" s="4" t="inlineStr">
        <is>
          <t>■ 시트 구성</t>
        </is>
      </c>
    </row>
    <row r="17" ht="15" customHeight="1" s="1">
      <c r="A17" s="3" t="inlineStr">
        <is>
          <t>1_바디시그널   32항목   꼬리·귀·자세·입·눈·이동·발성·전위행동 × 4구간</t>
        </is>
      </c>
    </row>
    <row r="18" ht="15" customHeight="1" s="1">
      <c r="A18" s="3" t="inlineStr">
        <is>
          <t>2_개행동       22항목   자극별 반응 6, 분리·재회 6, 훈련 6, 놀이 4</t>
        </is>
      </c>
    </row>
    <row r="19" ht="15" customHeight="1" s="1">
      <c r="A19" s="3" t="inlineStr">
        <is>
          <t>3_보호자행동   31항목   공통신호 6 × 4구간 + 구간별 대응 7</t>
        </is>
      </c>
    </row>
    <row r="20" ht="15" customHeight="1" s="1">
      <c r="A20" s="5" t="inlineStr">
        <is>
          <t>여러쌍비교              20마리 × 6영역(최고·평균·방향) + 행동 흔들림. 전부 자동 계산.</t>
        </is>
      </c>
    </row>
    <row r="21" ht="15" customHeight="1" s="1">
      <c r="A21" s="5" t="inlineStr">
        <is>
          <t>한마리상세              번호 하나를 넣으면 그 아이만 자세히 봅니다.</t>
        </is>
      </c>
    </row>
    <row r="22" ht="15" customHeight="1" s="1">
      <c r="A22" s="3" t="n"/>
    </row>
    <row r="23" ht="15" customHeight="1" s="1">
      <c r="A23" s="6" t="inlineStr">
        <is>
          <t xml:space="preserve">  [입력 예시]  1_바디시그널 시트 / 구간=입장 / 항목=꼬리</t>
        </is>
      </c>
    </row>
    <row r="24" ht="15" customHeight="1" s="1">
      <c r="A24" s="6" t="inlineStr">
        <is>
          <t xml:space="preserve">  1점: 중립 높이·이완  |  2점: 낮게 내림 [B]  |  3점: 높이 들고 경직 [A]  |  4점: (빈 칸)  |  5점: 다리 사이로 말아 넣음 [B]</t>
        </is>
      </c>
    </row>
    <row r="25" ht="15" customHeight="1" s="1">
      <c r="A25" s="6" t="inlineStr">
        <is>
          <t xml:space="preserve">  → 3번 강아지가 꼬리를 내리고 들어왔다면 'L열(3번)'에 2 입력  →  점수 2, 방향 B로 집계됩니다.</t>
        </is>
      </c>
    </row>
    <row r="26" ht="15" customHeight="1" s="1">
      <c r="A26" s="3" t="n"/>
    </row>
    <row r="27" ht="15" customHeight="1" s="1">
      <c r="A27" s="4" t="inlineStr">
        <is>
          <t>■ 영역 배정</t>
        </is>
      </c>
    </row>
    <row r="28" ht="15" customHeight="1" s="1">
      <c r="A28" s="5" t="inlineStr">
        <is>
          <t>교육태도      ← 훈련 구간의 보호자 행동 + 개의 지시 수행·훈련성 흡수 + 훈련 구간 바디시그널</t>
        </is>
      </c>
    </row>
    <row r="29" ht="15" customHeight="1" s="1">
      <c r="A29" s="5" t="inlineStr">
        <is>
          <t>사회성-사람   ← 입장 구간 스태프 반응</t>
        </is>
      </c>
    </row>
    <row r="30" ht="15" customHeight="1" s="1">
      <c r="A30" s="5" t="inlineStr">
        <is>
          <t>사회성-개     ← 입장 구간 강아지 인형 반응 (대리지표)</t>
        </is>
      </c>
    </row>
    <row r="31" ht="15" customHeight="1" s="1">
      <c r="A31" s="5" t="inlineStr">
        <is>
          <t>사회성-환경   ← 입장 구간 골목·막대기·바닥·매트 + 입장 구간 바디시그널</t>
        </is>
      </c>
    </row>
    <row r="32" ht="15" customHeight="1" s="1">
      <c r="A32" s="5" t="inlineStr">
        <is>
          <t>친밀·애착     ← 분리·재회 + 놀이 + 해당 구간 바디시그널</t>
        </is>
      </c>
    </row>
    <row r="33" ht="15" customHeight="1" s="1">
      <c r="A33" s="5" t="inlineStr">
        <is>
          <t>보호자 행동 일관성   ← 훈련 외 구간의 보호자 행동 (크기보다 구간 간 흔들림을 봄)</t>
        </is>
      </c>
    </row>
    <row r="34" ht="15" customHeight="1" s="1">
      <c r="A34" s="3" t="n"/>
    </row>
    <row r="35" ht="15" customHeight="1" s="1">
      <c r="A35" s="4" t="inlineStr">
        <is>
          <t>■ 확정 전에 정해야 할 것</t>
        </is>
      </c>
    </row>
    <row r="36" ht="15" customHeight="1" s="1">
      <c r="A36" s="3" t="inlineStr">
        <is>
          <t>· 1점이 최저이므로 평균은 절대 1 아래로 내려가지 않습니다. 예전 0점 체계와 평균을 직접 비교하지 마세요.</t>
        </is>
      </c>
    </row>
    <row r="37" ht="15" customHeight="1" s="1">
      <c r="A37" s="3" t="inlineStr">
        <is>
          <t>· 기준선 처리: 겁 많은 개는 무반응 10초부터 이미 꼬리를 내리고 있어, 절대 점수로 채점하면 전 구간이 고득점이 됩니다.</t>
        </is>
      </c>
    </row>
    <row r="38" ht="15" customHeight="1" s="1">
      <c r="A38" s="3" t="inlineStr">
        <is>
          <t>· 헐떡임의 더위 배제 — 행사장 실내 온도를 기록해 두어야 판정할 수 있습니다.</t>
        </is>
      </c>
    </row>
    <row r="39" ht="15" customHeight="1" s="1">
      <c r="A39" s="3" t="inlineStr">
        <is>
          <t>· 입장 구간의 자극별 반응과 바디시그널이 같은 것을 두 번 재는 것은 아닌지 파일럿에서 확인 필요.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R40"/>
  <sheetViews>
    <sheetView tabSelected="1" zoomScaleNormal="100" workbookViewId="0">
      <pane xSplit="9" ySplit="4" topLeftCell="J8" activePane="bottomRight" state="frozen"/>
      <selection pane="topRight" activeCell="J1" sqref="J1"/>
      <selection pane="bottomLeft" activeCell="A5" sqref="A5"/>
      <selection pane="bottomRight" activeCell="A1" sqref="A1"/>
    </sheetView>
  </sheetViews>
  <sheetFormatPr baseColWidth="8" defaultColWidth="8.7109375" defaultRowHeight="15"/>
  <cols>
    <col width="8" customWidth="1" style="1" min="1" max="1"/>
    <col width="30" customWidth="1" style="1" min="2" max="2"/>
    <col width="24" customWidth="1" style="1" min="3" max="7"/>
    <col width="12" customWidth="1" style="1" min="8" max="8"/>
    <col width="5" customWidth="1" style="1" min="9" max="9"/>
    <col width="5.140625" customWidth="1" style="1" min="10" max="29"/>
    <col hidden="1" width="13" customWidth="1" style="1" min="30" max="70"/>
  </cols>
  <sheetData>
    <row r="1" ht="17.45" customHeight="1" s="1">
      <c r="A1" s="7" t="inlineStr">
        <is>
          <t>바디시그널</t>
        </is>
      </c>
    </row>
    <row r="2" ht="15" customHeight="1" s="1">
      <c r="A2" s="8" t="inlineStr">
        <is>
          <t>개가 무의식적으로 내보내는 신체 신호. 해석하지 말고 보이는 상태 그대로 하나만 고른다. 구간마다 8부위를 한 번씩.</t>
        </is>
      </c>
    </row>
    <row r="3" ht="15" customHeight="1" s="1">
      <c r="A3" s="9" t="inlineStr">
        <is>
          <t>J열부터 오른쪽으로 1번~20번 강아지 칸입니다. 각 칸에 1~5 중 하나를 입력하면 그 숫자가 곧 점수입니다. 1=양호, 5=확실한 강한 문제. 회색 빈 칸은 아직 정하지 않은 단계이니 직접 채워 넣으면 바로 반영됩니다.</t>
        </is>
      </c>
    </row>
    <row r="4" ht="31.5" customHeight="1" s="1">
      <c r="A4" s="10" t="inlineStr">
        <is>
          <t>구간</t>
        </is>
      </c>
      <c r="B4" s="10" t="inlineStr">
        <is>
          <t>관찰 항목</t>
        </is>
      </c>
      <c r="C4" s="11" t="inlineStr">
        <is>
          <t>1점 (양호)</t>
        </is>
      </c>
      <c r="D4" s="11" t="inlineStr">
        <is>
          <t>2점</t>
        </is>
      </c>
      <c r="E4" s="11" t="inlineStr">
        <is>
          <t>3점 (중간)</t>
        </is>
      </c>
      <c r="F4" s="11" t="inlineStr">
        <is>
          <t>4점</t>
        </is>
      </c>
      <c r="G4" s="11" t="inlineStr">
        <is>
          <t>5점 (강한 문제)</t>
        </is>
      </c>
      <c r="H4" s="10" t="inlineStr">
        <is>
          <t>영역</t>
        </is>
      </c>
      <c r="I4" s="10" t="inlineStr">
        <is>
          <t>핵심</t>
        </is>
      </c>
      <c r="J4" s="12" t="inlineStr">
        <is>
          <t>1번</t>
        </is>
      </c>
      <c r="K4" s="13" t="inlineStr">
        <is>
          <t>2번</t>
        </is>
      </c>
      <c r="L4" s="13" t="inlineStr">
        <is>
          <t>3번</t>
        </is>
      </c>
      <c r="M4" s="13" t="inlineStr">
        <is>
          <t>4번</t>
        </is>
      </c>
      <c r="N4" s="13" t="inlineStr">
        <is>
          <t>5번</t>
        </is>
      </c>
      <c r="O4" s="13" t="inlineStr">
        <is>
          <t>6번</t>
        </is>
      </c>
      <c r="P4" s="13" t="inlineStr">
        <is>
          <t>7번</t>
        </is>
      </c>
      <c r="Q4" s="13" t="inlineStr">
        <is>
          <t>8번</t>
        </is>
      </c>
      <c r="R4" s="13" t="inlineStr">
        <is>
          <t>9번</t>
        </is>
      </c>
      <c r="S4" s="13" t="inlineStr">
        <is>
          <t>10번</t>
        </is>
      </c>
      <c r="T4" s="13" t="inlineStr">
        <is>
          <t>11번</t>
        </is>
      </c>
      <c r="U4" s="13" t="inlineStr">
        <is>
          <t>12번</t>
        </is>
      </c>
      <c r="V4" s="13" t="inlineStr">
        <is>
          <t>13번</t>
        </is>
      </c>
      <c r="W4" s="13" t="inlineStr">
        <is>
          <t>14번</t>
        </is>
      </c>
      <c r="X4" s="13" t="inlineStr">
        <is>
          <t>15번</t>
        </is>
      </c>
      <c r="Y4" s="13" t="inlineStr">
        <is>
          <t>16번</t>
        </is>
      </c>
      <c r="Z4" s="13" t="inlineStr">
        <is>
          <t>17번</t>
        </is>
      </c>
      <c r="AA4" s="13" t="inlineStr">
        <is>
          <t>18번</t>
        </is>
      </c>
      <c r="AB4" s="13" t="inlineStr">
        <is>
          <t>19번</t>
        </is>
      </c>
      <c r="AC4" s="13" t="inlineStr">
        <is>
          <t>20번</t>
        </is>
      </c>
      <c r="AD4" s="14" t="inlineStr">
        <is>
          <t>영역코드</t>
        </is>
      </c>
      <c r="AE4" s="15" t="inlineStr">
        <is>
          <t>점수1</t>
        </is>
      </c>
      <c r="AF4" s="15" t="inlineStr">
        <is>
          <t>점수2</t>
        </is>
      </c>
      <c r="AG4" s="15" t="inlineStr">
        <is>
          <t>점수3</t>
        </is>
      </c>
      <c r="AH4" s="15" t="inlineStr">
        <is>
          <t>점수4</t>
        </is>
      </c>
      <c r="AI4" s="15" t="inlineStr">
        <is>
          <t>점수5</t>
        </is>
      </c>
      <c r="AJ4" s="15" t="inlineStr">
        <is>
          <t>점수6</t>
        </is>
      </c>
      <c r="AK4" s="15" t="inlineStr">
        <is>
          <t>점수7</t>
        </is>
      </c>
      <c r="AL4" s="15" t="inlineStr">
        <is>
          <t>점수8</t>
        </is>
      </c>
      <c r="AM4" s="15" t="inlineStr">
        <is>
          <t>점수9</t>
        </is>
      </c>
      <c r="AN4" s="15" t="inlineStr">
        <is>
          <t>점수10</t>
        </is>
      </c>
      <c r="AO4" s="15" t="inlineStr">
        <is>
          <t>점수11</t>
        </is>
      </c>
      <c r="AP4" s="15" t="inlineStr">
        <is>
          <t>점수12</t>
        </is>
      </c>
      <c r="AQ4" s="15" t="inlineStr">
        <is>
          <t>점수13</t>
        </is>
      </c>
      <c r="AR4" s="15" t="inlineStr">
        <is>
          <t>점수14</t>
        </is>
      </c>
      <c r="AS4" s="15" t="inlineStr">
        <is>
          <t>점수15</t>
        </is>
      </c>
      <c r="AT4" s="15" t="inlineStr">
        <is>
          <t>점수16</t>
        </is>
      </c>
      <c r="AU4" s="15" t="inlineStr">
        <is>
          <t>점수17</t>
        </is>
      </c>
      <c r="AV4" s="15" t="inlineStr">
        <is>
          <t>점수18</t>
        </is>
      </c>
      <c r="AW4" s="15" t="inlineStr">
        <is>
          <t>점수19</t>
        </is>
      </c>
      <c r="AX4" s="15" t="inlineStr">
        <is>
          <t>점수20</t>
        </is>
      </c>
      <c r="AY4" s="15" t="inlineStr">
        <is>
          <t>방향1</t>
        </is>
      </c>
      <c r="AZ4" s="15" t="inlineStr">
        <is>
          <t>방향2</t>
        </is>
      </c>
      <c r="BA4" s="15" t="inlineStr">
        <is>
          <t>방향3</t>
        </is>
      </c>
      <c r="BB4" s="15" t="inlineStr">
        <is>
          <t>방향4</t>
        </is>
      </c>
      <c r="BC4" s="15" t="inlineStr">
        <is>
          <t>방향5</t>
        </is>
      </c>
      <c r="BD4" s="15" t="inlineStr">
        <is>
          <t>방향6</t>
        </is>
      </c>
      <c r="BE4" s="15" t="inlineStr">
        <is>
          <t>방향7</t>
        </is>
      </c>
      <c r="BF4" s="15" t="inlineStr">
        <is>
          <t>방향8</t>
        </is>
      </c>
      <c r="BG4" s="15" t="inlineStr">
        <is>
          <t>방향9</t>
        </is>
      </c>
      <c r="BH4" s="15" t="inlineStr">
        <is>
          <t>방향10</t>
        </is>
      </c>
      <c r="BI4" s="15" t="inlineStr">
        <is>
          <t>방향11</t>
        </is>
      </c>
      <c r="BJ4" s="15" t="inlineStr">
        <is>
          <t>방향12</t>
        </is>
      </c>
      <c r="BK4" s="15" t="inlineStr">
        <is>
          <t>방향13</t>
        </is>
      </c>
      <c r="BL4" s="15" t="inlineStr">
        <is>
          <t>방향14</t>
        </is>
      </c>
      <c r="BM4" s="15" t="inlineStr">
        <is>
          <t>방향15</t>
        </is>
      </c>
      <c r="BN4" s="15" t="inlineStr">
        <is>
          <t>방향16</t>
        </is>
      </c>
      <c r="BO4" s="15" t="inlineStr">
        <is>
          <t>방향17</t>
        </is>
      </c>
      <c r="BP4" s="15" t="inlineStr">
        <is>
          <t>방향18</t>
        </is>
      </c>
      <c r="BQ4" s="15" t="inlineStr">
        <is>
          <t>방향19</t>
        </is>
      </c>
      <c r="BR4" s="15" t="inlineStr">
        <is>
          <t>방향20</t>
        </is>
      </c>
    </row>
    <row r="5" ht="30" customHeight="1" s="1">
      <c r="A5" s="16" t="inlineStr">
        <is>
          <t>입장</t>
        </is>
      </c>
      <c r="B5" s="17" t="inlineStr">
        <is>
          <t>꼬리</t>
        </is>
      </c>
      <c r="C5" s="18" t="inlineStr">
        <is>
          <t>중립 높이·이완되어 있음</t>
        </is>
      </c>
      <c r="D5" s="18" t="inlineStr">
        <is>
          <t>평소보다 낮게 내림 [B]</t>
        </is>
      </c>
      <c r="E5" s="18" t="inlineStr">
        <is>
          <t>높이 들고 경직·짧고 빠른 흔들림 [A]</t>
        </is>
      </c>
      <c r="F5" s="19" t="n"/>
      <c r="G5" s="18" t="inlineStr">
        <is>
          <t>다리 사이로 말아 넣음 [B]</t>
        </is>
      </c>
      <c r="H5" s="16" t="inlineStr">
        <is>
          <t>사회성-환경</t>
        </is>
      </c>
      <c r="I5" s="20" t="inlineStr">
        <is>
          <t>★</t>
        </is>
      </c>
      <c r="J5" s="21" t="n"/>
      <c r="K5" s="22" t="n"/>
      <c r="L5" s="22" t="n"/>
      <c r="M5" s="22" t="n"/>
      <c r="N5" s="22" t="n"/>
      <c r="O5" s="22" t="n"/>
      <c r="P5" s="22" t="n"/>
      <c r="Q5" s="22" t="n"/>
      <c r="R5" s="22" t="n"/>
      <c r="S5" s="22" t="n"/>
      <c r="T5" s="22" t="n"/>
      <c r="U5" s="22" t="n"/>
      <c r="V5" s="22" t="n"/>
      <c r="W5" s="22" t="n"/>
      <c r="X5" s="22" t="n"/>
      <c r="Y5" s="22" t="n"/>
      <c r="Z5" s="22" t="n"/>
      <c r="AA5" s="22" t="n"/>
      <c r="AB5" s="22" t="n"/>
      <c r="AC5" s="22" t="n"/>
      <c r="AD5" t="inlineStr">
        <is>
          <t>SOC_E</t>
        </is>
      </c>
      <c r="AE5">
        <f>IF($J5="","",IF(INDEX($C5:$G5,$J5)="","",$J5))</f>
        <v/>
      </c>
      <c r="AF5">
        <f>IF($K5="","",IF(INDEX($C5:$G5,$K5)="","",$K5))</f>
        <v/>
      </c>
      <c r="AG5">
        <f>IF($L5="","",IF(INDEX($C5:$G5,$L5)="","",$L5))</f>
        <v/>
      </c>
      <c r="AH5">
        <f>IF($M5="","",IF(INDEX($C5:$G5,$M5)="","",$M5))</f>
        <v/>
      </c>
      <c r="AI5">
        <f>IF($N5="","",IF(INDEX($C5:$G5,$N5)="","",$N5))</f>
        <v/>
      </c>
      <c r="AJ5">
        <f>IF($O5="","",IF(INDEX($C5:$G5,$O5)="","",$O5))</f>
        <v/>
      </c>
      <c r="AK5">
        <f>IF($P5="","",IF(INDEX($C5:$G5,$P5)="","",$P5))</f>
        <v/>
      </c>
      <c r="AL5">
        <f>IF($Q5="","",IF(INDEX($C5:$G5,$Q5)="","",$Q5))</f>
        <v/>
      </c>
      <c r="AM5">
        <f>IF($R5="","",IF(INDEX($C5:$G5,$R5)="","",$R5))</f>
        <v/>
      </c>
      <c r="AN5">
        <f>IF($S5="","",IF(INDEX($C5:$G5,$S5)="","",$S5))</f>
        <v/>
      </c>
      <c r="AO5">
        <f>IF($T5="","",IF(INDEX($C5:$G5,$T5)="","",$T5))</f>
        <v/>
      </c>
      <c r="AP5">
        <f>IF($U5="","",IF(INDEX($C5:$G5,$U5)="","",$U5))</f>
        <v/>
      </c>
      <c r="AQ5">
        <f>IF($V5="","",IF(INDEX($C5:$G5,$V5)="","",$V5))</f>
        <v/>
      </c>
      <c r="AR5">
        <f>IF($W5="","",IF(INDEX($C5:$G5,$W5)="","",$W5))</f>
        <v/>
      </c>
      <c r="AS5">
        <f>IF($X5="","",IF(INDEX($C5:$G5,$X5)="","",$X5))</f>
        <v/>
      </c>
      <c r="AT5">
        <f>IF($Y5="","",IF(INDEX($C5:$G5,$Y5)="","",$Y5))</f>
        <v/>
      </c>
      <c r="AU5">
        <f>IF($Z5="","",IF(INDEX($C5:$G5,$Z5)="","",$Z5))</f>
        <v/>
      </c>
      <c r="AV5">
        <f>IF($AA5="","",IF(INDEX($C5:$G5,$AA5)="","",$AA5))</f>
        <v/>
      </c>
      <c r="AW5">
        <f>IF($AB5="","",IF(INDEX($C5:$G5,$AB5)="","",$AB5))</f>
        <v/>
      </c>
      <c r="AX5">
        <f>IF($AC5="","",IF(INDEX($C5:$G5,$AC5)="","",$AC5))</f>
        <v/>
      </c>
      <c r="AY5">
        <f>IF($J5="","",IF(INDEX($C5:$G5,$J5)="","",IF(ISNUMBER(SEARCH("[A]",INDEX($C5:$G5,$J5))),"A",IF(ISNUMBER(SEARCH("[B]",INDEX($C5:$G5,$J5))),"B","-"))))</f>
        <v/>
      </c>
      <c r="AZ5">
        <f>IF($K5="","",IF(INDEX($C5:$G5,$K5)="","",IF(ISNUMBER(SEARCH("[A]",INDEX($C5:$G5,$K5))),"A",IF(ISNUMBER(SEARCH("[B]",INDEX($C5:$G5,$K5))),"B","-"))))</f>
        <v/>
      </c>
      <c r="BA5">
        <f>IF($L5="","",IF(INDEX($C5:$G5,$L5)="","",IF(ISNUMBER(SEARCH("[A]",INDEX($C5:$G5,$L5))),"A",IF(ISNUMBER(SEARCH("[B]",INDEX($C5:$G5,$L5))),"B","-"))))</f>
        <v/>
      </c>
      <c r="BB5">
        <f>IF($M5="","",IF(INDEX($C5:$G5,$M5)="","",IF(ISNUMBER(SEARCH("[A]",INDEX($C5:$G5,$M5))),"A",IF(ISNUMBER(SEARCH("[B]",INDEX($C5:$G5,$M5))),"B","-"))))</f>
        <v/>
      </c>
      <c r="BC5">
        <f>IF($N5="","",IF(INDEX($C5:$G5,$N5)="","",IF(ISNUMBER(SEARCH("[A]",INDEX($C5:$G5,$N5))),"A",IF(ISNUMBER(SEARCH("[B]",INDEX($C5:$G5,$N5))),"B","-"))))</f>
        <v/>
      </c>
      <c r="BD5">
        <f>IF($O5="","",IF(INDEX($C5:$G5,$O5)="","",IF(ISNUMBER(SEARCH("[A]",INDEX($C5:$G5,$O5))),"A",IF(ISNUMBER(SEARCH("[B]",INDEX($C5:$G5,$O5))),"B","-"))))</f>
        <v/>
      </c>
      <c r="BE5">
        <f>IF($P5="","",IF(INDEX($C5:$G5,$P5)="","",IF(ISNUMBER(SEARCH("[A]",INDEX($C5:$G5,$P5))),"A",IF(ISNUMBER(SEARCH("[B]",INDEX($C5:$G5,$P5))),"B","-"))))</f>
        <v/>
      </c>
      <c r="BF5">
        <f>IF($Q5="","",IF(INDEX($C5:$G5,$Q5)="","",IF(ISNUMBER(SEARCH("[A]",INDEX($C5:$G5,$Q5))),"A",IF(ISNUMBER(SEARCH("[B]",INDEX($C5:$G5,$Q5))),"B","-"))))</f>
        <v/>
      </c>
      <c r="BG5">
        <f>IF($R5="","",IF(INDEX($C5:$G5,$R5)="","",IF(ISNUMBER(SEARCH("[A]",INDEX($C5:$G5,$R5))),"A",IF(ISNUMBER(SEARCH("[B]",INDEX($C5:$G5,$R5))),"B","-"))))</f>
        <v/>
      </c>
      <c r="BH5">
        <f>IF($S5="","",IF(INDEX($C5:$G5,$S5)="","",IF(ISNUMBER(SEARCH("[A]",INDEX($C5:$G5,$S5))),"A",IF(ISNUMBER(SEARCH("[B]",INDEX($C5:$G5,$S5))),"B","-"))))</f>
        <v/>
      </c>
      <c r="BI5">
        <f>IF($T5="","",IF(INDEX($C5:$G5,$T5)="","",IF(ISNUMBER(SEARCH("[A]",INDEX($C5:$G5,$T5))),"A",IF(ISNUMBER(SEARCH("[B]",INDEX($C5:$G5,$T5))),"B","-"))))</f>
        <v/>
      </c>
      <c r="BJ5">
        <f>IF($U5="","",IF(INDEX($C5:$G5,$U5)="","",IF(ISNUMBER(SEARCH("[A]",INDEX($C5:$G5,$U5))),"A",IF(ISNUMBER(SEARCH("[B]",INDEX($C5:$G5,$U5))),"B","-"))))</f>
        <v/>
      </c>
      <c r="BK5">
        <f>IF($V5="","",IF(INDEX($C5:$G5,$V5)="","",IF(ISNUMBER(SEARCH("[A]",INDEX($C5:$G5,$V5))),"A",IF(ISNUMBER(SEARCH("[B]",INDEX($C5:$G5,$V5))),"B","-"))))</f>
        <v/>
      </c>
      <c r="BL5">
        <f>IF($W5="","",IF(INDEX($C5:$G5,$W5)="","",IF(ISNUMBER(SEARCH("[A]",INDEX($C5:$G5,$W5))),"A",IF(ISNUMBER(SEARCH("[B]",INDEX($C5:$G5,$W5))),"B","-"))))</f>
        <v/>
      </c>
      <c r="BM5">
        <f>IF($X5="","",IF(INDEX($C5:$G5,$X5)="","",IF(ISNUMBER(SEARCH("[A]",INDEX($C5:$G5,$X5))),"A",IF(ISNUMBER(SEARCH("[B]",INDEX($C5:$G5,$X5))),"B","-"))))</f>
        <v/>
      </c>
      <c r="BN5">
        <f>IF($Y5="","",IF(INDEX($C5:$G5,$Y5)="","",IF(ISNUMBER(SEARCH("[A]",INDEX($C5:$G5,$Y5))),"A",IF(ISNUMBER(SEARCH("[B]",INDEX($C5:$G5,$Y5))),"B","-"))))</f>
        <v/>
      </c>
      <c r="BO5">
        <f>IF($Z5="","",IF(INDEX($C5:$G5,$Z5)="","",IF(ISNUMBER(SEARCH("[A]",INDEX($C5:$G5,$Z5))),"A",IF(ISNUMBER(SEARCH("[B]",INDEX($C5:$G5,$Z5))),"B","-"))))</f>
        <v/>
      </c>
      <c r="BP5">
        <f>IF($AA5="","",IF(INDEX($C5:$G5,$AA5)="","",IF(ISNUMBER(SEARCH("[A]",INDEX($C5:$G5,$AA5))),"A",IF(ISNUMBER(SEARCH("[B]",INDEX($C5:$G5,$AA5))),"B","-"))))</f>
        <v/>
      </c>
      <c r="BQ5">
        <f>IF($AB5="","",IF(INDEX($C5:$G5,$AB5)="","",IF(ISNUMBER(SEARCH("[A]",INDEX($C5:$G5,$AB5))),"A",IF(ISNUMBER(SEARCH("[B]",INDEX($C5:$G5,$AB5))),"B","-"))))</f>
        <v/>
      </c>
      <c r="BR5">
        <f>IF($AC5="","",IF(INDEX($C5:$G5,$AC5)="","",IF(ISNUMBER(SEARCH("[A]",INDEX($C5:$G5,$AC5))),"A",IF(ISNUMBER(SEARCH("[B]",INDEX($C5:$G5,$AC5))),"B","-"))))</f>
        <v/>
      </c>
    </row>
    <row r="6" ht="30" customHeight="1" s="1">
      <c r="A6" s="16" t="inlineStr">
        <is>
          <t>입장</t>
        </is>
      </c>
      <c r="B6" s="17" t="inlineStr">
        <is>
          <t>자세·무게중심</t>
        </is>
      </c>
      <c r="C6" s="18" t="inlineStr">
        <is>
          <t>사지에 균등·중립</t>
        </is>
      </c>
      <c r="D6" s="18" t="n"/>
      <c r="E6" s="18" t="inlineStr">
        <is>
          <t>무게중심 뒤·뒷걸음 자세 [B]</t>
        </is>
      </c>
      <c r="F6" s="19" t="inlineStr">
        <is>
          <t>무게중심 앞·몸을 앞으로 기울임 [A]</t>
        </is>
      </c>
      <c r="G6" s="18" t="inlineStr">
        <is>
          <t>몸 낮춤·웅크림·배 노출 [B]</t>
        </is>
      </c>
      <c r="H6" s="16" t="inlineStr">
        <is>
          <t>사회성-환경</t>
        </is>
      </c>
      <c r="I6" s="20" t="inlineStr">
        <is>
          <t>★</t>
        </is>
      </c>
      <c r="J6" s="21" t="n"/>
      <c r="K6" s="22" t="n"/>
      <c r="L6" s="22" t="n"/>
      <c r="M6" s="22" t="n"/>
      <c r="N6" s="22" t="n"/>
      <c r="O6" s="22" t="n"/>
      <c r="P6" s="22" t="n"/>
      <c r="Q6" s="22" t="n"/>
      <c r="R6" s="22" t="n"/>
      <c r="S6" s="22" t="n"/>
      <c r="T6" s="22" t="n"/>
      <c r="U6" s="22" t="n"/>
      <c r="V6" s="22" t="n"/>
      <c r="W6" s="22" t="n"/>
      <c r="X6" s="22" t="n"/>
      <c r="Y6" s="22" t="n"/>
      <c r="Z6" s="22" t="n"/>
      <c r="AA6" s="22" t="n"/>
      <c r="AB6" s="22" t="n"/>
      <c r="AC6" s="22" t="n"/>
      <c r="AD6" t="inlineStr">
        <is>
          <t>SOC_E</t>
        </is>
      </c>
      <c r="AE6">
        <f>IF($J6="","",IF(INDEX($C6:$G6,$J6)="","",$J6))</f>
        <v/>
      </c>
      <c r="AF6">
        <f>IF($K6="","",IF(INDEX($C6:$G6,$K6)="","",$K6))</f>
        <v/>
      </c>
      <c r="AG6">
        <f>IF($L6="","",IF(INDEX($C6:$G6,$L6)="","",$L6))</f>
        <v/>
      </c>
      <c r="AH6">
        <f>IF($M6="","",IF(INDEX($C6:$G6,$M6)="","",$M6))</f>
        <v/>
      </c>
      <c r="AI6">
        <f>IF($N6="","",IF(INDEX($C6:$G6,$N6)="","",$N6))</f>
        <v/>
      </c>
      <c r="AJ6">
        <f>IF($O6="","",IF(INDEX($C6:$G6,$O6)="","",$O6))</f>
        <v/>
      </c>
      <c r="AK6">
        <f>IF($P6="","",IF(INDEX($C6:$G6,$P6)="","",$P6))</f>
        <v/>
      </c>
      <c r="AL6">
        <f>IF($Q6="","",IF(INDEX($C6:$G6,$Q6)="","",$Q6))</f>
        <v/>
      </c>
      <c r="AM6">
        <f>IF($R6="","",IF(INDEX($C6:$G6,$R6)="","",$R6))</f>
        <v/>
      </c>
      <c r="AN6">
        <f>IF($S6="","",IF(INDEX($C6:$G6,$S6)="","",$S6))</f>
        <v/>
      </c>
      <c r="AO6">
        <f>IF($T6="","",IF(INDEX($C6:$G6,$T6)="","",$T6))</f>
        <v/>
      </c>
      <c r="AP6">
        <f>IF($U6="","",IF(INDEX($C6:$G6,$U6)="","",$U6))</f>
        <v/>
      </c>
      <c r="AQ6">
        <f>IF($V6="","",IF(INDEX($C6:$G6,$V6)="","",$V6))</f>
        <v/>
      </c>
      <c r="AR6">
        <f>IF($W6="","",IF(INDEX($C6:$G6,$W6)="","",$W6))</f>
        <v/>
      </c>
      <c r="AS6">
        <f>IF($X6="","",IF(INDEX($C6:$G6,$X6)="","",$X6))</f>
        <v/>
      </c>
      <c r="AT6">
        <f>IF($Y6="","",IF(INDEX($C6:$G6,$Y6)="","",$Y6))</f>
        <v/>
      </c>
      <c r="AU6">
        <f>IF($Z6="","",IF(INDEX($C6:$G6,$Z6)="","",$Z6))</f>
        <v/>
      </c>
      <c r="AV6">
        <f>IF($AA6="","",IF(INDEX($C6:$G6,$AA6)="","",$AA6))</f>
        <v/>
      </c>
      <c r="AW6">
        <f>IF($AB6="","",IF(INDEX($C6:$G6,$AB6)="","",$AB6))</f>
        <v/>
      </c>
      <c r="AX6">
        <f>IF($AC6="","",IF(INDEX($C6:$G6,$AC6)="","",$AC6))</f>
        <v/>
      </c>
      <c r="AY6">
        <f>IF($J6="","",IF(INDEX($C6:$G6,$J6)="","",IF(ISNUMBER(SEARCH("[A]",INDEX($C6:$G6,$J6))),"A",IF(ISNUMBER(SEARCH("[B]",INDEX($C6:$G6,$J6))),"B","-"))))</f>
        <v/>
      </c>
      <c r="AZ6">
        <f>IF($K6="","",IF(INDEX($C6:$G6,$K6)="","",IF(ISNUMBER(SEARCH("[A]",INDEX($C6:$G6,$K6))),"A",IF(ISNUMBER(SEARCH("[B]",INDEX($C6:$G6,$K6))),"B","-"))))</f>
        <v/>
      </c>
      <c r="BA6">
        <f>IF($L6="","",IF(INDEX($C6:$G6,$L6)="","",IF(ISNUMBER(SEARCH("[A]",INDEX($C6:$G6,$L6))),"A",IF(ISNUMBER(SEARCH("[B]",INDEX($C6:$G6,$L6))),"B","-"))))</f>
        <v/>
      </c>
      <c r="BB6">
        <f>IF($M6="","",IF(INDEX($C6:$G6,$M6)="","",IF(ISNUMBER(SEARCH("[A]",INDEX($C6:$G6,$M6))),"A",IF(ISNUMBER(SEARCH("[B]",INDEX($C6:$G6,$M6))),"B","-"))))</f>
        <v/>
      </c>
      <c r="BC6">
        <f>IF($N6="","",IF(INDEX($C6:$G6,$N6)="","",IF(ISNUMBER(SEARCH("[A]",INDEX($C6:$G6,$N6))),"A",IF(ISNUMBER(SEARCH("[B]",INDEX($C6:$G6,$N6))),"B","-"))))</f>
        <v/>
      </c>
      <c r="BD6">
        <f>IF($O6="","",IF(INDEX($C6:$G6,$O6)="","",IF(ISNUMBER(SEARCH("[A]",INDEX($C6:$G6,$O6))),"A",IF(ISNUMBER(SEARCH("[B]",INDEX($C6:$G6,$O6))),"B","-"))))</f>
        <v/>
      </c>
      <c r="BE6">
        <f>IF($P6="","",IF(INDEX($C6:$G6,$P6)="","",IF(ISNUMBER(SEARCH("[A]",INDEX($C6:$G6,$P6))),"A",IF(ISNUMBER(SEARCH("[B]",INDEX($C6:$G6,$P6))),"B","-"))))</f>
        <v/>
      </c>
      <c r="BF6">
        <f>IF($Q6="","",IF(INDEX($C6:$G6,$Q6)="","",IF(ISNUMBER(SEARCH("[A]",INDEX($C6:$G6,$Q6))),"A",IF(ISNUMBER(SEARCH("[B]",INDEX($C6:$G6,$Q6))),"B","-"))))</f>
        <v/>
      </c>
      <c r="BG6">
        <f>IF($R6="","",IF(INDEX($C6:$G6,$R6)="","",IF(ISNUMBER(SEARCH("[A]",INDEX($C6:$G6,$R6))),"A",IF(ISNUMBER(SEARCH("[B]",INDEX($C6:$G6,$R6))),"B","-"))))</f>
        <v/>
      </c>
      <c r="BH6">
        <f>IF($S6="","",IF(INDEX($C6:$G6,$S6)="","",IF(ISNUMBER(SEARCH("[A]",INDEX($C6:$G6,$S6))),"A",IF(ISNUMBER(SEARCH("[B]",INDEX($C6:$G6,$S6))),"B","-"))))</f>
        <v/>
      </c>
      <c r="BI6">
        <f>IF($T6="","",IF(INDEX($C6:$G6,$T6)="","",IF(ISNUMBER(SEARCH("[A]",INDEX($C6:$G6,$T6))),"A",IF(ISNUMBER(SEARCH("[B]",INDEX($C6:$G6,$T6))),"B","-"))))</f>
        <v/>
      </c>
      <c r="BJ6">
        <f>IF($U6="","",IF(INDEX($C6:$G6,$U6)="","",IF(ISNUMBER(SEARCH("[A]",INDEX($C6:$G6,$U6))),"A",IF(ISNUMBER(SEARCH("[B]",INDEX($C6:$G6,$U6))),"B","-"))))</f>
        <v/>
      </c>
      <c r="BK6">
        <f>IF($V6="","",IF(INDEX($C6:$G6,$V6)="","",IF(ISNUMBER(SEARCH("[A]",INDEX($C6:$G6,$V6))),"A",IF(ISNUMBER(SEARCH("[B]",INDEX($C6:$G6,$V6))),"B","-"))))</f>
        <v/>
      </c>
      <c r="BL6">
        <f>IF($W6="","",IF(INDEX($C6:$G6,$W6)="","",IF(ISNUMBER(SEARCH("[A]",INDEX($C6:$G6,$W6))),"A",IF(ISNUMBER(SEARCH("[B]",INDEX($C6:$G6,$W6))),"B","-"))))</f>
        <v/>
      </c>
      <c r="BM6">
        <f>IF($X6="","",IF(INDEX($C6:$G6,$X6)="","",IF(ISNUMBER(SEARCH("[A]",INDEX($C6:$G6,$X6))),"A",IF(ISNUMBER(SEARCH("[B]",INDEX($C6:$G6,$X6))),"B","-"))))</f>
        <v/>
      </c>
      <c r="BN6">
        <f>IF($Y6="","",IF(INDEX($C6:$G6,$Y6)="","",IF(ISNUMBER(SEARCH("[A]",INDEX($C6:$G6,$Y6))),"A",IF(ISNUMBER(SEARCH("[B]",INDEX($C6:$G6,$Y6))),"B","-"))))</f>
        <v/>
      </c>
      <c r="BO6">
        <f>IF($Z6="","",IF(INDEX($C6:$G6,$Z6)="","",IF(ISNUMBER(SEARCH("[A]",INDEX($C6:$G6,$Z6))),"A",IF(ISNUMBER(SEARCH("[B]",INDEX($C6:$G6,$Z6))),"B","-"))))</f>
        <v/>
      </c>
      <c r="BP6">
        <f>IF($AA6="","",IF(INDEX($C6:$G6,$AA6)="","",IF(ISNUMBER(SEARCH("[A]",INDEX($C6:$G6,$AA6))),"A",IF(ISNUMBER(SEARCH("[B]",INDEX($C6:$G6,$AA6))),"B","-"))))</f>
        <v/>
      </c>
      <c r="BQ6">
        <f>IF($AB6="","",IF(INDEX($C6:$G6,$AB6)="","",IF(ISNUMBER(SEARCH("[A]",INDEX($C6:$G6,$AB6))),"A",IF(ISNUMBER(SEARCH("[B]",INDEX($C6:$G6,$AB6))),"B","-"))))</f>
        <v/>
      </c>
      <c r="BR6">
        <f>IF($AC6="","",IF(INDEX($C6:$G6,$AC6)="","",IF(ISNUMBER(SEARCH("[A]",INDEX($C6:$G6,$AC6))),"A",IF(ISNUMBER(SEARCH("[B]",INDEX($C6:$G6,$AC6))),"B","-"))))</f>
        <v/>
      </c>
    </row>
    <row r="7" ht="30" customHeight="1" s="1">
      <c r="A7" s="16" t="inlineStr">
        <is>
          <t>입장</t>
        </is>
      </c>
      <c r="B7" s="17" t="inlineStr">
        <is>
          <t>이동</t>
        </is>
      </c>
      <c r="C7" s="18" t="inlineStr">
        <is>
          <t>자발적 접근 또는 중립 유지</t>
        </is>
      </c>
      <c r="D7" s="19" t="n"/>
      <c r="E7" s="18" t="inlineStr">
        <is>
          <t>회피·후퇴 [B]</t>
        </is>
      </c>
      <c r="F7" s="18" t="inlineStr">
        <is>
          <t>자극 향해 돌진·리드줄 당김 [A]</t>
        </is>
      </c>
      <c r="G7" s="18" t="inlineStr">
        <is>
          <t>프리징(2초 이상 정지)·보호자 뒤로 숨음 [B]</t>
        </is>
      </c>
      <c r="H7" s="16" t="inlineStr">
        <is>
          <t>사회성-환경</t>
        </is>
      </c>
      <c r="I7" s="20" t="inlineStr">
        <is>
          <t>★</t>
        </is>
      </c>
      <c r="J7" s="21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t="inlineStr">
        <is>
          <t>SOC_E</t>
        </is>
      </c>
      <c r="AE7">
        <f>IF($J7="","",IF(INDEX($C7:$G7,$J7)="","",$J7))</f>
        <v/>
      </c>
      <c r="AF7">
        <f>IF($K7="","",IF(INDEX($C7:$G7,$K7)="","",$K7))</f>
        <v/>
      </c>
      <c r="AG7">
        <f>IF($L7="","",IF(INDEX($C7:$G7,$L7)="","",$L7))</f>
        <v/>
      </c>
      <c r="AH7">
        <f>IF($M7="","",IF(INDEX($C7:$G7,$M7)="","",$M7))</f>
        <v/>
      </c>
      <c r="AI7">
        <f>IF($N7="","",IF(INDEX($C7:$G7,$N7)="","",$N7))</f>
        <v/>
      </c>
      <c r="AJ7">
        <f>IF($O7="","",IF(INDEX($C7:$G7,$O7)="","",$O7))</f>
        <v/>
      </c>
      <c r="AK7">
        <f>IF($P7="","",IF(INDEX($C7:$G7,$P7)="","",$P7))</f>
        <v/>
      </c>
      <c r="AL7">
        <f>IF($Q7="","",IF(INDEX($C7:$G7,$Q7)="","",$Q7))</f>
        <v/>
      </c>
      <c r="AM7">
        <f>IF($R7="","",IF(INDEX($C7:$G7,$R7)="","",$R7))</f>
        <v/>
      </c>
      <c r="AN7">
        <f>IF($S7="","",IF(INDEX($C7:$G7,$S7)="","",$S7))</f>
        <v/>
      </c>
      <c r="AO7">
        <f>IF($T7="","",IF(INDEX($C7:$G7,$T7)="","",$T7))</f>
        <v/>
      </c>
      <c r="AP7">
        <f>IF($U7="","",IF(INDEX($C7:$G7,$U7)="","",$U7))</f>
        <v/>
      </c>
      <c r="AQ7">
        <f>IF($V7="","",IF(INDEX($C7:$G7,$V7)="","",$V7))</f>
        <v/>
      </c>
      <c r="AR7">
        <f>IF($W7="","",IF(INDEX($C7:$G7,$W7)="","",$W7))</f>
        <v/>
      </c>
      <c r="AS7">
        <f>IF($X7="","",IF(INDEX($C7:$G7,$X7)="","",$X7))</f>
        <v/>
      </c>
      <c r="AT7">
        <f>IF($Y7="","",IF(INDEX($C7:$G7,$Y7)="","",$Y7))</f>
        <v/>
      </c>
      <c r="AU7">
        <f>IF($Z7="","",IF(INDEX($C7:$G7,$Z7)="","",$Z7))</f>
        <v/>
      </c>
      <c r="AV7">
        <f>IF($AA7="","",IF(INDEX($C7:$G7,$AA7)="","",$AA7))</f>
        <v/>
      </c>
      <c r="AW7">
        <f>IF($AB7="","",IF(INDEX($C7:$G7,$AB7)="","",$AB7))</f>
        <v/>
      </c>
      <c r="AX7">
        <f>IF($AC7="","",IF(INDEX($C7:$G7,$AC7)="","",$AC7))</f>
        <v/>
      </c>
      <c r="AY7">
        <f>IF($J7="","",IF(INDEX($C7:$G7,$J7)="","",IF(ISNUMBER(SEARCH("[A]",INDEX($C7:$G7,$J7))),"A",IF(ISNUMBER(SEARCH("[B]",INDEX($C7:$G7,$J7))),"B","-"))))</f>
        <v/>
      </c>
      <c r="AZ7">
        <f>IF($K7="","",IF(INDEX($C7:$G7,$K7)="","",IF(ISNUMBER(SEARCH("[A]",INDEX($C7:$G7,$K7))),"A",IF(ISNUMBER(SEARCH("[B]",INDEX($C7:$G7,$K7))),"B","-"))))</f>
        <v/>
      </c>
      <c r="BA7">
        <f>IF($L7="","",IF(INDEX($C7:$G7,$L7)="","",IF(ISNUMBER(SEARCH("[A]",INDEX($C7:$G7,$L7))),"A",IF(ISNUMBER(SEARCH("[B]",INDEX($C7:$G7,$L7))),"B","-"))))</f>
        <v/>
      </c>
      <c r="BB7">
        <f>IF($M7="","",IF(INDEX($C7:$G7,$M7)="","",IF(ISNUMBER(SEARCH("[A]",INDEX($C7:$G7,$M7))),"A",IF(ISNUMBER(SEARCH("[B]",INDEX($C7:$G7,$M7))),"B","-"))))</f>
        <v/>
      </c>
      <c r="BC7">
        <f>IF($N7="","",IF(INDEX($C7:$G7,$N7)="","",IF(ISNUMBER(SEARCH("[A]",INDEX($C7:$G7,$N7))),"A",IF(ISNUMBER(SEARCH("[B]",INDEX($C7:$G7,$N7))),"B","-"))))</f>
        <v/>
      </c>
      <c r="BD7">
        <f>IF($O7="","",IF(INDEX($C7:$G7,$O7)="","",IF(ISNUMBER(SEARCH("[A]",INDEX($C7:$G7,$O7))),"A",IF(ISNUMBER(SEARCH("[B]",INDEX($C7:$G7,$O7))),"B","-"))))</f>
        <v/>
      </c>
      <c r="BE7">
        <f>IF($P7="","",IF(INDEX($C7:$G7,$P7)="","",IF(ISNUMBER(SEARCH("[A]",INDEX($C7:$G7,$P7))),"A",IF(ISNUMBER(SEARCH("[B]",INDEX($C7:$G7,$P7))),"B","-"))))</f>
        <v/>
      </c>
      <c r="BF7">
        <f>IF($Q7="","",IF(INDEX($C7:$G7,$Q7)="","",IF(ISNUMBER(SEARCH("[A]",INDEX($C7:$G7,$Q7))),"A",IF(ISNUMBER(SEARCH("[B]",INDEX($C7:$G7,$Q7))),"B","-"))))</f>
        <v/>
      </c>
      <c r="BG7">
        <f>IF($R7="","",IF(INDEX($C7:$G7,$R7)="","",IF(ISNUMBER(SEARCH("[A]",INDEX($C7:$G7,$R7))),"A",IF(ISNUMBER(SEARCH("[B]",INDEX($C7:$G7,$R7))),"B","-"))))</f>
        <v/>
      </c>
      <c r="BH7">
        <f>IF($S7="","",IF(INDEX($C7:$G7,$S7)="","",IF(ISNUMBER(SEARCH("[A]",INDEX($C7:$G7,$S7))),"A",IF(ISNUMBER(SEARCH("[B]",INDEX($C7:$G7,$S7))),"B","-"))))</f>
        <v/>
      </c>
      <c r="BI7">
        <f>IF($T7="","",IF(INDEX($C7:$G7,$T7)="","",IF(ISNUMBER(SEARCH("[A]",INDEX($C7:$G7,$T7))),"A",IF(ISNUMBER(SEARCH("[B]",INDEX($C7:$G7,$T7))),"B","-"))))</f>
        <v/>
      </c>
      <c r="BJ7">
        <f>IF($U7="","",IF(INDEX($C7:$G7,$U7)="","",IF(ISNUMBER(SEARCH("[A]",INDEX($C7:$G7,$U7))),"A",IF(ISNUMBER(SEARCH("[B]",INDEX($C7:$G7,$U7))),"B","-"))))</f>
        <v/>
      </c>
      <c r="BK7">
        <f>IF($V7="","",IF(INDEX($C7:$G7,$V7)="","",IF(ISNUMBER(SEARCH("[A]",INDEX($C7:$G7,$V7))),"A",IF(ISNUMBER(SEARCH("[B]",INDEX($C7:$G7,$V7))),"B","-"))))</f>
        <v/>
      </c>
      <c r="BL7">
        <f>IF($W7="","",IF(INDEX($C7:$G7,$W7)="","",IF(ISNUMBER(SEARCH("[A]",INDEX($C7:$G7,$W7))),"A",IF(ISNUMBER(SEARCH("[B]",INDEX($C7:$G7,$W7))),"B","-"))))</f>
        <v/>
      </c>
      <c r="BM7">
        <f>IF($X7="","",IF(INDEX($C7:$G7,$X7)="","",IF(ISNUMBER(SEARCH("[A]",INDEX($C7:$G7,$X7))),"A",IF(ISNUMBER(SEARCH("[B]",INDEX($C7:$G7,$X7))),"B","-"))))</f>
        <v/>
      </c>
      <c r="BN7">
        <f>IF($Y7="","",IF(INDEX($C7:$G7,$Y7)="","",IF(ISNUMBER(SEARCH("[A]",INDEX($C7:$G7,$Y7))),"A",IF(ISNUMBER(SEARCH("[B]",INDEX($C7:$G7,$Y7))),"B","-"))))</f>
        <v/>
      </c>
      <c r="BO7">
        <f>IF($Z7="","",IF(INDEX($C7:$G7,$Z7)="","",IF(ISNUMBER(SEARCH("[A]",INDEX($C7:$G7,$Z7))),"A",IF(ISNUMBER(SEARCH("[B]",INDEX($C7:$G7,$Z7))),"B","-"))))</f>
        <v/>
      </c>
      <c r="BP7">
        <f>IF($AA7="","",IF(INDEX($C7:$G7,$AA7)="","",IF(ISNUMBER(SEARCH("[A]",INDEX($C7:$G7,$AA7))),"A",IF(ISNUMBER(SEARCH("[B]",INDEX($C7:$G7,$AA7))),"B","-"))))</f>
        <v/>
      </c>
      <c r="BQ7">
        <f>IF($AB7="","",IF(INDEX($C7:$G7,$AB7)="","",IF(ISNUMBER(SEARCH("[A]",INDEX($C7:$G7,$AB7))),"A",IF(ISNUMBER(SEARCH("[B]",INDEX($C7:$G7,$AB7))),"B","-"))))</f>
        <v/>
      </c>
      <c r="BR7">
        <f>IF($AC7="","",IF(INDEX($C7:$G7,$AC7)="","",IF(ISNUMBER(SEARCH("[A]",INDEX($C7:$G7,$AC7))),"A",IF(ISNUMBER(SEARCH("[B]",INDEX($C7:$G7,$AC7))),"B","-"))))</f>
        <v/>
      </c>
    </row>
    <row r="8" ht="30" customHeight="1" s="1">
      <c r="A8" s="16" t="inlineStr">
        <is>
          <t>입장</t>
        </is>
      </c>
      <c r="B8" s="17" t="inlineStr">
        <is>
          <t>발성 ※전 구간 통틀어</t>
        </is>
      </c>
      <c r="C8" s="18" t="inlineStr">
        <is>
          <t>없음</t>
        </is>
      </c>
      <c r="D8" s="19" t="n"/>
      <c r="E8" s="18" t="inlineStr">
        <is>
          <t>낑낑·하울링 [B]</t>
        </is>
      </c>
      <c r="F8" s="18" t="inlineStr">
        <is>
          <t>짖음 [A]</t>
        </is>
      </c>
      <c r="G8" s="18" t="inlineStr">
        <is>
          <t>으르렁 [A]</t>
        </is>
      </c>
      <c r="H8" s="16" t="inlineStr">
        <is>
          <t>사회성-환경</t>
        </is>
      </c>
      <c r="I8" s="20" t="n"/>
      <c r="J8" s="21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  <c r="V8" s="22" t="n"/>
      <c r="W8" s="22" t="n"/>
      <c r="X8" s="22" t="n"/>
      <c r="Y8" s="22" t="n"/>
      <c r="Z8" s="22" t="n"/>
      <c r="AA8" s="22" t="n"/>
      <c r="AB8" s="22" t="n"/>
      <c r="AC8" s="22" t="n"/>
      <c r="AD8" t="inlineStr">
        <is>
          <t>SOC_E</t>
        </is>
      </c>
      <c r="AE8">
        <f>IF($J8="","",IF(INDEX($C8:$G8,$J8)="","",$J8))</f>
        <v/>
      </c>
      <c r="AF8">
        <f>IF($K8="","",IF(INDEX($C8:$G8,$K8)="","",$K8))</f>
        <v/>
      </c>
      <c r="AG8">
        <f>IF($L8="","",IF(INDEX($C8:$G8,$L8)="","",$L8))</f>
        <v/>
      </c>
      <c r="AH8">
        <f>IF($M8="","",IF(INDEX($C8:$G8,$M8)="","",$M8))</f>
        <v/>
      </c>
      <c r="AI8">
        <f>IF($N8="","",IF(INDEX($C8:$G8,$N8)="","",$N8))</f>
        <v/>
      </c>
      <c r="AJ8">
        <f>IF($O8="","",IF(INDEX($C8:$G8,$O8)="","",$O8))</f>
        <v/>
      </c>
      <c r="AK8">
        <f>IF($P8="","",IF(INDEX($C8:$G8,$P8)="","",$P8))</f>
        <v/>
      </c>
      <c r="AL8">
        <f>IF($Q8="","",IF(INDEX($C8:$G8,$Q8)="","",$Q8))</f>
        <v/>
      </c>
      <c r="AM8">
        <f>IF($R8="","",IF(INDEX($C8:$G8,$R8)="","",$R8))</f>
        <v/>
      </c>
      <c r="AN8">
        <f>IF($S8="","",IF(INDEX($C8:$G8,$S8)="","",$S8))</f>
        <v/>
      </c>
      <c r="AO8">
        <f>IF($T8="","",IF(INDEX($C8:$G8,$T8)="","",$T8))</f>
        <v/>
      </c>
      <c r="AP8">
        <f>IF($U8="","",IF(INDEX($C8:$G8,$U8)="","",$U8))</f>
        <v/>
      </c>
      <c r="AQ8">
        <f>IF($V8="","",IF(INDEX($C8:$G8,$V8)="","",$V8))</f>
        <v/>
      </c>
      <c r="AR8">
        <f>IF($W8="","",IF(INDEX($C8:$G8,$W8)="","",$W8))</f>
        <v/>
      </c>
      <c r="AS8">
        <f>IF($X8="","",IF(INDEX($C8:$G8,$X8)="","",$X8))</f>
        <v/>
      </c>
      <c r="AT8">
        <f>IF($Y8="","",IF(INDEX($C8:$G8,$Y8)="","",$Y8))</f>
        <v/>
      </c>
      <c r="AU8">
        <f>IF($Z8="","",IF(INDEX($C8:$G8,$Z8)="","",$Z8))</f>
        <v/>
      </c>
      <c r="AV8">
        <f>IF($AA8="","",IF(INDEX($C8:$G8,$AA8)="","",$AA8))</f>
        <v/>
      </c>
      <c r="AW8">
        <f>IF($AB8="","",IF(INDEX($C8:$G8,$AB8)="","",$AB8))</f>
        <v/>
      </c>
      <c r="AX8">
        <f>IF($AC8="","",IF(INDEX($C8:$G8,$AC8)="","",$AC8))</f>
        <v/>
      </c>
      <c r="AY8">
        <f>IF($J8="","",IF(INDEX($C8:$G8,$J8)="","",IF(ISNUMBER(SEARCH("[A]",INDEX($C8:$G8,$J8))),"A",IF(ISNUMBER(SEARCH("[B]",INDEX($C8:$G8,$J8))),"B","-"))))</f>
        <v/>
      </c>
      <c r="AZ8">
        <f>IF($K8="","",IF(INDEX($C8:$G8,$K8)="","",IF(ISNUMBER(SEARCH("[A]",INDEX($C8:$G8,$K8))),"A",IF(ISNUMBER(SEARCH("[B]",INDEX($C8:$G8,$K8))),"B","-"))))</f>
        <v/>
      </c>
      <c r="BA8">
        <f>IF($L8="","",IF(INDEX($C8:$G8,$L8)="","",IF(ISNUMBER(SEARCH("[A]",INDEX($C8:$G8,$L8))),"A",IF(ISNUMBER(SEARCH("[B]",INDEX($C8:$G8,$L8))),"B","-"))))</f>
        <v/>
      </c>
      <c r="BB8">
        <f>IF($M8="","",IF(INDEX($C8:$G8,$M8)="","",IF(ISNUMBER(SEARCH("[A]",INDEX($C8:$G8,$M8))),"A",IF(ISNUMBER(SEARCH("[B]",INDEX($C8:$G8,$M8))),"B","-"))))</f>
        <v/>
      </c>
      <c r="BC8">
        <f>IF($N8="","",IF(INDEX($C8:$G8,$N8)="","",IF(ISNUMBER(SEARCH("[A]",INDEX($C8:$G8,$N8))),"A",IF(ISNUMBER(SEARCH("[B]",INDEX($C8:$G8,$N8))),"B","-"))))</f>
        <v/>
      </c>
      <c r="BD8">
        <f>IF($O8="","",IF(INDEX($C8:$G8,$O8)="","",IF(ISNUMBER(SEARCH("[A]",INDEX($C8:$G8,$O8))),"A",IF(ISNUMBER(SEARCH("[B]",INDEX($C8:$G8,$O8))),"B","-"))))</f>
        <v/>
      </c>
      <c r="BE8">
        <f>IF($P8="","",IF(INDEX($C8:$G8,$P8)="","",IF(ISNUMBER(SEARCH("[A]",INDEX($C8:$G8,$P8))),"A",IF(ISNUMBER(SEARCH("[B]",INDEX($C8:$G8,$P8))),"B","-"))))</f>
        <v/>
      </c>
      <c r="BF8">
        <f>IF($Q8="","",IF(INDEX($C8:$G8,$Q8)="","",IF(ISNUMBER(SEARCH("[A]",INDEX($C8:$G8,$Q8))),"A",IF(ISNUMBER(SEARCH("[B]",INDEX($C8:$G8,$Q8))),"B","-"))))</f>
        <v/>
      </c>
      <c r="BG8">
        <f>IF($R8="","",IF(INDEX($C8:$G8,$R8)="","",IF(ISNUMBER(SEARCH("[A]",INDEX($C8:$G8,$R8))),"A",IF(ISNUMBER(SEARCH("[B]",INDEX($C8:$G8,$R8))),"B","-"))))</f>
        <v/>
      </c>
      <c r="BH8">
        <f>IF($S8="","",IF(INDEX($C8:$G8,$S8)="","",IF(ISNUMBER(SEARCH("[A]",INDEX($C8:$G8,$S8))),"A",IF(ISNUMBER(SEARCH("[B]",INDEX($C8:$G8,$S8))),"B","-"))))</f>
        <v/>
      </c>
      <c r="BI8">
        <f>IF($T8="","",IF(INDEX($C8:$G8,$T8)="","",IF(ISNUMBER(SEARCH("[A]",INDEX($C8:$G8,$T8))),"A",IF(ISNUMBER(SEARCH("[B]",INDEX($C8:$G8,$T8))),"B","-"))))</f>
        <v/>
      </c>
      <c r="BJ8">
        <f>IF($U8="","",IF(INDEX($C8:$G8,$U8)="","",IF(ISNUMBER(SEARCH("[A]",INDEX($C8:$G8,$U8))),"A",IF(ISNUMBER(SEARCH("[B]",INDEX($C8:$G8,$U8))),"B","-"))))</f>
        <v/>
      </c>
      <c r="BK8">
        <f>IF($V8="","",IF(INDEX($C8:$G8,$V8)="","",IF(ISNUMBER(SEARCH("[A]",INDEX($C8:$G8,$V8))),"A",IF(ISNUMBER(SEARCH("[B]",INDEX($C8:$G8,$V8))),"B","-"))))</f>
        <v/>
      </c>
      <c r="BL8">
        <f>IF($W8="","",IF(INDEX($C8:$G8,$W8)="","",IF(ISNUMBER(SEARCH("[A]",INDEX($C8:$G8,$W8))),"A",IF(ISNUMBER(SEARCH("[B]",INDEX($C8:$G8,$W8))),"B","-"))))</f>
        <v/>
      </c>
      <c r="BM8">
        <f>IF($X8="","",IF(INDEX($C8:$G8,$X8)="","",IF(ISNUMBER(SEARCH("[A]",INDEX($C8:$G8,$X8))),"A",IF(ISNUMBER(SEARCH("[B]",INDEX($C8:$G8,$X8))),"B","-"))))</f>
        <v/>
      </c>
      <c r="BN8">
        <f>IF($Y8="","",IF(INDEX($C8:$G8,$Y8)="","",IF(ISNUMBER(SEARCH("[A]",INDEX($C8:$G8,$Y8))),"A",IF(ISNUMBER(SEARCH("[B]",INDEX($C8:$G8,$Y8))),"B","-"))))</f>
        <v/>
      </c>
      <c r="BO8">
        <f>IF($Z8="","",IF(INDEX($C8:$G8,$Z8)="","",IF(ISNUMBER(SEARCH("[A]",INDEX($C8:$G8,$Z8))),"A",IF(ISNUMBER(SEARCH("[B]",INDEX($C8:$G8,$Z8))),"B","-"))))</f>
        <v/>
      </c>
      <c r="BP8">
        <f>IF($AA8="","",IF(INDEX($C8:$G8,$AA8)="","",IF(ISNUMBER(SEARCH("[A]",INDEX($C8:$G8,$AA8))),"A",IF(ISNUMBER(SEARCH("[B]",INDEX($C8:$G8,$AA8))),"B","-"))))</f>
        <v/>
      </c>
      <c r="BQ8">
        <f>IF($AB8="","",IF(INDEX($C8:$G8,$AB8)="","",IF(ISNUMBER(SEARCH("[A]",INDEX($C8:$G8,$AB8))),"A",IF(ISNUMBER(SEARCH("[B]",INDEX($C8:$G8,$AB8))),"B","-"))))</f>
        <v/>
      </c>
      <c r="BR8">
        <f>IF($AC8="","",IF(INDEX($C8:$G8,$AC8)="","",IF(ISNUMBER(SEARCH("[A]",INDEX($C8:$G8,$AC8))),"A",IF(ISNUMBER(SEARCH("[B]",INDEX($C8:$G8,$AC8))),"B","-"))))</f>
        <v/>
      </c>
    </row>
    <row r="9" ht="30" customHeight="1" s="1">
      <c r="A9" s="16" t="inlineStr">
        <is>
          <t>입장</t>
        </is>
      </c>
      <c r="B9" s="17" t="inlineStr">
        <is>
          <t>전위행동 (3종)</t>
        </is>
      </c>
      <c r="C9" s="18" t="inlineStr">
        <is>
          <t>없음</t>
        </is>
      </c>
      <c r="D9" s="18" t="inlineStr">
        <is>
          <t>1종이 1~2회 [B]</t>
        </is>
      </c>
      <c r="E9" s="18" t="inlineStr">
        <is>
          <t>2종 이상 또는 1종 지속 반복 [B]</t>
        </is>
      </c>
      <c r="F9" s="19" t="n"/>
      <c r="G9" s="18" t="inlineStr">
        <is>
          <t>3종 이상 지속 반복 [B]</t>
        </is>
      </c>
      <c r="H9" s="16" t="inlineStr">
        <is>
          <t>사회성-환경</t>
        </is>
      </c>
      <c r="I9" s="20" t="inlineStr">
        <is>
          <t>★</t>
        </is>
      </c>
      <c r="J9" s="21" t="n"/>
      <c r="K9" s="22" t="n"/>
      <c r="L9" s="22" t="n"/>
      <c r="M9" s="22" t="n"/>
      <c r="N9" s="22" t="n"/>
      <c r="O9" s="22" t="n"/>
      <c r="P9" s="22" t="n"/>
      <c r="Q9" s="22" t="n"/>
      <c r="R9" s="22" t="n"/>
      <c r="S9" s="22" t="n"/>
      <c r="T9" s="22" t="n"/>
      <c r="U9" s="22" t="n"/>
      <c r="V9" s="22" t="n"/>
      <c r="W9" s="22" t="n"/>
      <c r="X9" s="22" t="n"/>
      <c r="Y9" s="22" t="n"/>
      <c r="Z9" s="22" t="n"/>
      <c r="AA9" s="22" t="n"/>
      <c r="AB9" s="22" t="n"/>
      <c r="AC9" s="22" t="n"/>
      <c r="AD9" t="inlineStr">
        <is>
          <t>SOC_E</t>
        </is>
      </c>
      <c r="AE9">
        <f>IF($J9="","",IF(INDEX($C9:$G9,$J9)="","",$J9))</f>
        <v/>
      </c>
      <c r="AF9">
        <f>IF($K9="","",IF(INDEX($C9:$G9,$K9)="","",$K9))</f>
        <v/>
      </c>
      <c r="AG9">
        <f>IF($L9="","",IF(INDEX($C9:$G9,$L9)="","",$L9))</f>
        <v/>
      </c>
      <c r="AH9">
        <f>IF($M9="","",IF(INDEX($C9:$G9,$M9)="","",$M9))</f>
        <v/>
      </c>
      <c r="AI9">
        <f>IF($N9="","",IF(INDEX($C9:$G9,$N9)="","",$N9))</f>
        <v/>
      </c>
      <c r="AJ9">
        <f>IF($O9="","",IF(INDEX($C9:$G9,$O9)="","",$O9))</f>
        <v/>
      </c>
      <c r="AK9">
        <f>IF($P9="","",IF(INDEX($C9:$G9,$P9)="","",$P9))</f>
        <v/>
      </c>
      <c r="AL9">
        <f>IF($Q9="","",IF(INDEX($C9:$G9,$Q9)="","",$Q9))</f>
        <v/>
      </c>
      <c r="AM9">
        <f>IF($R9="","",IF(INDEX($C9:$G9,$R9)="","",$R9))</f>
        <v/>
      </c>
      <c r="AN9">
        <f>IF($S9="","",IF(INDEX($C9:$G9,$S9)="","",$S9))</f>
        <v/>
      </c>
      <c r="AO9">
        <f>IF($T9="","",IF(INDEX($C9:$G9,$T9)="","",$T9))</f>
        <v/>
      </c>
      <c r="AP9">
        <f>IF($U9="","",IF(INDEX($C9:$G9,$U9)="","",$U9))</f>
        <v/>
      </c>
      <c r="AQ9">
        <f>IF($V9="","",IF(INDEX($C9:$G9,$V9)="","",$V9))</f>
        <v/>
      </c>
      <c r="AR9">
        <f>IF($W9="","",IF(INDEX($C9:$G9,$W9)="","",$W9))</f>
        <v/>
      </c>
      <c r="AS9">
        <f>IF($X9="","",IF(INDEX($C9:$G9,$X9)="","",$X9))</f>
        <v/>
      </c>
      <c r="AT9">
        <f>IF($Y9="","",IF(INDEX($C9:$G9,$Y9)="","",$Y9))</f>
        <v/>
      </c>
      <c r="AU9">
        <f>IF($Z9="","",IF(INDEX($C9:$G9,$Z9)="","",$Z9))</f>
        <v/>
      </c>
      <c r="AV9">
        <f>IF($AA9="","",IF(INDEX($C9:$G9,$AA9)="","",$AA9))</f>
        <v/>
      </c>
      <c r="AW9">
        <f>IF($AB9="","",IF(INDEX($C9:$G9,$AB9)="","",$AB9))</f>
        <v/>
      </c>
      <c r="AX9">
        <f>IF($AC9="","",IF(INDEX($C9:$G9,$AC9)="","",$AC9))</f>
        <v/>
      </c>
      <c r="AY9">
        <f>IF($J9="","",IF(INDEX($C9:$G9,$J9)="","",IF(ISNUMBER(SEARCH("[A]",INDEX($C9:$G9,$J9))),"A",IF(ISNUMBER(SEARCH("[B]",INDEX($C9:$G9,$J9))),"B","-"))))</f>
        <v/>
      </c>
      <c r="AZ9">
        <f>IF($K9="","",IF(INDEX($C9:$G9,$K9)="","",IF(ISNUMBER(SEARCH("[A]",INDEX($C9:$G9,$K9))),"A",IF(ISNUMBER(SEARCH("[B]",INDEX($C9:$G9,$K9))),"B","-"))))</f>
        <v/>
      </c>
      <c r="BA9">
        <f>IF($L9="","",IF(INDEX($C9:$G9,$L9)="","",IF(ISNUMBER(SEARCH("[A]",INDEX($C9:$G9,$L9))),"A",IF(ISNUMBER(SEARCH("[B]",INDEX($C9:$G9,$L9))),"B","-"))))</f>
        <v/>
      </c>
      <c r="BB9">
        <f>IF($M9="","",IF(INDEX($C9:$G9,$M9)="","",IF(ISNUMBER(SEARCH("[A]",INDEX($C9:$G9,$M9))),"A",IF(ISNUMBER(SEARCH("[B]",INDEX($C9:$G9,$M9))),"B","-"))))</f>
        <v/>
      </c>
      <c r="BC9">
        <f>IF($N9="","",IF(INDEX($C9:$G9,$N9)="","",IF(ISNUMBER(SEARCH("[A]",INDEX($C9:$G9,$N9))),"A",IF(ISNUMBER(SEARCH("[B]",INDEX($C9:$G9,$N9))),"B","-"))))</f>
        <v/>
      </c>
      <c r="BD9">
        <f>IF($O9="","",IF(INDEX($C9:$G9,$O9)="","",IF(ISNUMBER(SEARCH("[A]",INDEX($C9:$G9,$O9))),"A",IF(ISNUMBER(SEARCH("[B]",INDEX($C9:$G9,$O9))),"B","-"))))</f>
        <v/>
      </c>
      <c r="BE9">
        <f>IF($P9="","",IF(INDEX($C9:$G9,$P9)="","",IF(ISNUMBER(SEARCH("[A]",INDEX($C9:$G9,$P9))),"A",IF(ISNUMBER(SEARCH("[B]",INDEX($C9:$G9,$P9))),"B","-"))))</f>
        <v/>
      </c>
      <c r="BF9">
        <f>IF($Q9="","",IF(INDEX($C9:$G9,$Q9)="","",IF(ISNUMBER(SEARCH("[A]",INDEX($C9:$G9,$Q9))),"A",IF(ISNUMBER(SEARCH("[B]",INDEX($C9:$G9,$Q9))),"B","-"))))</f>
        <v/>
      </c>
      <c r="BG9">
        <f>IF($R9="","",IF(INDEX($C9:$G9,$R9)="","",IF(ISNUMBER(SEARCH("[A]",INDEX($C9:$G9,$R9))),"A",IF(ISNUMBER(SEARCH("[B]",INDEX($C9:$G9,$R9))),"B","-"))))</f>
        <v/>
      </c>
      <c r="BH9">
        <f>IF($S9="","",IF(INDEX($C9:$G9,$S9)="","",IF(ISNUMBER(SEARCH("[A]",INDEX($C9:$G9,$S9))),"A",IF(ISNUMBER(SEARCH("[B]",INDEX($C9:$G9,$S9))),"B","-"))))</f>
        <v/>
      </c>
      <c r="BI9">
        <f>IF($T9="","",IF(INDEX($C9:$G9,$T9)="","",IF(ISNUMBER(SEARCH("[A]",INDEX($C9:$G9,$T9))),"A",IF(ISNUMBER(SEARCH("[B]",INDEX($C9:$G9,$T9))),"B","-"))))</f>
        <v/>
      </c>
      <c r="BJ9">
        <f>IF($U9="","",IF(INDEX($C9:$G9,$U9)="","",IF(ISNUMBER(SEARCH("[A]",INDEX($C9:$G9,$U9))),"A",IF(ISNUMBER(SEARCH("[B]",INDEX($C9:$G9,$U9))),"B","-"))))</f>
        <v/>
      </c>
      <c r="BK9">
        <f>IF($V9="","",IF(INDEX($C9:$G9,$V9)="","",IF(ISNUMBER(SEARCH("[A]",INDEX($C9:$G9,$V9))),"A",IF(ISNUMBER(SEARCH("[B]",INDEX($C9:$G9,$V9))),"B","-"))))</f>
        <v/>
      </c>
      <c r="BL9">
        <f>IF($W9="","",IF(INDEX($C9:$G9,$W9)="","",IF(ISNUMBER(SEARCH("[A]",INDEX($C9:$G9,$W9))),"A",IF(ISNUMBER(SEARCH("[B]",INDEX($C9:$G9,$W9))),"B","-"))))</f>
        <v/>
      </c>
      <c r="BM9">
        <f>IF($X9="","",IF(INDEX($C9:$G9,$X9)="","",IF(ISNUMBER(SEARCH("[A]",INDEX($C9:$G9,$X9))),"A",IF(ISNUMBER(SEARCH("[B]",INDEX($C9:$G9,$X9))),"B","-"))))</f>
        <v/>
      </c>
      <c r="BN9">
        <f>IF($Y9="","",IF(INDEX($C9:$G9,$Y9)="","",IF(ISNUMBER(SEARCH("[A]",INDEX($C9:$G9,$Y9))),"A",IF(ISNUMBER(SEARCH("[B]",INDEX($C9:$G9,$Y9))),"B","-"))))</f>
        <v/>
      </c>
      <c r="BO9">
        <f>IF($Z9="","",IF(INDEX($C9:$G9,$Z9)="","",IF(ISNUMBER(SEARCH("[A]",INDEX($C9:$G9,$Z9))),"A",IF(ISNUMBER(SEARCH("[B]",INDEX($C9:$G9,$Z9))),"B","-"))))</f>
        <v/>
      </c>
      <c r="BP9">
        <f>IF($AA9="","",IF(INDEX($C9:$G9,$AA9)="","",IF(ISNUMBER(SEARCH("[A]",INDEX($C9:$G9,$AA9))),"A",IF(ISNUMBER(SEARCH("[B]",INDEX($C9:$G9,$AA9))),"B","-"))))</f>
        <v/>
      </c>
      <c r="BQ9">
        <f>IF($AB9="","",IF(INDEX($C9:$G9,$AB9)="","",IF(ISNUMBER(SEARCH("[A]",INDEX($C9:$G9,$AB9))),"A",IF(ISNUMBER(SEARCH("[B]",INDEX($C9:$G9,$AB9))),"B","-"))))</f>
        <v/>
      </c>
      <c r="BR9">
        <f>IF($AC9="","",IF(INDEX($C9:$G9,$AC9)="","",IF(ISNUMBER(SEARCH("[A]",INDEX($C9:$G9,$AC9))),"A",IF(ISNUMBER(SEARCH("[B]",INDEX($C9:$G9,$AC9))),"B","-"))))</f>
        <v/>
      </c>
    </row>
    <row r="10" ht="30" customHeight="1" s="1">
      <c r="A10" s="16" t="inlineStr">
        <is>
          <t>분리</t>
        </is>
      </c>
      <c r="B10" s="17" t="inlineStr">
        <is>
          <t>꼬리</t>
        </is>
      </c>
      <c r="C10" s="18" t="inlineStr">
        <is>
          <t>중립 높이·이완되어 있음</t>
        </is>
      </c>
      <c r="D10" s="19" t="inlineStr">
        <is>
          <t>평소보다 낮게 내림 [B]</t>
        </is>
      </c>
      <c r="E10" s="18" t="inlineStr">
        <is>
          <t>높이 들고 경직·짧고 빠른 흔들림 [A]</t>
        </is>
      </c>
      <c r="F10" s="18" t="n"/>
      <c r="G10" s="18" t="inlineStr">
        <is>
          <t>다리 사이로 말아 넣음 [B]</t>
        </is>
      </c>
      <c r="H10" s="16" t="inlineStr">
        <is>
          <t>친밀·애착</t>
        </is>
      </c>
      <c r="I10" s="20" t="inlineStr">
        <is>
          <t>★</t>
        </is>
      </c>
      <c r="J10" s="21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  <c r="T10" s="22" t="n"/>
      <c r="U10" s="22" t="n"/>
      <c r="V10" s="22" t="n"/>
      <c r="W10" s="22" t="n"/>
      <c r="X10" s="22" t="n"/>
      <c r="Y10" s="22" t="n"/>
      <c r="Z10" s="22" t="n"/>
      <c r="AA10" s="22" t="n"/>
      <c r="AB10" s="22" t="n"/>
      <c r="AC10" s="22" t="n"/>
      <c r="AD10" t="inlineStr">
        <is>
          <t>ATT</t>
        </is>
      </c>
      <c r="AE10">
        <f>IF($J10="","",IF(INDEX($C10:$G10,$J10)="","",$J10))</f>
        <v/>
      </c>
      <c r="AF10">
        <f>IF($K10="","",IF(INDEX($C10:$G10,$K10)="","",$K10))</f>
        <v/>
      </c>
      <c r="AG10">
        <f>IF($L10="","",IF(INDEX($C10:$G10,$L10)="","",$L10))</f>
        <v/>
      </c>
      <c r="AH10">
        <f>IF($M10="","",IF(INDEX($C10:$G10,$M10)="","",$M10))</f>
        <v/>
      </c>
      <c r="AI10">
        <f>IF($N10="","",IF(INDEX($C10:$G10,$N10)="","",$N10))</f>
        <v/>
      </c>
      <c r="AJ10">
        <f>IF($O10="","",IF(INDEX($C10:$G10,$O10)="","",$O10))</f>
        <v/>
      </c>
      <c r="AK10">
        <f>IF($P10="","",IF(INDEX($C10:$G10,$P10)="","",$P10))</f>
        <v/>
      </c>
      <c r="AL10">
        <f>IF($Q10="","",IF(INDEX($C10:$G10,$Q10)="","",$Q10))</f>
        <v/>
      </c>
      <c r="AM10">
        <f>IF($R10="","",IF(INDEX($C10:$G10,$R10)="","",$R10))</f>
        <v/>
      </c>
      <c r="AN10">
        <f>IF($S10="","",IF(INDEX($C10:$G10,$S10)="","",$S10))</f>
        <v/>
      </c>
      <c r="AO10">
        <f>IF($T10="","",IF(INDEX($C10:$G10,$T10)="","",$T10))</f>
        <v/>
      </c>
      <c r="AP10">
        <f>IF($U10="","",IF(INDEX($C10:$G10,$U10)="","",$U10))</f>
        <v/>
      </c>
      <c r="AQ10">
        <f>IF($V10="","",IF(INDEX($C10:$G10,$V10)="","",$V10))</f>
        <v/>
      </c>
      <c r="AR10">
        <f>IF($W10="","",IF(INDEX($C10:$G10,$W10)="","",$W10))</f>
        <v/>
      </c>
      <c r="AS10">
        <f>IF($X10="","",IF(INDEX($C10:$G10,$X10)="","",$X10))</f>
        <v/>
      </c>
      <c r="AT10">
        <f>IF($Y10="","",IF(INDEX($C10:$G10,$Y10)="","",$Y10))</f>
        <v/>
      </c>
      <c r="AU10">
        <f>IF($Z10="","",IF(INDEX($C10:$G10,$Z10)="","",$Z10))</f>
        <v/>
      </c>
      <c r="AV10">
        <f>IF($AA10="","",IF(INDEX($C10:$G10,$AA10)="","",$AA10))</f>
        <v/>
      </c>
      <c r="AW10">
        <f>IF($AB10="","",IF(INDEX($C10:$G10,$AB10)="","",$AB10))</f>
        <v/>
      </c>
      <c r="AX10">
        <f>IF($AC10="","",IF(INDEX($C10:$G10,$AC10)="","",$AC10))</f>
        <v/>
      </c>
      <c r="AY10">
        <f>IF($J10="","",IF(INDEX($C10:$G10,$J10)="","",IF(ISNUMBER(SEARCH("[A]",INDEX($C10:$G10,$J10))),"A",IF(ISNUMBER(SEARCH("[B]",INDEX($C10:$G10,$J10))),"B","-"))))</f>
        <v/>
      </c>
      <c r="AZ10">
        <f>IF($K10="","",IF(INDEX($C10:$G10,$K10)="","",IF(ISNUMBER(SEARCH("[A]",INDEX($C10:$G10,$K10))),"A",IF(ISNUMBER(SEARCH("[B]",INDEX($C10:$G10,$K10))),"B","-"))))</f>
        <v/>
      </c>
      <c r="BA10">
        <f>IF($L10="","",IF(INDEX($C10:$G10,$L10)="","",IF(ISNUMBER(SEARCH("[A]",INDEX($C10:$G10,$L10))),"A",IF(ISNUMBER(SEARCH("[B]",INDEX($C10:$G10,$L10))),"B","-"))))</f>
        <v/>
      </c>
      <c r="BB10">
        <f>IF($M10="","",IF(INDEX($C10:$G10,$M10)="","",IF(ISNUMBER(SEARCH("[A]",INDEX($C10:$G10,$M10))),"A",IF(ISNUMBER(SEARCH("[B]",INDEX($C10:$G10,$M10))),"B","-"))))</f>
        <v/>
      </c>
      <c r="BC10">
        <f>IF($N10="","",IF(INDEX($C10:$G10,$N10)="","",IF(ISNUMBER(SEARCH("[A]",INDEX($C10:$G10,$N10))),"A",IF(ISNUMBER(SEARCH("[B]",INDEX($C10:$G10,$N10))),"B","-"))))</f>
        <v/>
      </c>
      <c r="BD10">
        <f>IF($O10="","",IF(INDEX($C10:$G10,$O10)="","",IF(ISNUMBER(SEARCH("[A]",INDEX($C10:$G10,$O10))),"A",IF(ISNUMBER(SEARCH("[B]",INDEX($C10:$G10,$O10))),"B","-"))))</f>
        <v/>
      </c>
      <c r="BE10">
        <f>IF($P10="","",IF(INDEX($C10:$G10,$P10)="","",IF(ISNUMBER(SEARCH("[A]",INDEX($C10:$G10,$P10))),"A",IF(ISNUMBER(SEARCH("[B]",INDEX($C10:$G10,$P10))),"B","-"))))</f>
        <v/>
      </c>
      <c r="BF10">
        <f>IF($Q10="","",IF(INDEX($C10:$G10,$Q10)="","",IF(ISNUMBER(SEARCH("[A]",INDEX($C10:$G10,$Q10))),"A",IF(ISNUMBER(SEARCH("[B]",INDEX($C10:$G10,$Q10))),"B","-"))))</f>
        <v/>
      </c>
      <c r="BG10">
        <f>IF($R10="","",IF(INDEX($C10:$G10,$R10)="","",IF(ISNUMBER(SEARCH("[A]",INDEX($C10:$G10,$R10))),"A",IF(ISNUMBER(SEARCH("[B]",INDEX($C10:$G10,$R10))),"B","-"))))</f>
        <v/>
      </c>
      <c r="BH10">
        <f>IF($S10="","",IF(INDEX($C10:$G10,$S10)="","",IF(ISNUMBER(SEARCH("[A]",INDEX($C10:$G10,$S10))),"A",IF(ISNUMBER(SEARCH("[B]",INDEX($C10:$G10,$S10))),"B","-"))))</f>
        <v/>
      </c>
      <c r="BI10">
        <f>IF($T10="","",IF(INDEX($C10:$G10,$T10)="","",IF(ISNUMBER(SEARCH("[A]",INDEX($C10:$G10,$T10))),"A",IF(ISNUMBER(SEARCH("[B]",INDEX($C10:$G10,$T10))),"B","-"))))</f>
        <v/>
      </c>
      <c r="BJ10">
        <f>IF($U10="","",IF(INDEX($C10:$G10,$U10)="","",IF(ISNUMBER(SEARCH("[A]",INDEX($C10:$G10,$U10))),"A",IF(ISNUMBER(SEARCH("[B]",INDEX($C10:$G10,$U10))),"B","-"))))</f>
        <v/>
      </c>
      <c r="BK10">
        <f>IF($V10="","",IF(INDEX($C10:$G10,$V10)="","",IF(ISNUMBER(SEARCH("[A]",INDEX($C10:$G10,$V10))),"A",IF(ISNUMBER(SEARCH("[B]",INDEX($C10:$G10,$V10))),"B","-"))))</f>
        <v/>
      </c>
      <c r="BL10">
        <f>IF($W10="","",IF(INDEX($C10:$G10,$W10)="","",IF(ISNUMBER(SEARCH("[A]",INDEX($C10:$G10,$W10))),"A",IF(ISNUMBER(SEARCH("[B]",INDEX($C10:$G10,$W10))),"B","-"))))</f>
        <v/>
      </c>
      <c r="BM10">
        <f>IF($X10="","",IF(INDEX($C10:$G10,$X10)="","",IF(ISNUMBER(SEARCH("[A]",INDEX($C10:$G10,$X10))),"A",IF(ISNUMBER(SEARCH("[B]",INDEX($C10:$G10,$X10))),"B","-"))))</f>
        <v/>
      </c>
      <c r="BN10">
        <f>IF($Y10="","",IF(INDEX($C10:$G10,$Y10)="","",IF(ISNUMBER(SEARCH("[A]",INDEX($C10:$G10,$Y10))),"A",IF(ISNUMBER(SEARCH("[B]",INDEX($C10:$G10,$Y10))),"B","-"))))</f>
        <v/>
      </c>
      <c r="BO10">
        <f>IF($Z10="","",IF(INDEX($C10:$G10,$Z10)="","",IF(ISNUMBER(SEARCH("[A]",INDEX($C10:$G10,$Z10))),"A",IF(ISNUMBER(SEARCH("[B]",INDEX($C10:$G10,$Z10))),"B","-"))))</f>
        <v/>
      </c>
      <c r="BP10">
        <f>IF($AA10="","",IF(INDEX($C10:$G10,$AA10)="","",IF(ISNUMBER(SEARCH("[A]",INDEX($C10:$G10,$AA10))),"A",IF(ISNUMBER(SEARCH("[B]",INDEX($C10:$G10,$AA10))),"B","-"))))</f>
        <v/>
      </c>
      <c r="BQ10">
        <f>IF($AB10="","",IF(INDEX($C10:$G10,$AB10)="","",IF(ISNUMBER(SEARCH("[A]",INDEX($C10:$G10,$AB10))),"A",IF(ISNUMBER(SEARCH("[B]",INDEX($C10:$G10,$AB10))),"B","-"))))</f>
        <v/>
      </c>
      <c r="BR10">
        <f>IF($AC10="","",IF(INDEX($C10:$G10,$AC10)="","",IF(ISNUMBER(SEARCH("[A]",INDEX($C10:$G10,$AC10))),"A",IF(ISNUMBER(SEARCH("[B]",INDEX($C10:$G10,$AC10))),"B","-"))))</f>
        <v/>
      </c>
    </row>
    <row r="11" ht="30" customHeight="1" s="1">
      <c r="A11" s="16" t="inlineStr">
        <is>
          <t>분리</t>
        </is>
      </c>
      <c r="B11" s="17" t="inlineStr">
        <is>
          <t>자세·무게중심</t>
        </is>
      </c>
      <c r="C11" s="18" t="inlineStr">
        <is>
          <t>사지에 균등·중립</t>
        </is>
      </c>
      <c r="D11" s="19" t="n"/>
      <c r="E11" s="18" t="inlineStr">
        <is>
          <t>무게중심 뒤·뒷걸음 자세 [B]</t>
        </is>
      </c>
      <c r="F11" s="18" t="inlineStr">
        <is>
          <t>무게중심 앞·몸을 앞으로 기울임 [A]</t>
        </is>
      </c>
      <c r="G11" s="18" t="inlineStr">
        <is>
          <t>몸 낮춤·웅크림·배 노출 [B]</t>
        </is>
      </c>
      <c r="H11" s="16" t="inlineStr">
        <is>
          <t>친밀·애착</t>
        </is>
      </c>
      <c r="I11" s="20" t="inlineStr">
        <is>
          <t>★</t>
        </is>
      </c>
      <c r="J11" s="21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22" t="n"/>
      <c r="V11" s="22" t="n"/>
      <c r="W11" s="22" t="n"/>
      <c r="X11" s="22" t="n"/>
      <c r="Y11" s="22" t="n"/>
      <c r="Z11" s="22" t="n"/>
      <c r="AA11" s="22" t="n"/>
      <c r="AB11" s="22" t="n"/>
      <c r="AC11" s="22" t="n"/>
      <c r="AD11" t="inlineStr">
        <is>
          <t>ATT</t>
        </is>
      </c>
      <c r="AE11">
        <f>IF($J11="","",IF(INDEX($C11:$G11,$J11)="","",$J11))</f>
        <v/>
      </c>
      <c r="AF11">
        <f>IF($K11="","",IF(INDEX($C11:$G11,$K11)="","",$K11))</f>
        <v/>
      </c>
      <c r="AG11">
        <f>IF($L11="","",IF(INDEX($C11:$G11,$L11)="","",$L11))</f>
        <v/>
      </c>
      <c r="AH11">
        <f>IF($M11="","",IF(INDEX($C11:$G11,$M11)="","",$M11))</f>
        <v/>
      </c>
      <c r="AI11">
        <f>IF($N11="","",IF(INDEX($C11:$G11,$N11)="","",$N11))</f>
        <v/>
      </c>
      <c r="AJ11">
        <f>IF($O11="","",IF(INDEX($C11:$G11,$O11)="","",$O11))</f>
        <v/>
      </c>
      <c r="AK11">
        <f>IF($P11="","",IF(INDEX($C11:$G11,$P11)="","",$P11))</f>
        <v/>
      </c>
      <c r="AL11">
        <f>IF($Q11="","",IF(INDEX($C11:$G11,$Q11)="","",$Q11))</f>
        <v/>
      </c>
      <c r="AM11">
        <f>IF($R11="","",IF(INDEX($C11:$G11,$R11)="","",$R11))</f>
        <v/>
      </c>
      <c r="AN11">
        <f>IF($S11="","",IF(INDEX($C11:$G11,$S11)="","",$S11))</f>
        <v/>
      </c>
      <c r="AO11">
        <f>IF($T11="","",IF(INDEX($C11:$G11,$T11)="","",$T11))</f>
        <v/>
      </c>
      <c r="AP11">
        <f>IF($U11="","",IF(INDEX($C11:$G11,$U11)="","",$U11))</f>
        <v/>
      </c>
      <c r="AQ11">
        <f>IF($V11="","",IF(INDEX($C11:$G11,$V11)="","",$V11))</f>
        <v/>
      </c>
      <c r="AR11">
        <f>IF($W11="","",IF(INDEX($C11:$G11,$W11)="","",$W11))</f>
        <v/>
      </c>
      <c r="AS11">
        <f>IF($X11="","",IF(INDEX($C11:$G11,$X11)="","",$X11))</f>
        <v/>
      </c>
      <c r="AT11">
        <f>IF($Y11="","",IF(INDEX($C11:$G11,$Y11)="","",$Y11))</f>
        <v/>
      </c>
      <c r="AU11">
        <f>IF($Z11="","",IF(INDEX($C11:$G11,$Z11)="","",$Z11))</f>
        <v/>
      </c>
      <c r="AV11">
        <f>IF($AA11="","",IF(INDEX($C11:$G11,$AA11)="","",$AA11))</f>
        <v/>
      </c>
      <c r="AW11">
        <f>IF($AB11="","",IF(INDEX($C11:$G11,$AB11)="","",$AB11))</f>
        <v/>
      </c>
      <c r="AX11">
        <f>IF($AC11="","",IF(INDEX($C11:$G11,$AC11)="","",$AC11))</f>
        <v/>
      </c>
      <c r="AY11">
        <f>IF($J11="","",IF(INDEX($C11:$G11,$J11)="","",IF(ISNUMBER(SEARCH("[A]",INDEX($C11:$G11,$J11))),"A",IF(ISNUMBER(SEARCH("[B]",INDEX($C11:$G11,$J11))),"B","-"))))</f>
        <v/>
      </c>
      <c r="AZ11">
        <f>IF($K11="","",IF(INDEX($C11:$G11,$K11)="","",IF(ISNUMBER(SEARCH("[A]",INDEX($C11:$G11,$K11))),"A",IF(ISNUMBER(SEARCH("[B]",INDEX($C11:$G11,$K11))),"B","-"))))</f>
        <v/>
      </c>
      <c r="BA11">
        <f>IF($L11="","",IF(INDEX($C11:$G11,$L11)="","",IF(ISNUMBER(SEARCH("[A]",INDEX($C11:$G11,$L11))),"A",IF(ISNUMBER(SEARCH("[B]",INDEX($C11:$G11,$L11))),"B","-"))))</f>
        <v/>
      </c>
      <c r="BB11">
        <f>IF($M11="","",IF(INDEX($C11:$G11,$M11)="","",IF(ISNUMBER(SEARCH("[A]",INDEX($C11:$G11,$M11))),"A",IF(ISNUMBER(SEARCH("[B]",INDEX($C11:$G11,$M11))),"B","-"))))</f>
        <v/>
      </c>
      <c r="BC11">
        <f>IF($N11="","",IF(INDEX($C11:$G11,$N11)="","",IF(ISNUMBER(SEARCH("[A]",INDEX($C11:$G11,$N11))),"A",IF(ISNUMBER(SEARCH("[B]",INDEX($C11:$G11,$N11))),"B","-"))))</f>
        <v/>
      </c>
      <c r="BD11">
        <f>IF($O11="","",IF(INDEX($C11:$G11,$O11)="","",IF(ISNUMBER(SEARCH("[A]",INDEX($C11:$G11,$O11))),"A",IF(ISNUMBER(SEARCH("[B]",INDEX($C11:$G11,$O11))),"B","-"))))</f>
        <v/>
      </c>
      <c r="BE11">
        <f>IF($P11="","",IF(INDEX($C11:$G11,$P11)="","",IF(ISNUMBER(SEARCH("[A]",INDEX($C11:$G11,$P11))),"A",IF(ISNUMBER(SEARCH("[B]",INDEX($C11:$G11,$P11))),"B","-"))))</f>
        <v/>
      </c>
      <c r="BF11">
        <f>IF($Q11="","",IF(INDEX($C11:$G11,$Q11)="","",IF(ISNUMBER(SEARCH("[A]",INDEX($C11:$G11,$Q11))),"A",IF(ISNUMBER(SEARCH("[B]",INDEX($C11:$G11,$Q11))),"B","-"))))</f>
        <v/>
      </c>
      <c r="BG11">
        <f>IF($R11="","",IF(INDEX($C11:$G11,$R11)="","",IF(ISNUMBER(SEARCH("[A]",INDEX($C11:$G11,$R11))),"A",IF(ISNUMBER(SEARCH("[B]",INDEX($C11:$G11,$R11))),"B","-"))))</f>
        <v/>
      </c>
      <c r="BH11">
        <f>IF($S11="","",IF(INDEX($C11:$G11,$S11)="","",IF(ISNUMBER(SEARCH("[A]",INDEX($C11:$G11,$S11))),"A",IF(ISNUMBER(SEARCH("[B]",INDEX($C11:$G11,$S11))),"B","-"))))</f>
        <v/>
      </c>
      <c r="BI11">
        <f>IF($T11="","",IF(INDEX($C11:$G11,$T11)="","",IF(ISNUMBER(SEARCH("[A]",INDEX($C11:$G11,$T11))),"A",IF(ISNUMBER(SEARCH("[B]",INDEX($C11:$G11,$T11))),"B","-"))))</f>
        <v/>
      </c>
      <c r="BJ11">
        <f>IF($U11="","",IF(INDEX($C11:$G11,$U11)="","",IF(ISNUMBER(SEARCH("[A]",INDEX($C11:$G11,$U11))),"A",IF(ISNUMBER(SEARCH("[B]",INDEX($C11:$G11,$U11))),"B","-"))))</f>
        <v/>
      </c>
      <c r="BK11">
        <f>IF($V11="","",IF(INDEX($C11:$G11,$V11)="","",IF(ISNUMBER(SEARCH("[A]",INDEX($C11:$G11,$V11))),"A",IF(ISNUMBER(SEARCH("[B]",INDEX($C11:$G11,$V11))),"B","-"))))</f>
        <v/>
      </c>
      <c r="BL11">
        <f>IF($W11="","",IF(INDEX($C11:$G11,$W11)="","",IF(ISNUMBER(SEARCH("[A]",INDEX($C11:$G11,$W11))),"A",IF(ISNUMBER(SEARCH("[B]",INDEX($C11:$G11,$W11))),"B","-"))))</f>
        <v/>
      </c>
      <c r="BM11">
        <f>IF($X11="","",IF(INDEX($C11:$G11,$X11)="","",IF(ISNUMBER(SEARCH("[A]",INDEX($C11:$G11,$X11))),"A",IF(ISNUMBER(SEARCH("[B]",INDEX($C11:$G11,$X11))),"B","-"))))</f>
        <v/>
      </c>
      <c r="BN11">
        <f>IF($Y11="","",IF(INDEX($C11:$G11,$Y11)="","",IF(ISNUMBER(SEARCH("[A]",INDEX($C11:$G11,$Y11))),"A",IF(ISNUMBER(SEARCH("[B]",INDEX($C11:$G11,$Y11))),"B","-"))))</f>
        <v/>
      </c>
      <c r="BO11">
        <f>IF($Z11="","",IF(INDEX($C11:$G11,$Z11)="","",IF(ISNUMBER(SEARCH("[A]",INDEX($C11:$G11,$Z11))),"A",IF(ISNUMBER(SEARCH("[B]",INDEX($C11:$G11,$Z11))),"B","-"))))</f>
        <v/>
      </c>
      <c r="BP11">
        <f>IF($AA11="","",IF(INDEX($C11:$G11,$AA11)="","",IF(ISNUMBER(SEARCH("[A]",INDEX($C11:$G11,$AA11))),"A",IF(ISNUMBER(SEARCH("[B]",INDEX($C11:$G11,$AA11))),"B","-"))))</f>
        <v/>
      </c>
      <c r="BQ11">
        <f>IF($AB11="","",IF(INDEX($C11:$G11,$AB11)="","",IF(ISNUMBER(SEARCH("[A]",INDEX($C11:$G11,$AB11))),"A",IF(ISNUMBER(SEARCH("[B]",INDEX($C11:$G11,$AB11))),"B","-"))))</f>
        <v/>
      </c>
      <c r="BR11">
        <f>IF($AC11="","",IF(INDEX($C11:$G11,$AC11)="","",IF(ISNUMBER(SEARCH("[A]",INDEX($C11:$G11,$AC11))),"A",IF(ISNUMBER(SEARCH("[B]",INDEX($C11:$G11,$AC11))),"B","-"))))</f>
        <v/>
      </c>
    </row>
    <row r="12" ht="30" customHeight="1" s="1">
      <c r="A12" s="16" t="inlineStr">
        <is>
          <t>분리</t>
        </is>
      </c>
      <c r="B12" s="17" t="inlineStr">
        <is>
          <t>이동</t>
        </is>
      </c>
      <c r="C12" s="18" t="inlineStr">
        <is>
          <t>자발적 접근 또는 중립 유지</t>
        </is>
      </c>
      <c r="D12" s="23" t="n"/>
      <c r="E12" s="23" t="inlineStr">
        <is>
          <t>회피·후퇴 [B]</t>
        </is>
      </c>
      <c r="F12" s="19" t="inlineStr">
        <is>
          <t>자극 향해 돌진·리드줄 당김 [A]</t>
        </is>
      </c>
      <c r="G12" s="23" t="inlineStr">
        <is>
          <t>프리징(2초 이상 정지)·보호자 뒤로 숨음 [B]</t>
        </is>
      </c>
      <c r="H12" s="16" t="inlineStr">
        <is>
          <t>친밀·애착</t>
        </is>
      </c>
      <c r="I12" s="20" t="inlineStr">
        <is>
          <t>★</t>
        </is>
      </c>
      <c r="J12" s="21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  <c r="W12" s="22" t="n"/>
      <c r="X12" s="22" t="n"/>
      <c r="Y12" s="22" t="n"/>
      <c r="Z12" s="22" t="n"/>
      <c r="AA12" s="22" t="n"/>
      <c r="AB12" s="22" t="n"/>
      <c r="AC12" s="22" t="n"/>
      <c r="AD12" t="inlineStr">
        <is>
          <t>ATT</t>
        </is>
      </c>
      <c r="AE12">
        <f>IF($J12="","",IF(INDEX($C12:$G12,$J12)="","",$J12))</f>
        <v/>
      </c>
      <c r="AF12">
        <f>IF($K12="","",IF(INDEX($C12:$G12,$K12)="","",$K12))</f>
        <v/>
      </c>
      <c r="AG12">
        <f>IF($L12="","",IF(INDEX($C12:$G12,$L12)="","",$L12))</f>
        <v/>
      </c>
      <c r="AH12">
        <f>IF($M12="","",IF(INDEX($C12:$G12,$M12)="","",$M12))</f>
        <v/>
      </c>
      <c r="AI12">
        <f>IF($N12="","",IF(INDEX($C12:$G12,$N12)="","",$N12))</f>
        <v/>
      </c>
      <c r="AJ12">
        <f>IF($O12="","",IF(INDEX($C12:$G12,$O12)="","",$O12))</f>
        <v/>
      </c>
      <c r="AK12">
        <f>IF($P12="","",IF(INDEX($C12:$G12,$P12)="","",$P12))</f>
        <v/>
      </c>
      <c r="AL12">
        <f>IF($Q12="","",IF(INDEX($C12:$G12,$Q12)="","",$Q12))</f>
        <v/>
      </c>
      <c r="AM12">
        <f>IF($R12="","",IF(INDEX($C12:$G12,$R12)="","",$R12))</f>
        <v/>
      </c>
      <c r="AN12">
        <f>IF($S12="","",IF(INDEX($C12:$G12,$S12)="","",$S12))</f>
        <v/>
      </c>
      <c r="AO12">
        <f>IF($T12="","",IF(INDEX($C12:$G12,$T12)="","",$T12))</f>
        <v/>
      </c>
      <c r="AP12">
        <f>IF($U12="","",IF(INDEX($C12:$G12,$U12)="","",$U12))</f>
        <v/>
      </c>
      <c r="AQ12">
        <f>IF($V12="","",IF(INDEX($C12:$G12,$V12)="","",$V12))</f>
        <v/>
      </c>
      <c r="AR12">
        <f>IF($W12="","",IF(INDEX($C12:$G12,$W12)="","",$W12))</f>
        <v/>
      </c>
      <c r="AS12">
        <f>IF($X12="","",IF(INDEX($C12:$G12,$X12)="","",$X12))</f>
        <v/>
      </c>
      <c r="AT12">
        <f>IF($Y12="","",IF(INDEX($C12:$G12,$Y12)="","",$Y12))</f>
        <v/>
      </c>
      <c r="AU12">
        <f>IF($Z12="","",IF(INDEX($C12:$G12,$Z12)="","",$Z12))</f>
        <v/>
      </c>
      <c r="AV12">
        <f>IF($AA12="","",IF(INDEX($C12:$G12,$AA12)="","",$AA12))</f>
        <v/>
      </c>
      <c r="AW12">
        <f>IF($AB12="","",IF(INDEX($C12:$G12,$AB12)="","",$AB12))</f>
        <v/>
      </c>
      <c r="AX12">
        <f>IF($AC12="","",IF(INDEX($C12:$G12,$AC12)="","",$AC12))</f>
        <v/>
      </c>
      <c r="AY12">
        <f>IF($J12="","",IF(INDEX($C12:$G12,$J12)="","",IF(ISNUMBER(SEARCH("[A]",INDEX($C12:$G12,$J12))),"A",IF(ISNUMBER(SEARCH("[B]",INDEX($C12:$G12,$J12))),"B","-"))))</f>
        <v/>
      </c>
      <c r="AZ12">
        <f>IF($K12="","",IF(INDEX($C12:$G12,$K12)="","",IF(ISNUMBER(SEARCH("[A]",INDEX($C12:$G12,$K12))),"A",IF(ISNUMBER(SEARCH("[B]",INDEX($C12:$G12,$K12))),"B","-"))))</f>
        <v/>
      </c>
      <c r="BA12">
        <f>IF($L12="","",IF(INDEX($C12:$G12,$L12)="","",IF(ISNUMBER(SEARCH("[A]",INDEX($C12:$G12,$L12))),"A",IF(ISNUMBER(SEARCH("[B]",INDEX($C12:$G12,$L12))),"B","-"))))</f>
        <v/>
      </c>
      <c r="BB12">
        <f>IF($M12="","",IF(INDEX($C12:$G12,$M12)="","",IF(ISNUMBER(SEARCH("[A]",INDEX($C12:$G12,$M12))),"A",IF(ISNUMBER(SEARCH("[B]",INDEX($C12:$G12,$M12))),"B","-"))))</f>
        <v/>
      </c>
      <c r="BC12">
        <f>IF($N12="","",IF(INDEX($C12:$G12,$N12)="","",IF(ISNUMBER(SEARCH("[A]",INDEX($C12:$G12,$N12))),"A",IF(ISNUMBER(SEARCH("[B]",INDEX($C12:$G12,$N12))),"B","-"))))</f>
        <v/>
      </c>
      <c r="BD12">
        <f>IF($O12="","",IF(INDEX($C12:$G12,$O12)="","",IF(ISNUMBER(SEARCH("[A]",INDEX($C12:$G12,$O12))),"A",IF(ISNUMBER(SEARCH("[B]",INDEX($C12:$G12,$O12))),"B","-"))))</f>
        <v/>
      </c>
      <c r="BE12">
        <f>IF($P12="","",IF(INDEX($C12:$G12,$P12)="","",IF(ISNUMBER(SEARCH("[A]",INDEX($C12:$G12,$P12))),"A",IF(ISNUMBER(SEARCH("[B]",INDEX($C12:$G12,$P12))),"B","-"))))</f>
        <v/>
      </c>
      <c r="BF12">
        <f>IF($Q12="","",IF(INDEX($C12:$G12,$Q12)="","",IF(ISNUMBER(SEARCH("[A]",INDEX($C12:$G12,$Q12))),"A",IF(ISNUMBER(SEARCH("[B]",INDEX($C12:$G12,$Q12))),"B","-"))))</f>
        <v/>
      </c>
      <c r="BG12">
        <f>IF($R12="","",IF(INDEX($C12:$G12,$R12)="","",IF(ISNUMBER(SEARCH("[A]",INDEX($C12:$G12,$R12))),"A",IF(ISNUMBER(SEARCH("[B]",INDEX($C12:$G12,$R12))),"B","-"))))</f>
        <v/>
      </c>
      <c r="BH12">
        <f>IF($S12="","",IF(INDEX($C12:$G12,$S12)="","",IF(ISNUMBER(SEARCH("[A]",INDEX($C12:$G12,$S12))),"A",IF(ISNUMBER(SEARCH("[B]",INDEX($C12:$G12,$S12))),"B","-"))))</f>
        <v/>
      </c>
      <c r="BI12">
        <f>IF($T12="","",IF(INDEX($C12:$G12,$T12)="","",IF(ISNUMBER(SEARCH("[A]",INDEX($C12:$G12,$T12))),"A",IF(ISNUMBER(SEARCH("[B]",INDEX($C12:$G12,$T12))),"B","-"))))</f>
        <v/>
      </c>
      <c r="BJ12">
        <f>IF($U12="","",IF(INDEX($C12:$G12,$U12)="","",IF(ISNUMBER(SEARCH("[A]",INDEX($C12:$G12,$U12))),"A",IF(ISNUMBER(SEARCH("[B]",INDEX($C12:$G12,$U12))),"B","-"))))</f>
        <v/>
      </c>
      <c r="BK12">
        <f>IF($V12="","",IF(INDEX($C12:$G12,$V12)="","",IF(ISNUMBER(SEARCH("[A]",INDEX($C12:$G12,$V12))),"A",IF(ISNUMBER(SEARCH("[B]",INDEX($C12:$G12,$V12))),"B","-"))))</f>
        <v/>
      </c>
      <c r="BL12">
        <f>IF($W12="","",IF(INDEX($C12:$G12,$W12)="","",IF(ISNUMBER(SEARCH("[A]",INDEX($C12:$G12,$W12))),"A",IF(ISNUMBER(SEARCH("[B]",INDEX($C12:$G12,$W12))),"B","-"))))</f>
        <v/>
      </c>
      <c r="BM12">
        <f>IF($X12="","",IF(INDEX($C12:$G12,$X12)="","",IF(ISNUMBER(SEARCH("[A]",INDEX($C12:$G12,$X12))),"A",IF(ISNUMBER(SEARCH("[B]",INDEX($C12:$G12,$X12))),"B","-"))))</f>
        <v/>
      </c>
      <c r="BN12">
        <f>IF($Y12="","",IF(INDEX($C12:$G12,$Y12)="","",IF(ISNUMBER(SEARCH("[A]",INDEX($C12:$G12,$Y12))),"A",IF(ISNUMBER(SEARCH("[B]",INDEX($C12:$G12,$Y12))),"B","-"))))</f>
        <v/>
      </c>
      <c r="BO12">
        <f>IF($Z12="","",IF(INDEX($C12:$G12,$Z12)="","",IF(ISNUMBER(SEARCH("[A]",INDEX($C12:$G12,$Z12))),"A",IF(ISNUMBER(SEARCH("[B]",INDEX($C12:$G12,$Z12))),"B","-"))))</f>
        <v/>
      </c>
      <c r="BP12">
        <f>IF($AA12="","",IF(INDEX($C12:$G12,$AA12)="","",IF(ISNUMBER(SEARCH("[A]",INDEX($C12:$G12,$AA12))),"A",IF(ISNUMBER(SEARCH("[B]",INDEX($C12:$G12,$AA12))),"B","-"))))</f>
        <v/>
      </c>
      <c r="BQ12">
        <f>IF($AB12="","",IF(INDEX($C12:$G12,$AB12)="","",IF(ISNUMBER(SEARCH("[A]",INDEX($C12:$G12,$AB12))),"A",IF(ISNUMBER(SEARCH("[B]",INDEX($C12:$G12,$AB12))),"B","-"))))</f>
        <v/>
      </c>
      <c r="BR12">
        <f>IF($AC12="","",IF(INDEX($C12:$G12,$AC12)="","",IF(ISNUMBER(SEARCH("[A]",INDEX($C12:$G12,$AC12))),"A",IF(ISNUMBER(SEARCH("[B]",INDEX($C12:$G12,$AC12))),"B","-"))))</f>
        <v/>
      </c>
    </row>
    <row r="13" ht="30" customHeight="1" s="1">
      <c r="A13" s="24" t="inlineStr">
        <is>
          <t>훈련</t>
        </is>
      </c>
      <c r="B13" s="25" t="inlineStr">
        <is>
          <t>꼬리</t>
        </is>
      </c>
      <c r="C13" s="26" t="inlineStr">
        <is>
          <t>중립 높이·이완되어 있음</t>
        </is>
      </c>
      <c r="D13" s="26" t="inlineStr">
        <is>
          <t>평소보다 낮게 내림 [B]</t>
        </is>
      </c>
      <c r="E13" s="26" t="inlineStr">
        <is>
          <t>높이 들고 경직·짧고 빠른 흔들림 [A]</t>
        </is>
      </c>
      <c r="F13" s="19" t="n"/>
      <c r="G13" s="26" t="inlineStr">
        <is>
          <t>다리 사이로 말아 넣음 [B]</t>
        </is>
      </c>
      <c r="H13" s="24" t="inlineStr">
        <is>
          <t>훈련 수행(개)</t>
        </is>
      </c>
      <c r="I13" s="27" t="inlineStr">
        <is>
          <t>★</t>
        </is>
      </c>
      <c r="J13" s="21" t="n"/>
      <c r="K13" s="22" t="n"/>
      <c r="L13" s="22" t="n"/>
      <c r="M13" s="22" t="n"/>
      <c r="N13" s="22" t="n"/>
      <c r="O13" s="22" t="n"/>
      <c r="P13" s="22" t="n"/>
      <c r="Q13" s="22" t="n"/>
      <c r="R13" s="22" t="n"/>
      <c r="S13" s="22" t="n"/>
      <c r="T13" s="22" t="n"/>
      <c r="U13" s="22" t="n"/>
      <c r="V13" s="22" t="n"/>
      <c r="W13" s="22" t="n"/>
      <c r="X13" s="22" t="n"/>
      <c r="Y13" s="22" t="n"/>
      <c r="Z13" s="22" t="n"/>
      <c r="AA13" s="22" t="n"/>
      <c r="AB13" s="22" t="n"/>
      <c r="AC13" s="22" t="n"/>
      <c r="AD13" t="inlineStr">
        <is>
          <t>TRN</t>
        </is>
      </c>
      <c r="AE13">
        <f>IF($J13="","",IF(INDEX($C13:$G13,$J13)="","",$J13))</f>
        <v/>
      </c>
      <c r="AF13">
        <f>IF($K13="","",IF(INDEX($C13:$G13,$K13)="","",$K13))</f>
        <v/>
      </c>
      <c r="AG13">
        <f>IF($L13="","",IF(INDEX($C13:$G13,$L13)="","",$L13))</f>
        <v/>
      </c>
      <c r="AH13">
        <f>IF($M13="","",IF(INDEX($C13:$G13,$M13)="","",$M13))</f>
        <v/>
      </c>
      <c r="AI13">
        <f>IF($N13="","",IF(INDEX($C13:$G13,$N13)="","",$N13))</f>
        <v/>
      </c>
      <c r="AJ13">
        <f>IF($O13="","",IF(INDEX($C13:$G13,$O13)="","",$O13))</f>
        <v/>
      </c>
      <c r="AK13">
        <f>IF($P13="","",IF(INDEX($C13:$G13,$P13)="","",$P13))</f>
        <v/>
      </c>
      <c r="AL13">
        <f>IF($Q13="","",IF(INDEX($C13:$G13,$Q13)="","",$Q13))</f>
        <v/>
      </c>
      <c r="AM13">
        <f>IF($R13="","",IF(INDEX($C13:$G13,$R13)="","",$R13))</f>
        <v/>
      </c>
      <c r="AN13">
        <f>IF($S13="","",IF(INDEX($C13:$G13,$S13)="","",$S13))</f>
        <v/>
      </c>
      <c r="AO13">
        <f>IF($T13="","",IF(INDEX($C13:$G13,$T13)="","",$T13))</f>
        <v/>
      </c>
      <c r="AP13">
        <f>IF($U13="","",IF(INDEX($C13:$G13,$U13)="","",$U13))</f>
        <v/>
      </c>
      <c r="AQ13">
        <f>IF($V13="","",IF(INDEX($C13:$G13,$V13)="","",$V13))</f>
        <v/>
      </c>
      <c r="AR13">
        <f>IF($W13="","",IF(INDEX($C13:$G13,$W13)="","",$W13))</f>
        <v/>
      </c>
      <c r="AS13">
        <f>IF($X13="","",IF(INDEX($C13:$G13,$X13)="","",$X13))</f>
        <v/>
      </c>
      <c r="AT13">
        <f>IF($Y13="","",IF(INDEX($C13:$G13,$Y13)="","",$Y13))</f>
        <v/>
      </c>
      <c r="AU13">
        <f>IF($Z13="","",IF(INDEX($C13:$G13,$Z13)="","",$Z13))</f>
        <v/>
      </c>
      <c r="AV13">
        <f>IF($AA13="","",IF(INDEX($C13:$G13,$AA13)="","",$AA13))</f>
        <v/>
      </c>
      <c r="AW13">
        <f>IF($AB13="","",IF(INDEX($C13:$G13,$AB13)="","",$AB13))</f>
        <v/>
      </c>
      <c r="AX13">
        <f>IF($AC13="","",IF(INDEX($C13:$G13,$AC13)="","",$AC13))</f>
        <v/>
      </c>
      <c r="AY13">
        <f>IF($J13="","",IF(INDEX($C13:$G13,$J13)="","",IF(ISNUMBER(SEARCH("[A]",INDEX($C13:$G13,$J13))),"A",IF(ISNUMBER(SEARCH("[B]",INDEX($C13:$G13,$J13))),"B","-"))))</f>
        <v/>
      </c>
      <c r="AZ13">
        <f>IF($K13="","",IF(INDEX($C13:$G13,$K13)="","",IF(ISNUMBER(SEARCH("[A]",INDEX($C13:$G13,$K13))),"A",IF(ISNUMBER(SEARCH("[B]",INDEX($C13:$G13,$K13))),"B","-"))))</f>
        <v/>
      </c>
      <c r="BA13">
        <f>IF($L13="","",IF(INDEX($C13:$G13,$L13)="","",IF(ISNUMBER(SEARCH("[A]",INDEX($C13:$G13,$L13))),"A",IF(ISNUMBER(SEARCH("[B]",INDEX($C13:$G13,$L13))),"B","-"))))</f>
        <v/>
      </c>
      <c r="BB13">
        <f>IF($M13="","",IF(INDEX($C13:$G13,$M13)="","",IF(ISNUMBER(SEARCH("[A]",INDEX($C13:$G13,$M13))),"A",IF(ISNUMBER(SEARCH("[B]",INDEX($C13:$G13,$M13))),"B","-"))))</f>
        <v/>
      </c>
      <c r="BC13">
        <f>IF($N13="","",IF(INDEX($C13:$G13,$N13)="","",IF(ISNUMBER(SEARCH("[A]",INDEX($C13:$G13,$N13))),"A",IF(ISNUMBER(SEARCH("[B]",INDEX($C13:$G13,$N13))),"B","-"))))</f>
        <v/>
      </c>
      <c r="BD13">
        <f>IF($O13="","",IF(INDEX($C13:$G13,$O13)="","",IF(ISNUMBER(SEARCH("[A]",INDEX($C13:$G13,$O13))),"A",IF(ISNUMBER(SEARCH("[B]",INDEX($C13:$G13,$O13))),"B","-"))))</f>
        <v/>
      </c>
      <c r="BE13">
        <f>IF($P13="","",IF(INDEX($C13:$G13,$P13)="","",IF(ISNUMBER(SEARCH("[A]",INDEX($C13:$G13,$P13))),"A",IF(ISNUMBER(SEARCH("[B]",INDEX($C13:$G13,$P13))),"B","-"))))</f>
        <v/>
      </c>
      <c r="BF13">
        <f>IF($Q13="","",IF(INDEX($C13:$G13,$Q13)="","",IF(ISNUMBER(SEARCH("[A]",INDEX($C13:$G13,$Q13))),"A",IF(ISNUMBER(SEARCH("[B]",INDEX($C13:$G13,$Q13))),"B","-"))))</f>
        <v/>
      </c>
      <c r="BG13">
        <f>IF($R13="","",IF(INDEX($C13:$G13,$R13)="","",IF(ISNUMBER(SEARCH("[A]",INDEX($C13:$G13,$R13))),"A",IF(ISNUMBER(SEARCH("[B]",INDEX($C13:$G13,$R13))),"B","-"))))</f>
        <v/>
      </c>
      <c r="BH13">
        <f>IF($S13="","",IF(INDEX($C13:$G13,$S13)="","",IF(ISNUMBER(SEARCH("[A]",INDEX($C13:$G13,$S13))),"A",IF(ISNUMBER(SEARCH("[B]",INDEX($C13:$G13,$S13))),"B","-"))))</f>
        <v/>
      </c>
      <c r="BI13">
        <f>IF($T13="","",IF(INDEX($C13:$G13,$T13)="","",IF(ISNUMBER(SEARCH("[A]",INDEX($C13:$G13,$T13))),"A",IF(ISNUMBER(SEARCH("[B]",INDEX($C13:$G13,$T13))),"B","-"))))</f>
        <v/>
      </c>
      <c r="BJ13">
        <f>IF($U13="","",IF(INDEX($C13:$G13,$U13)="","",IF(ISNUMBER(SEARCH("[A]",INDEX($C13:$G13,$U13))),"A",IF(ISNUMBER(SEARCH("[B]",INDEX($C13:$G13,$U13))),"B","-"))))</f>
        <v/>
      </c>
      <c r="BK13">
        <f>IF($V13="","",IF(INDEX($C13:$G13,$V13)="","",IF(ISNUMBER(SEARCH("[A]",INDEX($C13:$G13,$V13))),"A",IF(ISNUMBER(SEARCH("[B]",INDEX($C13:$G13,$V13))),"B","-"))))</f>
        <v/>
      </c>
      <c r="BL13">
        <f>IF($W13="","",IF(INDEX($C13:$G13,$W13)="","",IF(ISNUMBER(SEARCH("[A]",INDEX($C13:$G13,$W13))),"A",IF(ISNUMBER(SEARCH("[B]",INDEX($C13:$G13,$W13))),"B","-"))))</f>
        <v/>
      </c>
      <c r="BM13">
        <f>IF($X13="","",IF(INDEX($C13:$G13,$X13)="","",IF(ISNUMBER(SEARCH("[A]",INDEX($C13:$G13,$X13))),"A",IF(ISNUMBER(SEARCH("[B]",INDEX($C13:$G13,$X13))),"B","-"))))</f>
        <v/>
      </c>
      <c r="BN13">
        <f>IF($Y13="","",IF(INDEX($C13:$G13,$Y13)="","",IF(ISNUMBER(SEARCH("[A]",INDEX($C13:$G13,$Y13))),"A",IF(ISNUMBER(SEARCH("[B]",INDEX($C13:$G13,$Y13))),"B","-"))))</f>
        <v/>
      </c>
      <c r="BO13">
        <f>IF($Z13="","",IF(INDEX($C13:$G13,$Z13)="","",IF(ISNUMBER(SEARCH("[A]",INDEX($C13:$G13,$Z13))),"A",IF(ISNUMBER(SEARCH("[B]",INDEX($C13:$G13,$Z13))),"B","-"))))</f>
        <v/>
      </c>
      <c r="BP13">
        <f>IF($AA13="","",IF(INDEX($C13:$G13,$AA13)="","",IF(ISNUMBER(SEARCH("[A]",INDEX($C13:$G13,$AA13))),"A",IF(ISNUMBER(SEARCH("[B]",INDEX($C13:$G13,$AA13))),"B","-"))))</f>
        <v/>
      </c>
      <c r="BQ13">
        <f>IF($AB13="","",IF(INDEX($C13:$G13,$AB13)="","",IF(ISNUMBER(SEARCH("[A]",INDEX($C13:$G13,$AB13))),"A",IF(ISNUMBER(SEARCH("[B]",INDEX($C13:$G13,$AB13))),"B","-"))))</f>
        <v/>
      </c>
      <c r="BR13">
        <f>IF($AC13="","",IF(INDEX($C13:$G13,$AC13)="","",IF(ISNUMBER(SEARCH("[A]",INDEX($C13:$G13,$AC13))),"A",IF(ISNUMBER(SEARCH("[B]",INDEX($C13:$G13,$AC13))),"B","-"))))</f>
        <v/>
      </c>
    </row>
    <row r="14" ht="30" customHeight="1" s="1">
      <c r="A14" s="24" t="inlineStr">
        <is>
          <t>놀이</t>
        </is>
      </c>
      <c r="B14" s="25" t="inlineStr">
        <is>
          <t>꼬리</t>
        </is>
      </c>
      <c r="C14" s="26" t="inlineStr">
        <is>
          <t>중립 높이·이완되어 있음</t>
        </is>
      </c>
      <c r="D14" s="26" t="inlineStr">
        <is>
          <t>평소보다 낮게 내림 [B]</t>
        </is>
      </c>
      <c r="E14" s="26" t="inlineStr">
        <is>
          <t>높이 들고 경직·짧고 빠른 흔들림 [A]</t>
        </is>
      </c>
      <c r="F14" s="19" t="n"/>
      <c r="G14" s="26" t="inlineStr">
        <is>
          <t>다리 사이로 말아 넣음 [B]</t>
        </is>
      </c>
      <c r="H14" s="24" t="inlineStr">
        <is>
          <t>친밀·애착</t>
        </is>
      </c>
      <c r="I14" s="27" t="inlineStr">
        <is>
          <t>★</t>
        </is>
      </c>
      <c r="J14" s="21" t="n"/>
      <c r="K14" s="22" t="n"/>
      <c r="L14" s="22" t="n"/>
      <c r="M14" s="22" t="n"/>
      <c r="N14" s="22" t="n"/>
      <c r="O14" s="22" t="n"/>
      <c r="P14" s="22" t="n"/>
      <c r="Q14" s="22" t="n"/>
      <c r="R14" s="22" t="n"/>
      <c r="S14" s="22" t="n"/>
      <c r="T14" s="22" t="n"/>
      <c r="U14" s="22" t="n"/>
      <c r="V14" s="22" t="n"/>
      <c r="W14" s="22" t="n"/>
      <c r="X14" s="22" t="n"/>
      <c r="Y14" s="22" t="n"/>
      <c r="Z14" s="22" t="n"/>
      <c r="AA14" s="22" t="n"/>
      <c r="AB14" s="22" t="n"/>
      <c r="AC14" s="22" t="n"/>
      <c r="AD14" t="inlineStr">
        <is>
          <t>ATT</t>
        </is>
      </c>
      <c r="AE14">
        <f>IF($J14="","",IF(INDEX($C14:$G14,$J14)="","",$J14))</f>
        <v/>
      </c>
      <c r="AF14">
        <f>IF($K14="","",IF(INDEX($C14:$G14,$K14)="","",$K14))</f>
        <v/>
      </c>
      <c r="AG14">
        <f>IF($L14="","",IF(INDEX($C14:$G14,$L14)="","",$L14))</f>
        <v/>
      </c>
      <c r="AH14">
        <f>IF($M14="","",IF(INDEX($C14:$G14,$M14)="","",$M14))</f>
        <v/>
      </c>
      <c r="AI14">
        <f>IF($N14="","",IF(INDEX($C14:$G14,$N14)="","",$N14))</f>
        <v/>
      </c>
      <c r="AJ14">
        <f>IF($O14="","",IF(INDEX($C14:$G14,$O14)="","",$O14))</f>
        <v/>
      </c>
      <c r="AK14">
        <f>IF($P14="","",IF(INDEX($C14:$G14,$P14)="","",$P14))</f>
        <v/>
      </c>
      <c r="AL14">
        <f>IF($Q14="","",IF(INDEX($C14:$G14,$Q14)="","",$Q14))</f>
        <v/>
      </c>
      <c r="AM14">
        <f>IF($R14="","",IF(INDEX($C14:$G14,$R14)="","",$R14))</f>
        <v/>
      </c>
      <c r="AN14">
        <f>IF($S14="","",IF(INDEX($C14:$G14,$S14)="","",$S14))</f>
        <v/>
      </c>
      <c r="AO14">
        <f>IF($T14="","",IF(INDEX($C14:$G14,$T14)="","",$T14))</f>
        <v/>
      </c>
      <c r="AP14">
        <f>IF($U14="","",IF(INDEX($C14:$G14,$U14)="","",$U14))</f>
        <v/>
      </c>
      <c r="AQ14">
        <f>IF($V14="","",IF(INDEX($C14:$G14,$V14)="","",$V14))</f>
        <v/>
      </c>
      <c r="AR14">
        <f>IF($W14="","",IF(INDEX($C14:$G14,$W14)="","",$W14))</f>
        <v/>
      </c>
      <c r="AS14">
        <f>IF($X14="","",IF(INDEX($C14:$G14,$X14)="","",$X14))</f>
        <v/>
      </c>
      <c r="AT14">
        <f>IF($Y14="","",IF(INDEX($C14:$G14,$Y14)="","",$Y14))</f>
        <v/>
      </c>
      <c r="AU14">
        <f>IF($Z14="","",IF(INDEX($C14:$G14,$Z14)="","",$Z14))</f>
        <v/>
      </c>
      <c r="AV14">
        <f>IF($AA14="","",IF(INDEX($C14:$G14,$AA14)="","",$AA14))</f>
        <v/>
      </c>
      <c r="AW14">
        <f>IF($AB14="","",IF(INDEX($C14:$G14,$AB14)="","",$AB14))</f>
        <v/>
      </c>
      <c r="AX14">
        <f>IF($AC14="","",IF(INDEX($C14:$G14,$AC14)="","",$AC14))</f>
        <v/>
      </c>
      <c r="AY14">
        <f>IF($J14="","",IF(INDEX($C14:$G14,$J14)="","",IF(ISNUMBER(SEARCH("[A]",INDEX($C14:$G14,$J14))),"A",IF(ISNUMBER(SEARCH("[B]",INDEX($C14:$G14,$J14))),"B","-"))))</f>
        <v/>
      </c>
      <c r="AZ14">
        <f>IF($K14="","",IF(INDEX($C14:$G14,$K14)="","",IF(ISNUMBER(SEARCH("[A]",INDEX($C14:$G14,$K14))),"A",IF(ISNUMBER(SEARCH("[B]",INDEX($C14:$G14,$K14))),"B","-"))))</f>
        <v/>
      </c>
      <c r="BA14">
        <f>IF($L14="","",IF(INDEX($C14:$G14,$L14)="","",IF(ISNUMBER(SEARCH("[A]",INDEX($C14:$G14,$L14))),"A",IF(ISNUMBER(SEARCH("[B]",INDEX($C14:$G14,$L14))),"B","-"))))</f>
        <v/>
      </c>
      <c r="BB14">
        <f>IF($M14="","",IF(INDEX($C14:$G14,$M14)="","",IF(ISNUMBER(SEARCH("[A]",INDEX($C14:$G14,$M14))),"A",IF(ISNUMBER(SEARCH("[B]",INDEX($C14:$G14,$M14))),"B","-"))))</f>
        <v/>
      </c>
      <c r="BC14">
        <f>IF($N14="","",IF(INDEX($C14:$G14,$N14)="","",IF(ISNUMBER(SEARCH("[A]",INDEX($C14:$G14,$N14))),"A",IF(ISNUMBER(SEARCH("[B]",INDEX($C14:$G14,$N14))),"B","-"))))</f>
        <v/>
      </c>
      <c r="BD14">
        <f>IF($O14="","",IF(INDEX($C14:$G14,$O14)="","",IF(ISNUMBER(SEARCH("[A]",INDEX($C14:$G14,$O14))),"A",IF(ISNUMBER(SEARCH("[B]",INDEX($C14:$G14,$O14))),"B","-"))))</f>
        <v/>
      </c>
      <c r="BE14">
        <f>IF($P14="","",IF(INDEX($C14:$G14,$P14)="","",IF(ISNUMBER(SEARCH("[A]",INDEX($C14:$G14,$P14))),"A",IF(ISNUMBER(SEARCH("[B]",INDEX($C14:$G14,$P14))),"B","-"))))</f>
        <v/>
      </c>
      <c r="BF14">
        <f>IF($Q14="","",IF(INDEX($C14:$G14,$Q14)="","",IF(ISNUMBER(SEARCH("[A]",INDEX($C14:$G14,$Q14))),"A",IF(ISNUMBER(SEARCH("[B]",INDEX($C14:$G14,$Q14))),"B","-"))))</f>
        <v/>
      </c>
      <c r="BG14">
        <f>IF($R14="","",IF(INDEX($C14:$G14,$R14)="","",IF(ISNUMBER(SEARCH("[A]",INDEX($C14:$G14,$R14))),"A",IF(ISNUMBER(SEARCH("[B]",INDEX($C14:$G14,$R14))),"B","-"))))</f>
        <v/>
      </c>
      <c r="BH14">
        <f>IF($S14="","",IF(INDEX($C14:$G14,$S14)="","",IF(ISNUMBER(SEARCH("[A]",INDEX($C14:$G14,$S14))),"A",IF(ISNUMBER(SEARCH("[B]",INDEX($C14:$G14,$S14))),"B","-"))))</f>
        <v/>
      </c>
      <c r="BI14">
        <f>IF($T14="","",IF(INDEX($C14:$G14,$T14)="","",IF(ISNUMBER(SEARCH("[A]",INDEX($C14:$G14,$T14))),"A",IF(ISNUMBER(SEARCH("[B]",INDEX($C14:$G14,$T14))),"B","-"))))</f>
        <v/>
      </c>
      <c r="BJ14">
        <f>IF($U14="","",IF(INDEX($C14:$G14,$U14)="","",IF(ISNUMBER(SEARCH("[A]",INDEX($C14:$G14,$U14))),"A",IF(ISNUMBER(SEARCH("[B]",INDEX($C14:$G14,$U14))),"B","-"))))</f>
        <v/>
      </c>
      <c r="BK14">
        <f>IF($V14="","",IF(INDEX($C14:$G14,$V14)="","",IF(ISNUMBER(SEARCH("[A]",INDEX($C14:$G14,$V14))),"A",IF(ISNUMBER(SEARCH("[B]",INDEX($C14:$G14,$V14))),"B","-"))))</f>
        <v/>
      </c>
      <c r="BL14">
        <f>IF($W14="","",IF(INDEX($C14:$G14,$W14)="","",IF(ISNUMBER(SEARCH("[A]",INDEX($C14:$G14,$W14))),"A",IF(ISNUMBER(SEARCH("[B]",INDEX($C14:$G14,$W14))),"B","-"))))</f>
        <v/>
      </c>
      <c r="BM14">
        <f>IF($X14="","",IF(INDEX($C14:$G14,$X14)="","",IF(ISNUMBER(SEARCH("[A]",INDEX($C14:$G14,$X14))),"A",IF(ISNUMBER(SEARCH("[B]",INDEX($C14:$G14,$X14))),"B","-"))))</f>
        <v/>
      </c>
      <c r="BN14">
        <f>IF($Y14="","",IF(INDEX($C14:$G14,$Y14)="","",IF(ISNUMBER(SEARCH("[A]",INDEX($C14:$G14,$Y14))),"A",IF(ISNUMBER(SEARCH("[B]",INDEX($C14:$G14,$Y14))),"B","-"))))</f>
        <v/>
      </c>
      <c r="BO14">
        <f>IF($Z14="","",IF(INDEX($C14:$G14,$Z14)="","",IF(ISNUMBER(SEARCH("[A]",INDEX($C14:$G14,$Z14))),"A",IF(ISNUMBER(SEARCH("[B]",INDEX($C14:$G14,$Z14))),"B","-"))))</f>
        <v/>
      </c>
      <c r="BP14">
        <f>IF($AA14="","",IF(INDEX($C14:$G14,$AA14)="","",IF(ISNUMBER(SEARCH("[A]",INDEX($C14:$G14,$AA14))),"A",IF(ISNUMBER(SEARCH("[B]",INDEX($C14:$G14,$AA14))),"B","-"))))</f>
        <v/>
      </c>
      <c r="BQ14">
        <f>IF($AB14="","",IF(INDEX($C14:$G14,$AB14)="","",IF(ISNUMBER(SEARCH("[A]",INDEX($C14:$G14,$AB14))),"A",IF(ISNUMBER(SEARCH("[B]",INDEX($C14:$G14,$AB14))),"B","-"))))</f>
        <v/>
      </c>
      <c r="BR14">
        <f>IF($AC14="","",IF(INDEX($C14:$G14,$AC14)="","",IF(ISNUMBER(SEARCH("[A]",INDEX($C14:$G14,$AC14))),"A",IF(ISNUMBER(SEARCH("[B]",INDEX($C14:$G14,$AC14))),"B","-"))))</f>
        <v/>
      </c>
    </row>
    <row r="15" ht="30" customHeight="1" s="1">
      <c r="A15" s="24" t="inlineStr">
        <is>
          <t>놀이</t>
        </is>
      </c>
      <c r="B15" s="25" t="inlineStr">
        <is>
          <t>자세·무게중심</t>
        </is>
      </c>
      <c r="C15" s="26" t="inlineStr">
        <is>
          <t>사지에 균등·중립</t>
        </is>
      </c>
      <c r="D15" s="19" t="n"/>
      <c r="E15" s="26" t="inlineStr">
        <is>
          <t>무게중심 뒤·뒷걸음 자세 [B]</t>
        </is>
      </c>
      <c r="F15" s="26" t="inlineStr">
        <is>
          <t>무게중심 앞·몸을 앞으로 기울임 [A]</t>
        </is>
      </c>
      <c r="G15" s="26" t="inlineStr">
        <is>
          <t>몸 낮춤·웅크림·배 노출 [B]</t>
        </is>
      </c>
      <c r="H15" s="24" t="inlineStr">
        <is>
          <t>친밀·애착</t>
        </is>
      </c>
      <c r="I15" s="27" t="inlineStr">
        <is>
          <t>★</t>
        </is>
      </c>
      <c r="J15" s="21" t="n"/>
      <c r="K15" s="22" t="n"/>
      <c r="L15" s="22" t="n"/>
      <c r="M15" s="22" t="n"/>
      <c r="N15" s="22" t="n"/>
      <c r="O15" s="22" t="n"/>
      <c r="P15" s="22" t="n"/>
      <c r="Q15" s="22" t="n"/>
      <c r="R15" s="22" t="n"/>
      <c r="S15" s="22" t="n"/>
      <c r="T15" s="22" t="n"/>
      <c r="U15" s="22" t="n"/>
      <c r="V15" s="22" t="n"/>
      <c r="W15" s="22" t="n"/>
      <c r="X15" s="22" t="n"/>
      <c r="Y15" s="22" t="n"/>
      <c r="Z15" s="22" t="n"/>
      <c r="AA15" s="22" t="n"/>
      <c r="AB15" s="22" t="n"/>
      <c r="AC15" s="22" t="n"/>
      <c r="AD15" t="inlineStr">
        <is>
          <t>ATT</t>
        </is>
      </c>
      <c r="AE15">
        <f>IF($J15="","",IF(INDEX($C15:$G15,$J15)="","",$J15))</f>
        <v/>
      </c>
      <c r="AF15">
        <f>IF($K15="","",IF(INDEX($C15:$G15,$K15)="","",$K15))</f>
        <v/>
      </c>
      <c r="AG15">
        <f>IF($L15="","",IF(INDEX($C15:$G15,$L15)="","",$L15))</f>
        <v/>
      </c>
      <c r="AH15">
        <f>IF($M15="","",IF(INDEX($C15:$G15,$M15)="","",$M15))</f>
        <v/>
      </c>
      <c r="AI15">
        <f>IF($N15="","",IF(INDEX($C15:$G15,$N15)="","",$N15))</f>
        <v/>
      </c>
      <c r="AJ15">
        <f>IF($O15="","",IF(INDEX($C15:$G15,$O15)="","",$O15))</f>
        <v/>
      </c>
      <c r="AK15">
        <f>IF($P15="","",IF(INDEX($C15:$G15,$P15)="","",$P15))</f>
        <v/>
      </c>
      <c r="AL15">
        <f>IF($Q15="","",IF(INDEX($C15:$G15,$Q15)="","",$Q15))</f>
        <v/>
      </c>
      <c r="AM15">
        <f>IF($R15="","",IF(INDEX($C15:$G15,$R15)="","",$R15))</f>
        <v/>
      </c>
      <c r="AN15">
        <f>IF($S15="","",IF(INDEX($C15:$G15,$S15)="","",$S15))</f>
        <v/>
      </c>
      <c r="AO15">
        <f>IF($T15="","",IF(INDEX($C15:$G15,$T15)="","",$T15))</f>
        <v/>
      </c>
      <c r="AP15">
        <f>IF($U15="","",IF(INDEX($C15:$G15,$U15)="","",$U15))</f>
        <v/>
      </c>
      <c r="AQ15">
        <f>IF($V15="","",IF(INDEX($C15:$G15,$V15)="","",$V15))</f>
        <v/>
      </c>
      <c r="AR15">
        <f>IF($W15="","",IF(INDEX($C15:$G15,$W15)="","",$W15))</f>
        <v/>
      </c>
      <c r="AS15">
        <f>IF($X15="","",IF(INDEX($C15:$G15,$X15)="","",$X15))</f>
        <v/>
      </c>
      <c r="AT15">
        <f>IF($Y15="","",IF(INDEX($C15:$G15,$Y15)="","",$Y15))</f>
        <v/>
      </c>
      <c r="AU15">
        <f>IF($Z15="","",IF(INDEX($C15:$G15,$Z15)="","",$Z15))</f>
        <v/>
      </c>
      <c r="AV15">
        <f>IF($AA15="","",IF(INDEX($C15:$G15,$AA15)="","",$AA15))</f>
        <v/>
      </c>
      <c r="AW15">
        <f>IF($AB15="","",IF(INDEX($C15:$G15,$AB15)="","",$AB15))</f>
        <v/>
      </c>
      <c r="AX15">
        <f>IF($AC15="","",IF(INDEX($C15:$G15,$AC15)="","",$AC15))</f>
        <v/>
      </c>
      <c r="AY15">
        <f>IF($J15="","",IF(INDEX($C15:$G15,$J15)="","",IF(ISNUMBER(SEARCH("[A]",INDEX($C15:$G15,$J15))),"A",IF(ISNUMBER(SEARCH("[B]",INDEX($C15:$G15,$J15))),"B","-"))))</f>
        <v/>
      </c>
      <c r="AZ15">
        <f>IF($K15="","",IF(INDEX($C15:$G15,$K15)="","",IF(ISNUMBER(SEARCH("[A]",INDEX($C15:$G15,$K15))),"A",IF(ISNUMBER(SEARCH("[B]",INDEX($C15:$G15,$K15))),"B","-"))))</f>
        <v/>
      </c>
      <c r="BA15">
        <f>IF($L15="","",IF(INDEX($C15:$G15,$L15)="","",IF(ISNUMBER(SEARCH("[A]",INDEX($C15:$G15,$L15))),"A",IF(ISNUMBER(SEARCH("[B]",INDEX($C15:$G15,$L15))),"B","-"))))</f>
        <v/>
      </c>
      <c r="BB15">
        <f>IF($M15="","",IF(INDEX($C15:$G15,$M15)="","",IF(ISNUMBER(SEARCH("[A]",INDEX($C15:$G15,$M15))),"A",IF(ISNUMBER(SEARCH("[B]",INDEX($C15:$G15,$M15))),"B","-"))))</f>
        <v/>
      </c>
      <c r="BC15">
        <f>IF($N15="","",IF(INDEX($C15:$G15,$N15)="","",IF(ISNUMBER(SEARCH("[A]",INDEX($C15:$G15,$N15))),"A",IF(ISNUMBER(SEARCH("[B]",INDEX($C15:$G15,$N15))),"B","-"))))</f>
        <v/>
      </c>
      <c r="BD15">
        <f>IF($O15="","",IF(INDEX($C15:$G15,$O15)="","",IF(ISNUMBER(SEARCH("[A]",INDEX($C15:$G15,$O15))),"A",IF(ISNUMBER(SEARCH("[B]",INDEX($C15:$G15,$O15))),"B","-"))))</f>
        <v/>
      </c>
      <c r="BE15">
        <f>IF($P15="","",IF(INDEX($C15:$G15,$P15)="","",IF(ISNUMBER(SEARCH("[A]",INDEX($C15:$G15,$P15))),"A",IF(ISNUMBER(SEARCH("[B]",INDEX($C15:$G15,$P15))),"B","-"))))</f>
        <v/>
      </c>
      <c r="BF15">
        <f>IF($Q15="","",IF(INDEX($C15:$G15,$Q15)="","",IF(ISNUMBER(SEARCH("[A]",INDEX($C15:$G15,$Q15))),"A",IF(ISNUMBER(SEARCH("[B]",INDEX($C15:$G15,$Q15))),"B","-"))))</f>
        <v/>
      </c>
      <c r="BG15">
        <f>IF($R15="","",IF(INDEX($C15:$G15,$R15)="","",IF(ISNUMBER(SEARCH("[A]",INDEX($C15:$G15,$R15))),"A",IF(ISNUMBER(SEARCH("[B]",INDEX($C15:$G15,$R15))),"B","-"))))</f>
        <v/>
      </c>
      <c r="BH15">
        <f>IF($S15="","",IF(INDEX($C15:$G15,$S15)="","",IF(ISNUMBER(SEARCH("[A]",INDEX($C15:$G15,$S15))),"A",IF(ISNUMBER(SEARCH("[B]",INDEX($C15:$G15,$S15))),"B","-"))))</f>
        <v/>
      </c>
      <c r="BI15">
        <f>IF($T15="","",IF(INDEX($C15:$G15,$T15)="","",IF(ISNUMBER(SEARCH("[A]",INDEX($C15:$G15,$T15))),"A",IF(ISNUMBER(SEARCH("[B]",INDEX($C15:$G15,$T15))),"B","-"))))</f>
        <v/>
      </c>
      <c r="BJ15">
        <f>IF($U15="","",IF(INDEX($C15:$G15,$U15)="","",IF(ISNUMBER(SEARCH("[A]",INDEX($C15:$G15,$U15))),"A",IF(ISNUMBER(SEARCH("[B]",INDEX($C15:$G15,$U15))),"B","-"))))</f>
        <v/>
      </c>
      <c r="BK15">
        <f>IF($V15="","",IF(INDEX($C15:$G15,$V15)="","",IF(ISNUMBER(SEARCH("[A]",INDEX($C15:$G15,$V15))),"A",IF(ISNUMBER(SEARCH("[B]",INDEX($C15:$G15,$V15))),"B","-"))))</f>
        <v/>
      </c>
      <c r="BL15">
        <f>IF($W15="","",IF(INDEX($C15:$G15,$W15)="","",IF(ISNUMBER(SEARCH("[A]",INDEX($C15:$G15,$W15))),"A",IF(ISNUMBER(SEARCH("[B]",INDEX($C15:$G15,$W15))),"B","-"))))</f>
        <v/>
      </c>
      <c r="BM15">
        <f>IF($X15="","",IF(INDEX($C15:$G15,$X15)="","",IF(ISNUMBER(SEARCH("[A]",INDEX($C15:$G15,$X15))),"A",IF(ISNUMBER(SEARCH("[B]",INDEX($C15:$G15,$X15))),"B","-"))))</f>
        <v/>
      </c>
      <c r="BN15">
        <f>IF($Y15="","",IF(INDEX($C15:$G15,$Y15)="","",IF(ISNUMBER(SEARCH("[A]",INDEX($C15:$G15,$Y15))),"A",IF(ISNUMBER(SEARCH("[B]",INDEX($C15:$G15,$Y15))),"B","-"))))</f>
        <v/>
      </c>
      <c r="BO15">
        <f>IF($Z15="","",IF(INDEX($C15:$G15,$Z15)="","",IF(ISNUMBER(SEARCH("[A]",INDEX($C15:$G15,$Z15))),"A",IF(ISNUMBER(SEARCH("[B]",INDEX($C15:$G15,$Z15))),"B","-"))))</f>
        <v/>
      </c>
      <c r="BP15">
        <f>IF($AA15="","",IF(INDEX($C15:$G15,$AA15)="","",IF(ISNUMBER(SEARCH("[A]",INDEX($C15:$G15,$AA15))),"A",IF(ISNUMBER(SEARCH("[B]",INDEX($C15:$G15,$AA15))),"B","-"))))</f>
        <v/>
      </c>
      <c r="BQ15">
        <f>IF($AB15="","",IF(INDEX($C15:$G15,$AB15)="","",IF(ISNUMBER(SEARCH("[A]",INDEX($C15:$G15,$AB15))),"A",IF(ISNUMBER(SEARCH("[B]",INDEX($C15:$G15,$AB15))),"B","-"))))</f>
        <v/>
      </c>
      <c r="BR15">
        <f>IF($AC15="","",IF(INDEX($C15:$G15,$AC15)="","",IF(ISNUMBER(SEARCH("[A]",INDEX($C15:$G15,$AC15))),"A",IF(ISNUMBER(SEARCH("[B]",INDEX($C15:$G15,$AC15))),"B","-"))))</f>
        <v/>
      </c>
    </row>
    <row r="16" ht="30" customHeight="1" s="1">
      <c r="A16" s="24" t="inlineStr">
        <is>
          <t>놀이</t>
        </is>
      </c>
      <c r="B16" s="25" t="inlineStr">
        <is>
          <t>이동</t>
        </is>
      </c>
      <c r="C16" s="26" t="inlineStr">
        <is>
          <t>자발적 접근 또는 중립 유지</t>
        </is>
      </c>
      <c r="D16" s="19" t="n"/>
      <c r="E16" s="26" t="inlineStr">
        <is>
          <t>회피·후퇴 [B]</t>
        </is>
      </c>
      <c r="F16" s="26" t="inlineStr">
        <is>
          <t>자극 향해 돌진·리드줄 당김 [A]</t>
        </is>
      </c>
      <c r="G16" s="26" t="inlineStr">
        <is>
          <t>프리징(2초 이상 정지)·보호자 뒤로 숨음 [B]</t>
        </is>
      </c>
      <c r="H16" s="24" t="inlineStr">
        <is>
          <t>친밀·애착</t>
        </is>
      </c>
      <c r="I16" s="27" t="inlineStr">
        <is>
          <t>★</t>
        </is>
      </c>
      <c r="J16" s="21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  <c r="AA16" s="22" t="n"/>
      <c r="AB16" s="22" t="n"/>
      <c r="AC16" s="22" t="n"/>
      <c r="AD16" t="inlineStr">
        <is>
          <t>ATT</t>
        </is>
      </c>
      <c r="AE16">
        <f>IF($J16="","",IF(INDEX($C16:$G16,$J16)="","",$J16))</f>
        <v/>
      </c>
      <c r="AF16">
        <f>IF($K16="","",IF(INDEX($C16:$G16,$K16)="","",$K16))</f>
        <v/>
      </c>
      <c r="AG16">
        <f>IF($L16="","",IF(INDEX($C16:$G16,$L16)="","",$L16))</f>
        <v/>
      </c>
      <c r="AH16">
        <f>IF($M16="","",IF(INDEX($C16:$G16,$M16)="","",$M16))</f>
        <v/>
      </c>
      <c r="AI16">
        <f>IF($N16="","",IF(INDEX($C16:$G16,$N16)="","",$N16))</f>
        <v/>
      </c>
      <c r="AJ16">
        <f>IF($O16="","",IF(INDEX($C16:$G16,$O16)="","",$O16))</f>
        <v/>
      </c>
      <c r="AK16">
        <f>IF($P16="","",IF(INDEX($C16:$G16,$P16)="","",$P16))</f>
        <v/>
      </c>
      <c r="AL16">
        <f>IF($Q16="","",IF(INDEX($C16:$G16,$Q16)="","",$Q16))</f>
        <v/>
      </c>
      <c r="AM16">
        <f>IF($R16="","",IF(INDEX($C16:$G16,$R16)="","",$R16))</f>
        <v/>
      </c>
      <c r="AN16">
        <f>IF($S16="","",IF(INDEX($C16:$G16,$S16)="","",$S16))</f>
        <v/>
      </c>
      <c r="AO16">
        <f>IF($T16="","",IF(INDEX($C16:$G16,$T16)="","",$T16))</f>
        <v/>
      </c>
      <c r="AP16">
        <f>IF($U16="","",IF(INDEX($C16:$G16,$U16)="","",$U16))</f>
        <v/>
      </c>
      <c r="AQ16">
        <f>IF($V16="","",IF(INDEX($C16:$G16,$V16)="","",$V16))</f>
        <v/>
      </c>
      <c r="AR16">
        <f>IF($W16="","",IF(INDEX($C16:$G16,$W16)="","",$W16))</f>
        <v/>
      </c>
      <c r="AS16">
        <f>IF($X16="","",IF(INDEX($C16:$G16,$X16)="","",$X16))</f>
        <v/>
      </c>
      <c r="AT16">
        <f>IF($Y16="","",IF(INDEX($C16:$G16,$Y16)="","",$Y16))</f>
        <v/>
      </c>
      <c r="AU16">
        <f>IF($Z16="","",IF(INDEX($C16:$G16,$Z16)="","",$Z16))</f>
        <v/>
      </c>
      <c r="AV16">
        <f>IF($AA16="","",IF(INDEX($C16:$G16,$AA16)="","",$AA16))</f>
        <v/>
      </c>
      <c r="AW16">
        <f>IF($AB16="","",IF(INDEX($C16:$G16,$AB16)="","",$AB16))</f>
        <v/>
      </c>
      <c r="AX16">
        <f>IF($AC16="","",IF(INDEX($C16:$G16,$AC16)="","",$AC16))</f>
        <v/>
      </c>
      <c r="AY16">
        <f>IF($J16="","",IF(INDEX($C16:$G16,$J16)="","",IF(ISNUMBER(SEARCH("[A]",INDEX($C16:$G16,$J16))),"A",IF(ISNUMBER(SEARCH("[B]",INDEX($C16:$G16,$J16))),"B","-"))))</f>
        <v/>
      </c>
      <c r="AZ16">
        <f>IF($K16="","",IF(INDEX($C16:$G16,$K16)="","",IF(ISNUMBER(SEARCH("[A]",INDEX($C16:$G16,$K16))),"A",IF(ISNUMBER(SEARCH("[B]",INDEX($C16:$G16,$K16))),"B","-"))))</f>
        <v/>
      </c>
      <c r="BA16">
        <f>IF($L16="","",IF(INDEX($C16:$G16,$L16)="","",IF(ISNUMBER(SEARCH("[A]",INDEX($C16:$G16,$L16))),"A",IF(ISNUMBER(SEARCH("[B]",INDEX($C16:$G16,$L16))),"B","-"))))</f>
        <v/>
      </c>
      <c r="BB16">
        <f>IF($M16="","",IF(INDEX($C16:$G16,$M16)="","",IF(ISNUMBER(SEARCH("[A]",INDEX($C16:$G16,$M16))),"A",IF(ISNUMBER(SEARCH("[B]",INDEX($C16:$G16,$M16))),"B","-"))))</f>
        <v/>
      </c>
      <c r="BC16">
        <f>IF($N16="","",IF(INDEX($C16:$G16,$N16)="","",IF(ISNUMBER(SEARCH("[A]",INDEX($C16:$G16,$N16))),"A",IF(ISNUMBER(SEARCH("[B]",INDEX($C16:$G16,$N16))),"B","-"))))</f>
        <v/>
      </c>
      <c r="BD16">
        <f>IF($O16="","",IF(INDEX($C16:$G16,$O16)="","",IF(ISNUMBER(SEARCH("[A]",INDEX($C16:$G16,$O16))),"A",IF(ISNUMBER(SEARCH("[B]",INDEX($C16:$G16,$O16))),"B","-"))))</f>
        <v/>
      </c>
      <c r="BE16">
        <f>IF($P16="","",IF(INDEX($C16:$G16,$P16)="","",IF(ISNUMBER(SEARCH("[A]",INDEX($C16:$G16,$P16))),"A",IF(ISNUMBER(SEARCH("[B]",INDEX($C16:$G16,$P16))),"B","-"))))</f>
        <v/>
      </c>
      <c r="BF16">
        <f>IF($Q16="","",IF(INDEX($C16:$G16,$Q16)="","",IF(ISNUMBER(SEARCH("[A]",INDEX($C16:$G16,$Q16))),"A",IF(ISNUMBER(SEARCH("[B]",INDEX($C16:$G16,$Q16))),"B","-"))))</f>
        <v/>
      </c>
      <c r="BG16">
        <f>IF($R16="","",IF(INDEX($C16:$G16,$R16)="","",IF(ISNUMBER(SEARCH("[A]",INDEX($C16:$G16,$R16))),"A",IF(ISNUMBER(SEARCH("[B]",INDEX($C16:$G16,$R16))),"B","-"))))</f>
        <v/>
      </c>
      <c r="BH16">
        <f>IF($S16="","",IF(INDEX($C16:$G16,$S16)="","",IF(ISNUMBER(SEARCH("[A]",INDEX($C16:$G16,$S16))),"A",IF(ISNUMBER(SEARCH("[B]",INDEX($C16:$G16,$S16))),"B","-"))))</f>
        <v/>
      </c>
      <c r="BI16">
        <f>IF($T16="","",IF(INDEX($C16:$G16,$T16)="","",IF(ISNUMBER(SEARCH("[A]",INDEX($C16:$G16,$T16))),"A",IF(ISNUMBER(SEARCH("[B]",INDEX($C16:$G16,$T16))),"B","-"))))</f>
        <v/>
      </c>
      <c r="BJ16">
        <f>IF($U16="","",IF(INDEX($C16:$G16,$U16)="","",IF(ISNUMBER(SEARCH("[A]",INDEX($C16:$G16,$U16))),"A",IF(ISNUMBER(SEARCH("[B]",INDEX($C16:$G16,$U16))),"B","-"))))</f>
        <v/>
      </c>
      <c r="BK16">
        <f>IF($V16="","",IF(INDEX($C16:$G16,$V16)="","",IF(ISNUMBER(SEARCH("[A]",INDEX($C16:$G16,$V16))),"A",IF(ISNUMBER(SEARCH("[B]",INDEX($C16:$G16,$V16))),"B","-"))))</f>
        <v/>
      </c>
      <c r="BL16">
        <f>IF($W16="","",IF(INDEX($C16:$G16,$W16)="","",IF(ISNUMBER(SEARCH("[A]",INDEX($C16:$G16,$W16))),"A",IF(ISNUMBER(SEARCH("[B]",INDEX($C16:$G16,$W16))),"B","-"))))</f>
        <v/>
      </c>
      <c r="BM16">
        <f>IF($X16="","",IF(INDEX($C16:$G16,$X16)="","",IF(ISNUMBER(SEARCH("[A]",INDEX($C16:$G16,$X16))),"A",IF(ISNUMBER(SEARCH("[B]",INDEX($C16:$G16,$X16))),"B","-"))))</f>
        <v/>
      </c>
      <c r="BN16">
        <f>IF($Y16="","",IF(INDEX($C16:$G16,$Y16)="","",IF(ISNUMBER(SEARCH("[A]",INDEX($C16:$G16,$Y16))),"A",IF(ISNUMBER(SEARCH("[B]",INDEX($C16:$G16,$Y16))),"B","-"))))</f>
        <v/>
      </c>
      <c r="BO16">
        <f>IF($Z16="","",IF(INDEX($C16:$G16,$Z16)="","",IF(ISNUMBER(SEARCH("[A]",INDEX($C16:$G16,$Z16))),"A",IF(ISNUMBER(SEARCH("[B]",INDEX($C16:$G16,$Z16))),"B","-"))))</f>
        <v/>
      </c>
      <c r="BP16">
        <f>IF($AA16="","",IF(INDEX($C16:$G16,$AA16)="","",IF(ISNUMBER(SEARCH("[A]",INDEX($C16:$G16,$AA16))),"A",IF(ISNUMBER(SEARCH("[B]",INDEX($C16:$G16,$AA16))),"B","-"))))</f>
        <v/>
      </c>
      <c r="BQ16">
        <f>IF($AB16="","",IF(INDEX($C16:$G16,$AB16)="","",IF(ISNUMBER(SEARCH("[A]",INDEX($C16:$G16,$AB16))),"A",IF(ISNUMBER(SEARCH("[B]",INDEX($C16:$G16,$AB16))),"B","-"))))</f>
        <v/>
      </c>
      <c r="BR16">
        <f>IF($AC16="","",IF(INDEX($C16:$G16,$AC16)="","",IF(ISNUMBER(SEARCH("[A]",INDEX($C16:$G16,$AC16))),"A",IF(ISNUMBER(SEARCH("[B]",INDEX($C16:$G16,$AC16))),"B","-"))))</f>
        <v/>
      </c>
    </row>
    <row r="17" ht="30" customHeight="1" s="1">
      <c r="A17" s="24" t="inlineStr">
        <is>
          <t>퇴장</t>
        </is>
      </c>
      <c r="B17" s="25" t="inlineStr">
        <is>
          <t>꼬리</t>
        </is>
      </c>
      <c r="C17" s="26" t="inlineStr">
        <is>
          <t>중립 높이·이완되어 있음</t>
        </is>
      </c>
      <c r="D17" s="26" t="inlineStr">
        <is>
          <t>평소보다 낮게 내림 [B]</t>
        </is>
      </c>
      <c r="E17" s="26" t="inlineStr">
        <is>
          <t>높이 들고 경직·짧고 빠른 흔들림 [A]</t>
        </is>
      </c>
      <c r="F17" s="19" t="n"/>
      <c r="G17" s="26" t="inlineStr">
        <is>
          <t>다리 사이로 말아 넣음 [B]</t>
        </is>
      </c>
      <c r="H17" s="24" t="inlineStr">
        <is>
          <t>— 적응 지표 (영역 집계 제외)</t>
        </is>
      </c>
      <c r="I17" s="27" t="n"/>
      <c r="J17" s="21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  <c r="AA17" s="22" t="n"/>
      <c r="AB17" s="22" t="n"/>
      <c r="AC17" s="22" t="n"/>
      <c r="AE17">
        <f>IF($J17="","",IF(INDEX($C17:$G17,$J17)="","",$J17))</f>
        <v/>
      </c>
      <c r="AF17">
        <f>IF($K17="","",IF(INDEX($C17:$G17,$K17)="","",$K17))</f>
        <v/>
      </c>
      <c r="AG17">
        <f>IF($L17="","",IF(INDEX($C17:$G17,$L17)="","",$L17))</f>
        <v/>
      </c>
      <c r="AH17">
        <f>IF($M17="","",IF(INDEX($C17:$G17,$M17)="","",$M17))</f>
        <v/>
      </c>
      <c r="AI17">
        <f>IF($N17="","",IF(INDEX($C17:$G17,$N17)="","",$N17))</f>
        <v/>
      </c>
      <c r="AJ17">
        <f>IF($O17="","",IF(INDEX($C17:$G17,$O17)="","",$O17))</f>
        <v/>
      </c>
      <c r="AK17">
        <f>IF($P17="","",IF(INDEX($C17:$G17,$P17)="","",$P17))</f>
        <v/>
      </c>
      <c r="AL17">
        <f>IF($Q17="","",IF(INDEX($C17:$G17,$Q17)="","",$Q17))</f>
        <v/>
      </c>
      <c r="AM17">
        <f>IF($R17="","",IF(INDEX($C17:$G17,$R17)="","",$R17))</f>
        <v/>
      </c>
      <c r="AN17">
        <f>IF($S17="","",IF(INDEX($C17:$G17,$S17)="","",$S17))</f>
        <v/>
      </c>
      <c r="AO17">
        <f>IF($T17="","",IF(INDEX($C17:$G17,$T17)="","",$T17))</f>
        <v/>
      </c>
      <c r="AP17">
        <f>IF($U17="","",IF(INDEX($C17:$G17,$U17)="","",$U17))</f>
        <v/>
      </c>
      <c r="AQ17">
        <f>IF($V17="","",IF(INDEX($C17:$G17,$V17)="","",$V17))</f>
        <v/>
      </c>
      <c r="AR17">
        <f>IF($W17="","",IF(INDEX($C17:$G17,$W17)="","",$W17))</f>
        <v/>
      </c>
      <c r="AS17">
        <f>IF($X17="","",IF(INDEX($C17:$G17,$X17)="","",$X17))</f>
        <v/>
      </c>
      <c r="AT17">
        <f>IF($Y17="","",IF(INDEX($C17:$G17,$Y17)="","",$Y17))</f>
        <v/>
      </c>
      <c r="AU17">
        <f>IF($Z17="","",IF(INDEX($C17:$G17,$Z17)="","",$Z17))</f>
        <v/>
      </c>
      <c r="AV17">
        <f>IF($AA17="","",IF(INDEX($C17:$G17,$AA17)="","",$AA17))</f>
        <v/>
      </c>
      <c r="AW17">
        <f>IF($AB17="","",IF(INDEX($C17:$G17,$AB17)="","",$AB17))</f>
        <v/>
      </c>
      <c r="AX17">
        <f>IF($AC17="","",IF(INDEX($C17:$G17,$AC17)="","",$AC17))</f>
        <v/>
      </c>
      <c r="AY17">
        <f>IF($J17="","",IF(INDEX($C17:$G17,$J17)="","",IF(ISNUMBER(SEARCH("[A]",INDEX($C17:$G17,$J17))),"A",IF(ISNUMBER(SEARCH("[B]",INDEX($C17:$G17,$J17))),"B","-"))))</f>
        <v/>
      </c>
      <c r="AZ17">
        <f>IF($K17="","",IF(INDEX($C17:$G17,$K17)="","",IF(ISNUMBER(SEARCH("[A]",INDEX($C17:$G17,$K17))),"A",IF(ISNUMBER(SEARCH("[B]",INDEX($C17:$G17,$K17))),"B","-"))))</f>
        <v/>
      </c>
      <c r="BA17">
        <f>IF($L17="","",IF(INDEX($C17:$G17,$L17)="","",IF(ISNUMBER(SEARCH("[A]",INDEX($C17:$G17,$L17))),"A",IF(ISNUMBER(SEARCH("[B]",INDEX($C17:$G17,$L17))),"B","-"))))</f>
        <v/>
      </c>
      <c r="BB17">
        <f>IF($M17="","",IF(INDEX($C17:$G17,$M17)="","",IF(ISNUMBER(SEARCH("[A]",INDEX($C17:$G17,$M17))),"A",IF(ISNUMBER(SEARCH("[B]",INDEX($C17:$G17,$M17))),"B","-"))))</f>
        <v/>
      </c>
      <c r="BC17">
        <f>IF($N17="","",IF(INDEX($C17:$G17,$N17)="","",IF(ISNUMBER(SEARCH("[A]",INDEX($C17:$G17,$N17))),"A",IF(ISNUMBER(SEARCH("[B]",INDEX($C17:$G17,$N17))),"B","-"))))</f>
        <v/>
      </c>
      <c r="BD17">
        <f>IF($O17="","",IF(INDEX($C17:$G17,$O17)="","",IF(ISNUMBER(SEARCH("[A]",INDEX($C17:$G17,$O17))),"A",IF(ISNUMBER(SEARCH("[B]",INDEX($C17:$G17,$O17))),"B","-"))))</f>
        <v/>
      </c>
      <c r="BE17">
        <f>IF($P17="","",IF(INDEX($C17:$G17,$P17)="","",IF(ISNUMBER(SEARCH("[A]",INDEX($C17:$G17,$P17))),"A",IF(ISNUMBER(SEARCH("[B]",INDEX($C17:$G17,$P17))),"B","-"))))</f>
        <v/>
      </c>
      <c r="BF17">
        <f>IF($Q17="","",IF(INDEX($C17:$G17,$Q17)="","",IF(ISNUMBER(SEARCH("[A]",INDEX($C17:$G17,$Q17))),"A",IF(ISNUMBER(SEARCH("[B]",INDEX($C17:$G17,$Q17))),"B","-"))))</f>
        <v/>
      </c>
      <c r="BG17">
        <f>IF($R17="","",IF(INDEX($C17:$G17,$R17)="","",IF(ISNUMBER(SEARCH("[A]",INDEX($C17:$G17,$R17))),"A",IF(ISNUMBER(SEARCH("[B]",INDEX($C17:$G17,$R17))),"B","-"))))</f>
        <v/>
      </c>
      <c r="BH17">
        <f>IF($S17="","",IF(INDEX($C17:$G17,$S17)="","",IF(ISNUMBER(SEARCH("[A]",INDEX($C17:$G17,$S17))),"A",IF(ISNUMBER(SEARCH("[B]",INDEX($C17:$G17,$S17))),"B","-"))))</f>
        <v/>
      </c>
      <c r="BI17">
        <f>IF($T17="","",IF(INDEX($C17:$G17,$T17)="","",IF(ISNUMBER(SEARCH("[A]",INDEX($C17:$G17,$T17))),"A",IF(ISNUMBER(SEARCH("[B]",INDEX($C17:$G17,$T17))),"B","-"))))</f>
        <v/>
      </c>
      <c r="BJ17">
        <f>IF($U17="","",IF(INDEX($C17:$G17,$U17)="","",IF(ISNUMBER(SEARCH("[A]",INDEX($C17:$G17,$U17))),"A",IF(ISNUMBER(SEARCH("[B]",INDEX($C17:$G17,$U17))),"B","-"))))</f>
        <v/>
      </c>
      <c r="BK17">
        <f>IF($V17="","",IF(INDEX($C17:$G17,$V17)="","",IF(ISNUMBER(SEARCH("[A]",INDEX($C17:$G17,$V17))),"A",IF(ISNUMBER(SEARCH("[B]",INDEX($C17:$G17,$V17))),"B","-"))))</f>
        <v/>
      </c>
      <c r="BL17">
        <f>IF($W17="","",IF(INDEX($C17:$G17,$W17)="","",IF(ISNUMBER(SEARCH("[A]",INDEX($C17:$G17,$W17))),"A",IF(ISNUMBER(SEARCH("[B]",INDEX($C17:$G17,$W17))),"B","-"))))</f>
        <v/>
      </c>
      <c r="BM17">
        <f>IF($X17="","",IF(INDEX($C17:$G17,$X17)="","",IF(ISNUMBER(SEARCH("[A]",INDEX($C17:$G17,$X17))),"A",IF(ISNUMBER(SEARCH("[B]",INDEX($C17:$G17,$X17))),"B","-"))))</f>
        <v/>
      </c>
      <c r="BN17">
        <f>IF($Y17="","",IF(INDEX($C17:$G17,$Y17)="","",IF(ISNUMBER(SEARCH("[A]",INDEX($C17:$G17,$Y17))),"A",IF(ISNUMBER(SEARCH("[B]",INDEX($C17:$G17,$Y17))),"B","-"))))</f>
        <v/>
      </c>
      <c r="BO17">
        <f>IF($Z17="","",IF(INDEX($C17:$G17,$Z17)="","",IF(ISNUMBER(SEARCH("[A]",INDEX($C17:$G17,$Z17))),"A",IF(ISNUMBER(SEARCH("[B]",INDEX($C17:$G17,$Z17))),"B","-"))))</f>
        <v/>
      </c>
      <c r="BP17">
        <f>IF($AA17="","",IF(INDEX($C17:$G17,$AA17)="","",IF(ISNUMBER(SEARCH("[A]",INDEX($C17:$G17,$AA17))),"A",IF(ISNUMBER(SEARCH("[B]",INDEX($C17:$G17,$AA17))),"B","-"))))</f>
        <v/>
      </c>
      <c r="BQ17">
        <f>IF($AB17="","",IF(INDEX($C17:$G17,$AB17)="","",IF(ISNUMBER(SEARCH("[A]",INDEX($C17:$G17,$AB17))),"A",IF(ISNUMBER(SEARCH("[B]",INDEX($C17:$G17,$AB17))),"B","-"))))</f>
        <v/>
      </c>
      <c r="BR17">
        <f>IF($AC17="","",IF(INDEX($C17:$G17,$AC17)="","",IF(ISNUMBER(SEARCH("[A]",INDEX($C17:$G17,$AC17))),"A",IF(ISNUMBER(SEARCH("[B]",INDEX($C17:$G17,$AC17))),"B","-"))))</f>
        <v/>
      </c>
    </row>
    <row r="18" ht="30" customHeight="1" s="1">
      <c r="A18" s="24" t="inlineStr">
        <is>
          <t>퇴장</t>
        </is>
      </c>
      <c r="B18" s="25" t="inlineStr">
        <is>
          <t>자세·무게중심</t>
        </is>
      </c>
      <c r="C18" s="26" t="inlineStr">
        <is>
          <t>사지에 균등·중립</t>
        </is>
      </c>
      <c r="D18" s="19" t="n"/>
      <c r="E18" s="26" t="inlineStr">
        <is>
          <t>무게중심 뒤·뒷걸음 자세 [B]</t>
        </is>
      </c>
      <c r="F18" s="26" t="inlineStr">
        <is>
          <t>무게중심 앞·몸을 앞으로 기울임 [A]</t>
        </is>
      </c>
      <c r="G18" s="26" t="inlineStr">
        <is>
          <t>몸 낮춤·웅크림·배 노출 [B]</t>
        </is>
      </c>
      <c r="H18" s="24" t="inlineStr">
        <is>
          <t>— 적응 지표 (영역 집계 제외)</t>
        </is>
      </c>
      <c r="I18" s="27" t="n"/>
      <c r="J18" s="21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  <c r="AA18" s="22" t="n"/>
      <c r="AB18" s="22" t="n"/>
      <c r="AC18" s="22" t="n"/>
      <c r="AE18">
        <f>IF($J18="","",IF(INDEX($C18:$G18,$J18)="","",$J18))</f>
        <v/>
      </c>
      <c r="AF18">
        <f>IF($K18="","",IF(INDEX($C18:$G18,$K18)="","",$K18))</f>
        <v/>
      </c>
      <c r="AG18">
        <f>IF($L18="","",IF(INDEX($C18:$G18,$L18)="","",$L18))</f>
        <v/>
      </c>
      <c r="AH18">
        <f>IF($M18="","",IF(INDEX($C18:$G18,$M18)="","",$M18))</f>
        <v/>
      </c>
      <c r="AI18">
        <f>IF($N18="","",IF(INDEX($C18:$G18,$N18)="","",$N18))</f>
        <v/>
      </c>
      <c r="AJ18">
        <f>IF($O18="","",IF(INDEX($C18:$G18,$O18)="","",$O18))</f>
        <v/>
      </c>
      <c r="AK18">
        <f>IF($P18="","",IF(INDEX($C18:$G18,$P18)="","",$P18))</f>
        <v/>
      </c>
      <c r="AL18">
        <f>IF($Q18="","",IF(INDEX($C18:$G18,$Q18)="","",$Q18))</f>
        <v/>
      </c>
      <c r="AM18">
        <f>IF($R18="","",IF(INDEX($C18:$G18,$R18)="","",$R18))</f>
        <v/>
      </c>
      <c r="AN18">
        <f>IF($S18="","",IF(INDEX($C18:$G18,$S18)="","",$S18))</f>
        <v/>
      </c>
      <c r="AO18">
        <f>IF($T18="","",IF(INDEX($C18:$G18,$T18)="","",$T18))</f>
        <v/>
      </c>
      <c r="AP18">
        <f>IF($U18="","",IF(INDEX($C18:$G18,$U18)="","",$U18))</f>
        <v/>
      </c>
      <c r="AQ18">
        <f>IF($V18="","",IF(INDEX($C18:$G18,$V18)="","",$V18))</f>
        <v/>
      </c>
      <c r="AR18">
        <f>IF($W18="","",IF(INDEX($C18:$G18,$W18)="","",$W18))</f>
        <v/>
      </c>
      <c r="AS18">
        <f>IF($X18="","",IF(INDEX($C18:$G18,$X18)="","",$X18))</f>
        <v/>
      </c>
      <c r="AT18">
        <f>IF($Y18="","",IF(INDEX($C18:$G18,$Y18)="","",$Y18))</f>
        <v/>
      </c>
      <c r="AU18">
        <f>IF($Z18="","",IF(INDEX($C18:$G18,$Z18)="","",$Z18))</f>
        <v/>
      </c>
      <c r="AV18">
        <f>IF($AA18="","",IF(INDEX($C18:$G18,$AA18)="","",$AA18))</f>
        <v/>
      </c>
      <c r="AW18">
        <f>IF($AB18="","",IF(INDEX($C18:$G18,$AB18)="","",$AB18))</f>
        <v/>
      </c>
      <c r="AX18">
        <f>IF($AC18="","",IF(INDEX($C18:$G18,$AC18)="","",$AC18))</f>
        <v/>
      </c>
      <c r="AY18">
        <f>IF($J18="","",IF(INDEX($C18:$G18,$J18)="","",IF(ISNUMBER(SEARCH("[A]",INDEX($C18:$G18,$J18))),"A",IF(ISNUMBER(SEARCH("[B]",INDEX($C18:$G18,$J18))),"B","-"))))</f>
        <v/>
      </c>
      <c r="AZ18">
        <f>IF($K18="","",IF(INDEX($C18:$G18,$K18)="","",IF(ISNUMBER(SEARCH("[A]",INDEX($C18:$G18,$K18))),"A",IF(ISNUMBER(SEARCH("[B]",INDEX($C18:$G18,$K18))),"B","-"))))</f>
        <v/>
      </c>
      <c r="BA18">
        <f>IF($L18="","",IF(INDEX($C18:$G18,$L18)="","",IF(ISNUMBER(SEARCH("[A]",INDEX($C18:$G18,$L18))),"A",IF(ISNUMBER(SEARCH("[B]",INDEX($C18:$G18,$L18))),"B","-"))))</f>
        <v/>
      </c>
      <c r="BB18">
        <f>IF($M18="","",IF(INDEX($C18:$G18,$M18)="","",IF(ISNUMBER(SEARCH("[A]",INDEX($C18:$G18,$M18))),"A",IF(ISNUMBER(SEARCH("[B]",INDEX($C18:$G18,$M18))),"B","-"))))</f>
        <v/>
      </c>
      <c r="BC18">
        <f>IF($N18="","",IF(INDEX($C18:$G18,$N18)="","",IF(ISNUMBER(SEARCH("[A]",INDEX($C18:$G18,$N18))),"A",IF(ISNUMBER(SEARCH("[B]",INDEX($C18:$G18,$N18))),"B","-"))))</f>
        <v/>
      </c>
      <c r="BD18">
        <f>IF($O18="","",IF(INDEX($C18:$G18,$O18)="","",IF(ISNUMBER(SEARCH("[A]",INDEX($C18:$G18,$O18))),"A",IF(ISNUMBER(SEARCH("[B]",INDEX($C18:$G18,$O18))),"B","-"))))</f>
        <v/>
      </c>
      <c r="BE18">
        <f>IF($P18="","",IF(INDEX($C18:$G18,$P18)="","",IF(ISNUMBER(SEARCH("[A]",INDEX($C18:$G18,$P18))),"A",IF(ISNUMBER(SEARCH("[B]",INDEX($C18:$G18,$P18))),"B","-"))))</f>
        <v/>
      </c>
      <c r="BF18">
        <f>IF($Q18="","",IF(INDEX($C18:$G18,$Q18)="","",IF(ISNUMBER(SEARCH("[A]",INDEX($C18:$G18,$Q18))),"A",IF(ISNUMBER(SEARCH("[B]",INDEX($C18:$G18,$Q18))),"B","-"))))</f>
        <v/>
      </c>
      <c r="BG18">
        <f>IF($R18="","",IF(INDEX($C18:$G18,$R18)="","",IF(ISNUMBER(SEARCH("[A]",INDEX($C18:$G18,$R18))),"A",IF(ISNUMBER(SEARCH("[B]",INDEX($C18:$G18,$R18))),"B","-"))))</f>
        <v/>
      </c>
      <c r="BH18">
        <f>IF($S18="","",IF(INDEX($C18:$G18,$S18)="","",IF(ISNUMBER(SEARCH("[A]",INDEX($C18:$G18,$S18))),"A",IF(ISNUMBER(SEARCH("[B]",INDEX($C18:$G18,$S18))),"B","-"))))</f>
        <v/>
      </c>
      <c r="BI18">
        <f>IF($T18="","",IF(INDEX($C18:$G18,$T18)="","",IF(ISNUMBER(SEARCH("[A]",INDEX($C18:$G18,$T18))),"A",IF(ISNUMBER(SEARCH("[B]",INDEX($C18:$G18,$T18))),"B","-"))))</f>
        <v/>
      </c>
      <c r="BJ18">
        <f>IF($U18="","",IF(INDEX($C18:$G18,$U18)="","",IF(ISNUMBER(SEARCH("[A]",INDEX($C18:$G18,$U18))),"A",IF(ISNUMBER(SEARCH("[B]",INDEX($C18:$G18,$U18))),"B","-"))))</f>
        <v/>
      </c>
      <c r="BK18">
        <f>IF($V18="","",IF(INDEX($C18:$G18,$V18)="","",IF(ISNUMBER(SEARCH("[A]",INDEX($C18:$G18,$V18))),"A",IF(ISNUMBER(SEARCH("[B]",INDEX($C18:$G18,$V18))),"B","-"))))</f>
        <v/>
      </c>
      <c r="BL18">
        <f>IF($W18="","",IF(INDEX($C18:$G18,$W18)="","",IF(ISNUMBER(SEARCH("[A]",INDEX($C18:$G18,$W18))),"A",IF(ISNUMBER(SEARCH("[B]",INDEX($C18:$G18,$W18))),"B","-"))))</f>
        <v/>
      </c>
      <c r="BM18">
        <f>IF($X18="","",IF(INDEX($C18:$G18,$X18)="","",IF(ISNUMBER(SEARCH("[A]",INDEX($C18:$G18,$X18))),"A",IF(ISNUMBER(SEARCH("[B]",INDEX($C18:$G18,$X18))),"B","-"))))</f>
        <v/>
      </c>
      <c r="BN18">
        <f>IF($Y18="","",IF(INDEX($C18:$G18,$Y18)="","",IF(ISNUMBER(SEARCH("[A]",INDEX($C18:$G18,$Y18))),"A",IF(ISNUMBER(SEARCH("[B]",INDEX($C18:$G18,$Y18))),"B","-"))))</f>
        <v/>
      </c>
      <c r="BO18">
        <f>IF($Z18="","",IF(INDEX($C18:$G18,$Z18)="","",IF(ISNUMBER(SEARCH("[A]",INDEX($C18:$G18,$Z18))),"A",IF(ISNUMBER(SEARCH("[B]",INDEX($C18:$G18,$Z18))),"B","-"))))</f>
        <v/>
      </c>
      <c r="BP18">
        <f>IF($AA18="","",IF(INDEX($C18:$G18,$AA18)="","",IF(ISNUMBER(SEARCH("[A]",INDEX($C18:$G18,$AA18))),"A",IF(ISNUMBER(SEARCH("[B]",INDEX($C18:$G18,$AA18))),"B","-"))))</f>
        <v/>
      </c>
      <c r="BQ18">
        <f>IF($AB18="","",IF(INDEX($C18:$G18,$AB18)="","",IF(ISNUMBER(SEARCH("[A]",INDEX($C18:$G18,$AB18))),"A",IF(ISNUMBER(SEARCH("[B]",INDEX($C18:$G18,$AB18))),"B","-"))))</f>
        <v/>
      </c>
      <c r="BR18">
        <f>IF($AC18="","",IF(INDEX($C18:$G18,$AC18)="","",IF(ISNUMBER(SEARCH("[A]",INDEX($C18:$G18,$AC18))),"A",IF(ISNUMBER(SEARCH("[B]",INDEX($C18:$G18,$AC18))),"B","-"))))</f>
        <v/>
      </c>
    </row>
    <row r="19" ht="30" customHeight="1" s="1">
      <c r="A19" s="24" t="inlineStr">
        <is>
          <t>퇴장</t>
        </is>
      </c>
      <c r="B19" s="25" t="inlineStr">
        <is>
          <t>이동</t>
        </is>
      </c>
      <c r="C19" s="26" t="inlineStr">
        <is>
          <t>자발적 접근 또는 중립 유지</t>
        </is>
      </c>
      <c r="D19" s="19" t="n"/>
      <c r="E19" s="26" t="inlineStr">
        <is>
          <t>회피·후퇴 [B]</t>
        </is>
      </c>
      <c r="F19" s="26" t="inlineStr">
        <is>
          <t>자극 향해 돌진·리드줄 당김 [A]</t>
        </is>
      </c>
      <c r="G19" s="26" t="inlineStr">
        <is>
          <t>프리징(2초 이상 정지)·보호자 뒤로 숨음 [B]</t>
        </is>
      </c>
      <c r="H19" s="24" t="inlineStr">
        <is>
          <t>— 적응 지표 (영역 집계 제외)</t>
        </is>
      </c>
      <c r="I19" s="27" t="n"/>
      <c r="J19" s="21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  <c r="AA19" s="22" t="n"/>
      <c r="AB19" s="22" t="n"/>
      <c r="AC19" s="22" t="n"/>
      <c r="AE19">
        <f>IF($J19="","",IF(INDEX($C19:$G19,$J19)="","",$J19))</f>
        <v/>
      </c>
      <c r="AF19">
        <f>IF($K19="","",IF(INDEX($C19:$G19,$K19)="","",$K19))</f>
        <v/>
      </c>
      <c r="AG19">
        <f>IF($L19="","",IF(INDEX($C19:$G19,$L19)="","",$L19))</f>
        <v/>
      </c>
      <c r="AH19">
        <f>IF($M19="","",IF(INDEX($C19:$G19,$M19)="","",$M19))</f>
        <v/>
      </c>
      <c r="AI19">
        <f>IF($N19="","",IF(INDEX($C19:$G19,$N19)="","",$N19))</f>
        <v/>
      </c>
      <c r="AJ19">
        <f>IF($O19="","",IF(INDEX($C19:$G19,$O19)="","",$O19))</f>
        <v/>
      </c>
      <c r="AK19">
        <f>IF($P19="","",IF(INDEX($C19:$G19,$P19)="","",$P19))</f>
        <v/>
      </c>
      <c r="AL19">
        <f>IF($Q19="","",IF(INDEX($C19:$G19,$Q19)="","",$Q19))</f>
        <v/>
      </c>
      <c r="AM19">
        <f>IF($R19="","",IF(INDEX($C19:$G19,$R19)="","",$R19))</f>
        <v/>
      </c>
      <c r="AN19">
        <f>IF($S19="","",IF(INDEX($C19:$G19,$S19)="","",$S19))</f>
        <v/>
      </c>
      <c r="AO19">
        <f>IF($T19="","",IF(INDEX($C19:$G19,$T19)="","",$T19))</f>
        <v/>
      </c>
      <c r="AP19">
        <f>IF($U19="","",IF(INDEX($C19:$G19,$U19)="","",$U19))</f>
        <v/>
      </c>
      <c r="AQ19">
        <f>IF($V19="","",IF(INDEX($C19:$G19,$V19)="","",$V19))</f>
        <v/>
      </c>
      <c r="AR19">
        <f>IF($W19="","",IF(INDEX($C19:$G19,$W19)="","",$W19))</f>
        <v/>
      </c>
      <c r="AS19">
        <f>IF($X19="","",IF(INDEX($C19:$G19,$X19)="","",$X19))</f>
        <v/>
      </c>
      <c r="AT19">
        <f>IF($Y19="","",IF(INDEX($C19:$G19,$Y19)="","",$Y19))</f>
        <v/>
      </c>
      <c r="AU19">
        <f>IF($Z19="","",IF(INDEX($C19:$G19,$Z19)="","",$Z19))</f>
        <v/>
      </c>
      <c r="AV19">
        <f>IF($AA19="","",IF(INDEX($C19:$G19,$AA19)="","",$AA19))</f>
        <v/>
      </c>
      <c r="AW19">
        <f>IF($AB19="","",IF(INDEX($C19:$G19,$AB19)="","",$AB19))</f>
        <v/>
      </c>
      <c r="AX19">
        <f>IF($AC19="","",IF(INDEX($C19:$G19,$AC19)="","",$AC19))</f>
        <v/>
      </c>
      <c r="AY19">
        <f>IF($J19="","",IF(INDEX($C19:$G19,$J19)="","",IF(ISNUMBER(SEARCH("[A]",INDEX($C19:$G19,$J19))),"A",IF(ISNUMBER(SEARCH("[B]",INDEX($C19:$G19,$J19))),"B","-"))))</f>
        <v/>
      </c>
      <c r="AZ19">
        <f>IF($K19="","",IF(INDEX($C19:$G19,$K19)="","",IF(ISNUMBER(SEARCH("[A]",INDEX($C19:$G19,$K19))),"A",IF(ISNUMBER(SEARCH("[B]",INDEX($C19:$G19,$K19))),"B","-"))))</f>
        <v/>
      </c>
      <c r="BA19">
        <f>IF($L19="","",IF(INDEX($C19:$G19,$L19)="","",IF(ISNUMBER(SEARCH("[A]",INDEX($C19:$G19,$L19))),"A",IF(ISNUMBER(SEARCH("[B]",INDEX($C19:$G19,$L19))),"B","-"))))</f>
        <v/>
      </c>
      <c r="BB19">
        <f>IF($M19="","",IF(INDEX($C19:$G19,$M19)="","",IF(ISNUMBER(SEARCH("[A]",INDEX($C19:$G19,$M19))),"A",IF(ISNUMBER(SEARCH("[B]",INDEX($C19:$G19,$M19))),"B","-"))))</f>
        <v/>
      </c>
      <c r="BC19">
        <f>IF($N19="","",IF(INDEX($C19:$G19,$N19)="","",IF(ISNUMBER(SEARCH("[A]",INDEX($C19:$G19,$N19))),"A",IF(ISNUMBER(SEARCH("[B]",INDEX($C19:$G19,$N19))),"B","-"))))</f>
        <v/>
      </c>
      <c r="BD19">
        <f>IF($O19="","",IF(INDEX($C19:$G19,$O19)="","",IF(ISNUMBER(SEARCH("[A]",INDEX($C19:$G19,$O19))),"A",IF(ISNUMBER(SEARCH("[B]",INDEX($C19:$G19,$O19))),"B","-"))))</f>
        <v/>
      </c>
      <c r="BE19">
        <f>IF($P19="","",IF(INDEX($C19:$G19,$P19)="","",IF(ISNUMBER(SEARCH("[A]",INDEX($C19:$G19,$P19))),"A",IF(ISNUMBER(SEARCH("[B]",INDEX($C19:$G19,$P19))),"B","-"))))</f>
        <v/>
      </c>
      <c r="BF19">
        <f>IF($Q19="","",IF(INDEX($C19:$G19,$Q19)="","",IF(ISNUMBER(SEARCH("[A]",INDEX($C19:$G19,$Q19))),"A",IF(ISNUMBER(SEARCH("[B]",INDEX($C19:$G19,$Q19))),"B","-"))))</f>
        <v/>
      </c>
      <c r="BG19">
        <f>IF($R19="","",IF(INDEX($C19:$G19,$R19)="","",IF(ISNUMBER(SEARCH("[A]",INDEX($C19:$G19,$R19))),"A",IF(ISNUMBER(SEARCH("[B]",INDEX($C19:$G19,$R19))),"B","-"))))</f>
        <v/>
      </c>
      <c r="BH19">
        <f>IF($S19="","",IF(INDEX($C19:$G19,$S19)="","",IF(ISNUMBER(SEARCH("[A]",INDEX($C19:$G19,$S19))),"A",IF(ISNUMBER(SEARCH("[B]",INDEX($C19:$G19,$S19))),"B","-"))))</f>
        <v/>
      </c>
      <c r="BI19">
        <f>IF($T19="","",IF(INDEX($C19:$G19,$T19)="","",IF(ISNUMBER(SEARCH("[A]",INDEX($C19:$G19,$T19))),"A",IF(ISNUMBER(SEARCH("[B]",INDEX($C19:$G19,$T19))),"B","-"))))</f>
        <v/>
      </c>
      <c r="BJ19">
        <f>IF($U19="","",IF(INDEX($C19:$G19,$U19)="","",IF(ISNUMBER(SEARCH("[A]",INDEX($C19:$G19,$U19))),"A",IF(ISNUMBER(SEARCH("[B]",INDEX($C19:$G19,$U19))),"B","-"))))</f>
        <v/>
      </c>
      <c r="BK19">
        <f>IF($V19="","",IF(INDEX($C19:$G19,$V19)="","",IF(ISNUMBER(SEARCH("[A]",INDEX($C19:$G19,$V19))),"A",IF(ISNUMBER(SEARCH("[B]",INDEX($C19:$G19,$V19))),"B","-"))))</f>
        <v/>
      </c>
      <c r="BL19">
        <f>IF($W19="","",IF(INDEX($C19:$G19,$W19)="","",IF(ISNUMBER(SEARCH("[A]",INDEX($C19:$G19,$W19))),"A",IF(ISNUMBER(SEARCH("[B]",INDEX($C19:$G19,$W19))),"B","-"))))</f>
        <v/>
      </c>
      <c r="BM19">
        <f>IF($X19="","",IF(INDEX($C19:$G19,$X19)="","",IF(ISNUMBER(SEARCH("[A]",INDEX($C19:$G19,$X19))),"A",IF(ISNUMBER(SEARCH("[B]",INDEX($C19:$G19,$X19))),"B","-"))))</f>
        <v/>
      </c>
      <c r="BN19">
        <f>IF($Y19="","",IF(INDEX($C19:$G19,$Y19)="","",IF(ISNUMBER(SEARCH("[A]",INDEX($C19:$G19,$Y19))),"A",IF(ISNUMBER(SEARCH("[B]",INDEX($C19:$G19,$Y19))),"B","-"))))</f>
        <v/>
      </c>
      <c r="BO19">
        <f>IF($Z19="","",IF(INDEX($C19:$G19,$Z19)="","",IF(ISNUMBER(SEARCH("[A]",INDEX($C19:$G19,$Z19))),"A",IF(ISNUMBER(SEARCH("[B]",INDEX($C19:$G19,$Z19))),"B","-"))))</f>
        <v/>
      </c>
      <c r="BP19">
        <f>IF($AA19="","",IF(INDEX($C19:$G19,$AA19)="","",IF(ISNUMBER(SEARCH("[A]",INDEX($C19:$G19,$AA19))),"A",IF(ISNUMBER(SEARCH("[B]",INDEX($C19:$G19,$AA19))),"B","-"))))</f>
        <v/>
      </c>
      <c r="BQ19">
        <f>IF($AB19="","",IF(INDEX($C19:$G19,$AB19)="","",IF(ISNUMBER(SEARCH("[A]",INDEX($C19:$G19,$AB19))),"A",IF(ISNUMBER(SEARCH("[B]",INDEX($C19:$G19,$AB19))),"B","-"))))</f>
        <v/>
      </c>
      <c r="BR19">
        <f>IF($AC19="","",IF(INDEX($C19:$G19,$AC19)="","",IF(ISNUMBER(SEARCH("[A]",INDEX($C19:$G19,$AC19))),"A",IF(ISNUMBER(SEARCH("[B]",INDEX($C19:$G19,$AC19))),"B","-"))))</f>
        <v/>
      </c>
    </row>
    <row r="20" ht="30" customHeight="1" s="1">
      <c r="A20" s="24" t="inlineStr">
        <is>
          <t>퇴장</t>
        </is>
      </c>
      <c r="B20" s="25" t="inlineStr">
        <is>
          <t>전위행동 (3종)</t>
        </is>
      </c>
      <c r="C20" s="26" t="inlineStr">
        <is>
          <t>없음</t>
        </is>
      </c>
      <c r="D20" s="28" t="inlineStr">
        <is>
          <t>1종이 1~2회 [B]</t>
        </is>
      </c>
      <c r="E20" s="28" t="inlineStr">
        <is>
          <t>2종 이상 또는 1종 지속 반복 [B]</t>
        </is>
      </c>
      <c r="F20" s="19" t="n"/>
      <c r="G20" s="28" t="inlineStr">
        <is>
          <t>3종 이상 지속 반복 [B]</t>
        </is>
      </c>
      <c r="H20" s="24" t="inlineStr">
        <is>
          <t>— 적응 지표 (영역 집계 제외)</t>
        </is>
      </c>
      <c r="I20" s="27" t="n"/>
      <c r="J20" s="21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  <c r="AA20" s="22" t="n"/>
      <c r="AB20" s="22" t="n"/>
      <c r="AC20" s="22" t="n"/>
      <c r="AE20">
        <f>IF($J20="","",IF(INDEX($C20:$G20,$J20)="","",$J20))</f>
        <v/>
      </c>
      <c r="AF20">
        <f>IF($K20="","",IF(INDEX($C20:$G20,$K20)="","",$K20))</f>
        <v/>
      </c>
      <c r="AG20">
        <f>IF($L20="","",IF(INDEX($C20:$G20,$L20)="","",$L20))</f>
        <v/>
      </c>
      <c r="AH20">
        <f>IF($M20="","",IF(INDEX($C20:$G20,$M20)="","",$M20))</f>
        <v/>
      </c>
      <c r="AI20">
        <f>IF($N20="","",IF(INDEX($C20:$G20,$N20)="","",$N20))</f>
        <v/>
      </c>
      <c r="AJ20">
        <f>IF($O20="","",IF(INDEX($C20:$G20,$O20)="","",$O20))</f>
        <v/>
      </c>
      <c r="AK20">
        <f>IF($P20="","",IF(INDEX($C20:$G20,$P20)="","",$P20))</f>
        <v/>
      </c>
      <c r="AL20">
        <f>IF($Q20="","",IF(INDEX($C20:$G20,$Q20)="","",$Q20))</f>
        <v/>
      </c>
      <c r="AM20">
        <f>IF($R20="","",IF(INDEX($C20:$G20,$R20)="","",$R20))</f>
        <v/>
      </c>
      <c r="AN20">
        <f>IF($S20="","",IF(INDEX($C20:$G20,$S20)="","",$S20))</f>
        <v/>
      </c>
      <c r="AO20">
        <f>IF($T20="","",IF(INDEX($C20:$G20,$T20)="","",$T20))</f>
        <v/>
      </c>
      <c r="AP20">
        <f>IF($U20="","",IF(INDEX($C20:$G20,$U20)="","",$U20))</f>
        <v/>
      </c>
      <c r="AQ20">
        <f>IF($V20="","",IF(INDEX($C20:$G20,$V20)="","",$V20))</f>
        <v/>
      </c>
      <c r="AR20">
        <f>IF($W20="","",IF(INDEX($C20:$G20,$W20)="","",$W20))</f>
        <v/>
      </c>
      <c r="AS20">
        <f>IF($X20="","",IF(INDEX($C20:$G20,$X20)="","",$X20))</f>
        <v/>
      </c>
      <c r="AT20">
        <f>IF($Y20="","",IF(INDEX($C20:$G20,$Y20)="","",$Y20))</f>
        <v/>
      </c>
      <c r="AU20">
        <f>IF($Z20="","",IF(INDEX($C20:$G20,$Z20)="","",$Z20))</f>
        <v/>
      </c>
      <c r="AV20">
        <f>IF($AA20="","",IF(INDEX($C20:$G20,$AA20)="","",$AA20))</f>
        <v/>
      </c>
      <c r="AW20">
        <f>IF($AB20="","",IF(INDEX($C20:$G20,$AB20)="","",$AB20))</f>
        <v/>
      </c>
      <c r="AX20">
        <f>IF($AC20="","",IF(INDEX($C20:$G20,$AC20)="","",$AC20))</f>
        <v/>
      </c>
      <c r="AY20">
        <f>IF($J20="","",IF(INDEX($C20:$G20,$J20)="","",IF(ISNUMBER(SEARCH("[A]",INDEX($C20:$G20,$J20))),"A",IF(ISNUMBER(SEARCH("[B]",INDEX($C20:$G20,$J20))),"B","-"))))</f>
        <v/>
      </c>
      <c r="AZ20">
        <f>IF($K20="","",IF(INDEX($C20:$G20,$K20)="","",IF(ISNUMBER(SEARCH("[A]",INDEX($C20:$G20,$K20))),"A",IF(ISNUMBER(SEARCH("[B]",INDEX($C20:$G20,$K20))),"B","-"))))</f>
        <v/>
      </c>
      <c r="BA20">
        <f>IF($L20="","",IF(INDEX($C20:$G20,$L20)="","",IF(ISNUMBER(SEARCH("[A]",INDEX($C20:$G20,$L20))),"A",IF(ISNUMBER(SEARCH("[B]",INDEX($C20:$G20,$L20))),"B","-"))))</f>
        <v/>
      </c>
      <c r="BB20">
        <f>IF($M20="","",IF(INDEX($C20:$G20,$M20)="","",IF(ISNUMBER(SEARCH("[A]",INDEX($C20:$G20,$M20))),"A",IF(ISNUMBER(SEARCH("[B]",INDEX($C20:$G20,$M20))),"B","-"))))</f>
        <v/>
      </c>
      <c r="BC20">
        <f>IF($N20="","",IF(INDEX($C20:$G20,$N20)="","",IF(ISNUMBER(SEARCH("[A]",INDEX($C20:$G20,$N20))),"A",IF(ISNUMBER(SEARCH("[B]",INDEX($C20:$G20,$N20))),"B","-"))))</f>
        <v/>
      </c>
      <c r="BD20">
        <f>IF($O20="","",IF(INDEX($C20:$G20,$O20)="","",IF(ISNUMBER(SEARCH("[A]",INDEX($C20:$G20,$O20))),"A",IF(ISNUMBER(SEARCH("[B]",INDEX($C20:$G20,$O20))),"B","-"))))</f>
        <v/>
      </c>
      <c r="BE20">
        <f>IF($P20="","",IF(INDEX($C20:$G20,$P20)="","",IF(ISNUMBER(SEARCH("[A]",INDEX($C20:$G20,$P20))),"A",IF(ISNUMBER(SEARCH("[B]",INDEX($C20:$G20,$P20))),"B","-"))))</f>
        <v/>
      </c>
      <c r="BF20">
        <f>IF($Q20="","",IF(INDEX($C20:$G20,$Q20)="","",IF(ISNUMBER(SEARCH("[A]",INDEX($C20:$G20,$Q20))),"A",IF(ISNUMBER(SEARCH("[B]",INDEX($C20:$G20,$Q20))),"B","-"))))</f>
        <v/>
      </c>
      <c r="BG20">
        <f>IF($R20="","",IF(INDEX($C20:$G20,$R20)="","",IF(ISNUMBER(SEARCH("[A]",INDEX($C20:$G20,$R20))),"A",IF(ISNUMBER(SEARCH("[B]",INDEX($C20:$G20,$R20))),"B","-"))))</f>
        <v/>
      </c>
      <c r="BH20">
        <f>IF($S20="","",IF(INDEX($C20:$G20,$S20)="","",IF(ISNUMBER(SEARCH("[A]",INDEX($C20:$G20,$S20))),"A",IF(ISNUMBER(SEARCH("[B]",INDEX($C20:$G20,$S20))),"B","-"))))</f>
        <v/>
      </c>
      <c r="BI20">
        <f>IF($T20="","",IF(INDEX($C20:$G20,$T20)="","",IF(ISNUMBER(SEARCH("[A]",INDEX($C20:$G20,$T20))),"A",IF(ISNUMBER(SEARCH("[B]",INDEX($C20:$G20,$T20))),"B","-"))))</f>
        <v/>
      </c>
      <c r="BJ20">
        <f>IF($U20="","",IF(INDEX($C20:$G20,$U20)="","",IF(ISNUMBER(SEARCH("[A]",INDEX($C20:$G20,$U20))),"A",IF(ISNUMBER(SEARCH("[B]",INDEX($C20:$G20,$U20))),"B","-"))))</f>
        <v/>
      </c>
      <c r="BK20">
        <f>IF($V20="","",IF(INDEX($C20:$G20,$V20)="","",IF(ISNUMBER(SEARCH("[A]",INDEX($C20:$G20,$V20))),"A",IF(ISNUMBER(SEARCH("[B]",INDEX($C20:$G20,$V20))),"B","-"))))</f>
        <v/>
      </c>
      <c r="BL20">
        <f>IF($W20="","",IF(INDEX($C20:$G20,$W20)="","",IF(ISNUMBER(SEARCH("[A]",INDEX($C20:$G20,$W20))),"A",IF(ISNUMBER(SEARCH("[B]",INDEX($C20:$G20,$W20))),"B","-"))))</f>
        <v/>
      </c>
      <c r="BM20">
        <f>IF($X20="","",IF(INDEX($C20:$G20,$X20)="","",IF(ISNUMBER(SEARCH("[A]",INDEX($C20:$G20,$X20))),"A",IF(ISNUMBER(SEARCH("[B]",INDEX($C20:$G20,$X20))),"B","-"))))</f>
        <v/>
      </c>
      <c r="BN20">
        <f>IF($Y20="","",IF(INDEX($C20:$G20,$Y20)="","",IF(ISNUMBER(SEARCH("[A]",INDEX($C20:$G20,$Y20))),"A",IF(ISNUMBER(SEARCH("[B]",INDEX($C20:$G20,$Y20))),"B","-"))))</f>
        <v/>
      </c>
      <c r="BO20">
        <f>IF($Z20="","",IF(INDEX($C20:$G20,$Z20)="","",IF(ISNUMBER(SEARCH("[A]",INDEX($C20:$G20,$Z20))),"A",IF(ISNUMBER(SEARCH("[B]",INDEX($C20:$G20,$Z20))),"B","-"))))</f>
        <v/>
      </c>
      <c r="BP20">
        <f>IF($AA20="","",IF(INDEX($C20:$G20,$AA20)="","",IF(ISNUMBER(SEARCH("[A]",INDEX($C20:$G20,$AA20))),"A",IF(ISNUMBER(SEARCH("[B]",INDEX($C20:$G20,$AA20))),"B","-"))))</f>
        <v/>
      </c>
      <c r="BQ20">
        <f>IF($AB20="","",IF(INDEX($C20:$G20,$AB20)="","",IF(ISNUMBER(SEARCH("[A]",INDEX($C20:$G20,$AB20))),"A",IF(ISNUMBER(SEARCH("[B]",INDEX($C20:$G20,$AB20))),"B","-"))))</f>
        <v/>
      </c>
      <c r="BR20">
        <f>IF($AC20="","",IF(INDEX($C20:$G20,$AC20)="","",IF(ISNUMBER(SEARCH("[A]",INDEX($C20:$G20,$AC20))),"A",IF(ISNUMBER(SEARCH("[B]",INDEX($C20:$G20,$AC20))),"B","-"))))</f>
        <v/>
      </c>
    </row>
    <row r="21" ht="30" customHeight="1" s="1">
      <c r="A21" s="29" t="n"/>
      <c r="B21" s="30" t="n"/>
      <c r="C21" s="31" t="n"/>
      <c r="D21" s="31" t="n"/>
      <c r="E21" s="31" t="n"/>
      <c r="F21" s="19" t="n"/>
      <c r="G21" s="31" t="n"/>
      <c r="H21" s="29" t="n"/>
      <c r="I21" s="32" t="n"/>
      <c r="J21" s="21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  <c r="AA21" s="22" t="n"/>
      <c r="AB21" s="22" t="n"/>
      <c r="AC21" s="22" t="n"/>
    </row>
    <row r="22" ht="30" customHeight="1" s="1">
      <c r="A22" s="29" t="inlineStr">
        <is>
          <t>※ 전위행동 3종: 몸 털기 / 앞발 들기 / 정지 중 킁킁  — 입장·퇴장에서만 채점</t>
        </is>
      </c>
      <c r="B22" s="30" t="n"/>
      <c r="C22" s="31" t="n"/>
      <c r="D22" s="31" t="n"/>
      <c r="E22" s="31" t="n"/>
      <c r="F22" s="19" t="n"/>
      <c r="G22" s="31" t="n"/>
      <c r="H22" s="29" t="n"/>
      <c r="I22" s="32" t="n"/>
      <c r="J22" s="21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  <c r="AA22" s="22" t="n"/>
      <c r="AB22" s="22" t="n"/>
      <c r="AC22" s="22" t="n"/>
    </row>
    <row r="23" ht="30" customHeight="1" s="1">
      <c r="A23" s="29" t="inlineStr">
        <is>
          <t>※ 발성은 입장 항목 하나로 통합. 전 구간 통틀어 한 번이라도 있었으면 기록</t>
        </is>
      </c>
      <c r="B23" s="30" t="n"/>
      <c r="C23" s="31" t="n"/>
      <c r="D23" s="19" t="n"/>
      <c r="E23" s="31" t="n"/>
      <c r="F23" s="31" t="n"/>
      <c r="G23" s="31" t="n"/>
      <c r="H23" s="29" t="n"/>
      <c r="I23" s="32" t="n"/>
      <c r="J23" s="21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  <c r="AA23" s="22" t="n"/>
      <c r="AB23" s="22" t="n"/>
      <c r="AC23" s="22" t="n"/>
    </row>
    <row r="24" ht="30" customHeight="1" s="1">
      <c r="A24" s="29" t="inlineStr">
        <is>
          <t>※ 퇴장 4항목은 영역 평균 제외. 입장 대비 변화(환경 적응)만 봅니다</t>
        </is>
      </c>
      <c r="B24" s="30" t="n"/>
      <c r="C24" s="31" t="n"/>
      <c r="D24" s="19" t="n"/>
      <c r="E24" s="31" t="n"/>
      <c r="F24" s="31" t="n"/>
      <c r="G24" s="31" t="n"/>
      <c r="H24" s="29" t="n"/>
      <c r="I24" s="32" t="n"/>
      <c r="J24" s="21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  <c r="AA24" s="22" t="n"/>
      <c r="AB24" s="22" t="n"/>
      <c r="AC24" s="22" t="n"/>
    </row>
    <row r="25" ht="30" customHeight="1" s="1">
      <c r="A25" s="29" t="n"/>
      <c r="B25" s="30" t="n"/>
      <c r="C25" s="31" t="n"/>
      <c r="D25" s="31" t="n"/>
      <c r="E25" s="31" t="n"/>
      <c r="F25" s="19" t="n"/>
      <c r="G25" s="31" t="n"/>
      <c r="H25" s="29" t="n"/>
      <c r="I25" s="32" t="n"/>
      <c r="J25" s="21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  <c r="AA25" s="22" t="n"/>
      <c r="AB25" s="22" t="n"/>
      <c r="AC25" s="22" t="n"/>
    </row>
    <row r="26" ht="30" customHeight="1" s="1">
      <c r="A26" s="29" t="n"/>
      <c r="B26" s="30" t="n"/>
      <c r="C26" s="31" t="n"/>
      <c r="D26" s="19" t="n"/>
      <c r="E26" s="31" t="n"/>
      <c r="F26" s="31" t="n"/>
      <c r="G26" s="31" t="n"/>
      <c r="H26" s="29" t="n"/>
      <c r="I26" s="32" t="n"/>
      <c r="J26" s="21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  <c r="AA26" s="22" t="n"/>
      <c r="AB26" s="22" t="n"/>
      <c r="AC26" s="22" t="n"/>
    </row>
    <row r="27" ht="30" customHeight="1" s="1">
      <c r="A27" s="29" t="n"/>
      <c r="B27" s="30" t="n"/>
      <c r="C27" s="31" t="n"/>
      <c r="D27" s="19" t="n"/>
      <c r="E27" s="31" t="n"/>
      <c r="F27" s="31" t="n"/>
      <c r="G27" s="31" t="n"/>
      <c r="H27" s="29" t="n"/>
      <c r="I27" s="32" t="n"/>
      <c r="J27" s="21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  <c r="AA27" s="22" t="n"/>
      <c r="AB27" s="22" t="n"/>
      <c r="AC27" s="22" t="n"/>
    </row>
    <row r="28" ht="30" customHeight="1" s="1">
      <c r="A28" s="29" t="n"/>
      <c r="B28" s="30" t="n"/>
      <c r="C28" s="31" t="n"/>
      <c r="D28" s="33" t="n"/>
      <c r="E28" s="33" t="n"/>
      <c r="F28" s="19" t="n"/>
      <c r="G28" s="33" t="n"/>
      <c r="H28" s="29" t="n"/>
      <c r="I28" s="32" t="n"/>
      <c r="J28" s="21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  <c r="AA28" s="22" t="n"/>
      <c r="AB28" s="22" t="n"/>
      <c r="AC28" s="22" t="n"/>
    </row>
    <row r="29" ht="30" customHeight="1" s="1">
      <c r="A29" s="34" t="n"/>
      <c r="B29" s="35" t="n"/>
      <c r="C29" s="36" t="n"/>
      <c r="D29" s="36" t="n"/>
      <c r="E29" s="36" t="n"/>
      <c r="F29" s="19" t="n"/>
      <c r="G29" s="36" t="n"/>
      <c r="H29" s="34" t="n"/>
      <c r="I29" s="37" t="n"/>
      <c r="J29" s="21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  <c r="AA29" s="22" t="n"/>
      <c r="AB29" s="22" t="n"/>
      <c r="AC29" s="22" t="n"/>
    </row>
    <row r="30" ht="30" customHeight="1" s="1">
      <c r="A30" s="34" t="n"/>
      <c r="B30" s="35" t="n"/>
      <c r="C30" s="36" t="n"/>
      <c r="D30" s="36" t="n"/>
      <c r="E30" s="36" t="n"/>
      <c r="F30" s="19" t="n"/>
      <c r="G30" s="36" t="n"/>
      <c r="H30" s="34" t="n"/>
      <c r="I30" s="37" t="n"/>
      <c r="J30" s="21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  <c r="AA30" s="22" t="n"/>
      <c r="AB30" s="22" t="n"/>
      <c r="AC30" s="22" t="n"/>
    </row>
    <row r="31" ht="30" customHeight="1" s="1">
      <c r="A31" s="34" t="n"/>
      <c r="B31" s="35" t="n"/>
      <c r="C31" s="36" t="n"/>
      <c r="D31" s="19" t="n"/>
      <c r="E31" s="36" t="n"/>
      <c r="F31" s="36" t="n"/>
      <c r="G31" s="36" t="n"/>
      <c r="H31" s="34" t="n"/>
      <c r="I31" s="37" t="n"/>
      <c r="J31" s="21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  <c r="AA31" s="22" t="n"/>
      <c r="AB31" s="22" t="n"/>
      <c r="AC31" s="22" t="n"/>
    </row>
    <row r="32" ht="30" customHeight="1" s="1">
      <c r="A32" s="34" t="n"/>
      <c r="B32" s="35" t="n"/>
      <c r="C32" s="36" t="n"/>
      <c r="D32" s="19" t="n"/>
      <c r="E32" s="36" t="n"/>
      <c r="F32" s="36" t="n"/>
      <c r="G32" s="36" t="n"/>
      <c r="H32" s="34" t="n"/>
      <c r="I32" s="37" t="n"/>
      <c r="J32" s="21" t="n"/>
      <c r="K32" s="22" t="n"/>
      <c r="L32" s="22" t="n"/>
      <c r="M32" s="22" t="n"/>
      <c r="N32" s="22" t="n"/>
      <c r="O32" s="22" t="n"/>
      <c r="P32" s="22" t="n"/>
      <c r="Q32" s="22" t="n"/>
      <c r="R32" s="22" t="n"/>
      <c r="S32" s="22" t="n"/>
      <c r="T32" s="22" t="n"/>
      <c r="U32" s="22" t="n"/>
      <c r="V32" s="22" t="n"/>
      <c r="W32" s="22" t="n"/>
      <c r="X32" s="22" t="n"/>
      <c r="Y32" s="22" t="n"/>
      <c r="Z32" s="22" t="n"/>
      <c r="AA32" s="22" t="n"/>
      <c r="AB32" s="22" t="n"/>
      <c r="AC32" s="22" t="n"/>
    </row>
    <row r="33" ht="30" customHeight="1" s="1">
      <c r="A33" s="34" t="n"/>
      <c r="B33" s="35" t="n"/>
      <c r="C33" s="36" t="n"/>
      <c r="D33" s="36" t="n"/>
      <c r="E33" s="36" t="n"/>
      <c r="F33" s="19" t="n"/>
      <c r="G33" s="36" t="n"/>
      <c r="H33" s="34" t="n"/>
      <c r="I33" s="37" t="n"/>
      <c r="J33" s="21" t="n"/>
      <c r="K33" s="22" t="n"/>
      <c r="L33" s="22" t="n"/>
      <c r="M33" s="22" t="n"/>
      <c r="N33" s="22" t="n"/>
      <c r="O33" s="22" t="n"/>
      <c r="P33" s="22" t="n"/>
      <c r="Q33" s="22" t="n"/>
      <c r="R33" s="22" t="n"/>
      <c r="S33" s="22" t="n"/>
      <c r="T33" s="22" t="n"/>
      <c r="U33" s="22" t="n"/>
      <c r="V33" s="22" t="n"/>
      <c r="W33" s="22" t="n"/>
      <c r="X33" s="22" t="n"/>
      <c r="Y33" s="22" t="n"/>
      <c r="Z33" s="22" t="n"/>
      <c r="AA33" s="22" t="n"/>
      <c r="AB33" s="22" t="n"/>
      <c r="AC33" s="22" t="n"/>
    </row>
    <row r="34" ht="30" customHeight="1" s="1">
      <c r="A34" s="34" t="n"/>
      <c r="B34" s="35" t="n"/>
      <c r="C34" s="36" t="n"/>
      <c r="D34" s="19" t="n"/>
      <c r="E34" s="36" t="n"/>
      <c r="F34" s="36" t="n"/>
      <c r="G34" s="36" t="n"/>
      <c r="H34" s="34" t="n"/>
      <c r="I34" s="37" t="n"/>
      <c r="J34" s="21" t="n"/>
      <c r="K34" s="22" t="n"/>
      <c r="L34" s="22" t="n"/>
      <c r="M34" s="22" t="n"/>
      <c r="N34" s="22" t="n"/>
      <c r="O34" s="22" t="n"/>
      <c r="P34" s="22" t="n"/>
      <c r="Q34" s="22" t="n"/>
      <c r="R34" s="22" t="n"/>
      <c r="S34" s="22" t="n"/>
      <c r="T34" s="22" t="n"/>
      <c r="U34" s="22" t="n"/>
      <c r="V34" s="22" t="n"/>
      <c r="W34" s="22" t="n"/>
      <c r="X34" s="22" t="n"/>
      <c r="Y34" s="22" t="n"/>
      <c r="Z34" s="22" t="n"/>
      <c r="AA34" s="22" t="n"/>
      <c r="AB34" s="22" t="n"/>
      <c r="AC34" s="22" t="n"/>
    </row>
    <row r="35" ht="30" customHeight="1" s="1">
      <c r="A35" s="34" t="n"/>
      <c r="B35" s="35" t="n"/>
      <c r="C35" s="36" t="n"/>
      <c r="D35" s="19" t="n"/>
      <c r="E35" s="36" t="n"/>
      <c r="F35" s="36" t="n"/>
      <c r="G35" s="36" t="n"/>
      <c r="H35" s="34" t="n"/>
      <c r="I35" s="37" t="n"/>
      <c r="J35" s="21" t="n"/>
      <c r="K35" s="22" t="n"/>
      <c r="L35" s="22" t="n"/>
      <c r="M35" s="22" t="n"/>
      <c r="N35" s="22" t="n"/>
      <c r="O35" s="22" t="n"/>
      <c r="P35" s="22" t="n"/>
      <c r="Q35" s="22" t="n"/>
      <c r="R35" s="22" t="n"/>
      <c r="S35" s="22" t="n"/>
      <c r="T35" s="22" t="n"/>
      <c r="U35" s="22" t="n"/>
      <c r="V35" s="22" t="n"/>
      <c r="W35" s="22" t="n"/>
      <c r="X35" s="22" t="n"/>
      <c r="Y35" s="22" t="n"/>
      <c r="Z35" s="22" t="n"/>
      <c r="AA35" s="22" t="n"/>
      <c r="AB35" s="22" t="n"/>
      <c r="AC35" s="22" t="n"/>
    </row>
    <row r="36" ht="30" customHeight="1" s="1">
      <c r="A36" s="34" t="n"/>
      <c r="B36" s="35" t="n"/>
      <c r="C36" s="36" t="n"/>
      <c r="D36" s="38" t="n"/>
      <c r="E36" s="38" t="n"/>
      <c r="F36" s="19" t="n"/>
      <c r="G36" s="38" t="n"/>
      <c r="H36" s="34" t="n"/>
      <c r="I36" s="37" t="n"/>
      <c r="J36" s="21" t="n"/>
      <c r="K36" s="22" t="n"/>
      <c r="L36" s="22" t="n"/>
      <c r="M36" s="22" t="n"/>
      <c r="N36" s="22" t="n"/>
      <c r="O36" s="22" t="n"/>
      <c r="P36" s="22" t="n"/>
      <c r="Q36" s="22" t="n"/>
      <c r="R36" s="22" t="n"/>
      <c r="S36" s="22" t="n"/>
      <c r="T36" s="22" t="n"/>
      <c r="U36" s="22" t="n"/>
      <c r="V36" s="22" t="n"/>
      <c r="W36" s="22" t="n"/>
      <c r="X36" s="22" t="n"/>
      <c r="Y36" s="22" t="n"/>
      <c r="Z36" s="22" t="n"/>
      <c r="AA36" s="22" t="n"/>
      <c r="AB36" s="22" t="n"/>
      <c r="AC36" s="22" t="n"/>
    </row>
    <row r="37">
      <c r="C37" s="18" t="n"/>
      <c r="D37" s="18" t="n"/>
      <c r="E37" s="18" t="n"/>
      <c r="F37" s="19" t="n"/>
      <c r="G37" s="18" t="n"/>
    </row>
    <row r="38" ht="15" customHeight="1" s="1">
      <c r="A38" s="8" t="n"/>
      <c r="C38" s="18" t="n"/>
      <c r="D38" s="19" t="n"/>
      <c r="E38" s="18" t="n"/>
      <c r="F38" s="18" t="n"/>
      <c r="G38" s="18" t="n"/>
    </row>
    <row r="39" ht="15" customHeight="1" s="1">
      <c r="A39" s="39" t="n"/>
      <c r="C39" s="18" t="n"/>
      <c r="D39" s="19" t="n"/>
      <c r="E39" s="18" t="n"/>
      <c r="F39" s="18" t="n"/>
      <c r="G39" s="18" t="n"/>
    </row>
    <row r="40">
      <c r="C40" s="18" t="n"/>
      <c r="D40" s="23" t="n"/>
      <c r="E40" s="23" t="n"/>
      <c r="F40" s="19" t="n"/>
      <c r="G40" s="23" t="n"/>
    </row>
  </sheetData>
  <dataValidations count="1">
    <dataValidation sqref="J5:AC36" showDropDown="0" showInputMessage="0" showErrorMessage="1" allowBlank="1" errorTitle="1~5만 입력" error="점수는 1~5 중 하나입니다. 1=양호, 5=확실한 강한 문제." type="whole">
      <formula1>1</formula1>
      <formula2>5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R26"/>
  <sheetViews>
    <sheetView zoomScaleNormal="100" workbookViewId="0">
      <pane xSplit="9" ySplit="4" topLeftCell="J5" activePane="bottomRight" state="frozen"/>
      <selection pane="topRight" activeCell="J1" sqref="J1"/>
      <selection pane="bottomLeft" activeCell="A5" sqref="A5"/>
      <selection pane="bottomRight" activeCell="A1" sqref="A1"/>
    </sheetView>
  </sheetViews>
  <sheetFormatPr baseColWidth="8" defaultColWidth="8.7109375" defaultRowHeight="15"/>
  <cols>
    <col width="8" customWidth="1" style="1" min="1" max="1"/>
    <col width="30" customWidth="1" style="1" min="2" max="2"/>
    <col width="24" customWidth="1" style="1" min="3" max="7"/>
    <col width="12" customWidth="1" style="1" min="8" max="8"/>
    <col width="5" customWidth="1" style="1" min="9" max="9"/>
    <col width="5.140625" customWidth="1" style="1" min="10" max="29"/>
    <col hidden="1" width="13" customWidth="1" style="1" min="30" max="70"/>
  </cols>
  <sheetData>
    <row r="1" ht="17.45" customHeight="1" s="1">
      <c r="A1" s="7" t="inlineStr">
        <is>
          <t>개행동</t>
        </is>
      </c>
    </row>
    <row r="2" ht="15" customHeight="1" s="1">
      <c r="A2" s="8" t="inlineStr">
        <is>
          <t>개가 상황에 대해 실제로 한 행동. 자극별 반응, 분리·재회, 지시 수행, 놀이 상호작용.</t>
        </is>
      </c>
    </row>
    <row r="3" ht="15" customHeight="1" s="1">
      <c r="A3" s="9" t="inlineStr">
        <is>
          <t>J열부터 오른쪽으로 1번~20번 강아지 칸입니다. 각 칸에 1~5 중 하나를 입력하면 그 숫자가 곧 점수입니다. 1=양호, 5=확실한 강한 문제. 회색 빈 칸은 아직 정하지 않은 단계이니 직접 채워 넣으면 바로 반영됩니다.</t>
        </is>
      </c>
    </row>
    <row r="4" ht="31.5" customHeight="1" s="1">
      <c r="A4" s="10" t="inlineStr">
        <is>
          <t>구간</t>
        </is>
      </c>
      <c r="B4" s="10" t="inlineStr">
        <is>
          <t>관찰 항목</t>
        </is>
      </c>
      <c r="C4" s="11" t="inlineStr">
        <is>
          <t>1점 (양호)</t>
        </is>
      </c>
      <c r="D4" s="11" t="inlineStr">
        <is>
          <t>2점</t>
        </is>
      </c>
      <c r="E4" s="11" t="inlineStr">
        <is>
          <t>3점 (중간)</t>
        </is>
      </c>
      <c r="F4" s="11" t="inlineStr">
        <is>
          <t>4점</t>
        </is>
      </c>
      <c r="G4" s="11" t="inlineStr">
        <is>
          <t>5점 (강한 문제)</t>
        </is>
      </c>
      <c r="H4" s="10" t="inlineStr">
        <is>
          <t>영역</t>
        </is>
      </c>
      <c r="I4" s="10" t="inlineStr">
        <is>
          <t>핵심</t>
        </is>
      </c>
      <c r="J4" s="12" t="inlineStr">
        <is>
          <t>1번</t>
        </is>
      </c>
      <c r="K4" s="13" t="inlineStr">
        <is>
          <t>2번</t>
        </is>
      </c>
      <c r="L4" s="13" t="inlineStr">
        <is>
          <t>3번</t>
        </is>
      </c>
      <c r="M4" s="13" t="inlineStr">
        <is>
          <t>4번</t>
        </is>
      </c>
      <c r="N4" s="13" t="inlineStr">
        <is>
          <t>5번</t>
        </is>
      </c>
      <c r="O4" s="13" t="inlineStr">
        <is>
          <t>6번</t>
        </is>
      </c>
      <c r="P4" s="13" t="inlineStr">
        <is>
          <t>7번</t>
        </is>
      </c>
      <c r="Q4" s="13" t="inlineStr">
        <is>
          <t>8번</t>
        </is>
      </c>
      <c r="R4" s="13" t="inlineStr">
        <is>
          <t>9번</t>
        </is>
      </c>
      <c r="S4" s="13" t="inlineStr">
        <is>
          <t>10번</t>
        </is>
      </c>
      <c r="T4" s="13" t="inlineStr">
        <is>
          <t>11번</t>
        </is>
      </c>
      <c r="U4" s="13" t="inlineStr">
        <is>
          <t>12번</t>
        </is>
      </c>
      <c r="V4" s="13" t="inlineStr">
        <is>
          <t>13번</t>
        </is>
      </c>
      <c r="W4" s="13" t="inlineStr">
        <is>
          <t>14번</t>
        </is>
      </c>
      <c r="X4" s="13" t="inlineStr">
        <is>
          <t>15번</t>
        </is>
      </c>
      <c r="Y4" s="13" t="inlineStr">
        <is>
          <t>16번</t>
        </is>
      </c>
      <c r="Z4" s="13" t="inlineStr">
        <is>
          <t>17번</t>
        </is>
      </c>
      <c r="AA4" s="13" t="inlineStr">
        <is>
          <t>18번</t>
        </is>
      </c>
      <c r="AB4" s="13" t="inlineStr">
        <is>
          <t>19번</t>
        </is>
      </c>
      <c r="AC4" s="13" t="inlineStr">
        <is>
          <t>20번</t>
        </is>
      </c>
      <c r="AD4" s="14" t="inlineStr">
        <is>
          <t>영역코드</t>
        </is>
      </c>
      <c r="AE4" s="15" t="inlineStr">
        <is>
          <t>점수1</t>
        </is>
      </c>
      <c r="AF4" s="15" t="inlineStr">
        <is>
          <t>점수2</t>
        </is>
      </c>
      <c r="AG4" s="15" t="inlineStr">
        <is>
          <t>점수3</t>
        </is>
      </c>
      <c r="AH4" s="15" t="inlineStr">
        <is>
          <t>점수4</t>
        </is>
      </c>
      <c r="AI4" s="15" t="inlineStr">
        <is>
          <t>점수5</t>
        </is>
      </c>
      <c r="AJ4" s="15" t="inlineStr">
        <is>
          <t>점수6</t>
        </is>
      </c>
      <c r="AK4" s="15" t="inlineStr">
        <is>
          <t>점수7</t>
        </is>
      </c>
      <c r="AL4" s="15" t="inlineStr">
        <is>
          <t>점수8</t>
        </is>
      </c>
      <c r="AM4" s="15" t="inlineStr">
        <is>
          <t>점수9</t>
        </is>
      </c>
      <c r="AN4" s="15" t="inlineStr">
        <is>
          <t>점수10</t>
        </is>
      </c>
      <c r="AO4" s="15" t="inlineStr">
        <is>
          <t>점수11</t>
        </is>
      </c>
      <c r="AP4" s="15" t="inlineStr">
        <is>
          <t>점수12</t>
        </is>
      </c>
      <c r="AQ4" s="15" t="inlineStr">
        <is>
          <t>점수13</t>
        </is>
      </c>
      <c r="AR4" s="15" t="inlineStr">
        <is>
          <t>점수14</t>
        </is>
      </c>
      <c r="AS4" s="15" t="inlineStr">
        <is>
          <t>점수15</t>
        </is>
      </c>
      <c r="AT4" s="15" t="inlineStr">
        <is>
          <t>점수16</t>
        </is>
      </c>
      <c r="AU4" s="15" t="inlineStr">
        <is>
          <t>점수17</t>
        </is>
      </c>
      <c r="AV4" s="15" t="inlineStr">
        <is>
          <t>점수18</t>
        </is>
      </c>
      <c r="AW4" s="15" t="inlineStr">
        <is>
          <t>점수19</t>
        </is>
      </c>
      <c r="AX4" s="15" t="inlineStr">
        <is>
          <t>점수20</t>
        </is>
      </c>
      <c r="AY4" s="15" t="inlineStr">
        <is>
          <t>방향1</t>
        </is>
      </c>
      <c r="AZ4" s="15" t="inlineStr">
        <is>
          <t>방향2</t>
        </is>
      </c>
      <c r="BA4" s="15" t="inlineStr">
        <is>
          <t>방향3</t>
        </is>
      </c>
      <c r="BB4" s="15" t="inlineStr">
        <is>
          <t>방향4</t>
        </is>
      </c>
      <c r="BC4" s="15" t="inlineStr">
        <is>
          <t>방향5</t>
        </is>
      </c>
      <c r="BD4" s="15" t="inlineStr">
        <is>
          <t>방향6</t>
        </is>
      </c>
      <c r="BE4" s="15" t="inlineStr">
        <is>
          <t>방향7</t>
        </is>
      </c>
      <c r="BF4" s="15" t="inlineStr">
        <is>
          <t>방향8</t>
        </is>
      </c>
      <c r="BG4" s="15" t="inlineStr">
        <is>
          <t>방향9</t>
        </is>
      </c>
      <c r="BH4" s="15" t="inlineStr">
        <is>
          <t>방향10</t>
        </is>
      </c>
      <c r="BI4" s="15" t="inlineStr">
        <is>
          <t>방향11</t>
        </is>
      </c>
      <c r="BJ4" s="15" t="inlineStr">
        <is>
          <t>방향12</t>
        </is>
      </c>
      <c r="BK4" s="15" t="inlineStr">
        <is>
          <t>방향13</t>
        </is>
      </c>
      <c r="BL4" s="15" t="inlineStr">
        <is>
          <t>방향14</t>
        </is>
      </c>
      <c r="BM4" s="15" t="inlineStr">
        <is>
          <t>방향15</t>
        </is>
      </c>
      <c r="BN4" s="15" t="inlineStr">
        <is>
          <t>방향16</t>
        </is>
      </c>
      <c r="BO4" s="15" t="inlineStr">
        <is>
          <t>방향17</t>
        </is>
      </c>
      <c r="BP4" s="15" t="inlineStr">
        <is>
          <t>방향18</t>
        </is>
      </c>
      <c r="BQ4" s="15" t="inlineStr">
        <is>
          <t>방향19</t>
        </is>
      </c>
      <c r="BR4" s="15" t="inlineStr">
        <is>
          <t>방향20</t>
        </is>
      </c>
    </row>
    <row r="5" ht="30" customHeight="1" s="1">
      <c r="A5" s="16" t="inlineStr">
        <is>
          <t>입장</t>
        </is>
      </c>
      <c r="B5" s="17" t="inlineStr">
        <is>
          <t>골목 통과</t>
        </is>
      </c>
      <c r="C5" s="18" t="inlineStr">
        <is>
          <t>자발적 접근·탐색</t>
        </is>
      </c>
      <c r="D5" s="18" t="inlineStr">
        <is>
          <t>주저했다 접근 [B]</t>
        </is>
      </c>
      <c r="E5" s="18" t="inlineStr">
        <is>
          <t>우회·회피 [B]</t>
        </is>
      </c>
      <c r="F5" s="18" t="inlineStr">
        <is>
          <t>돌진·과반응·짖음 [A]</t>
        </is>
      </c>
      <c r="G5" s="18" t="inlineStr">
        <is>
          <t>거부·정지·얼어붙음 [B]</t>
        </is>
      </c>
      <c r="H5" s="16" t="inlineStr">
        <is>
          <t>사회성-환경</t>
        </is>
      </c>
      <c r="I5" s="20" t="n"/>
      <c r="J5" s="21" t="n"/>
      <c r="K5" s="22" t="n"/>
      <c r="L5" s="22" t="n"/>
      <c r="M5" s="22" t="n"/>
      <c r="N5" s="22" t="n"/>
      <c r="O5" s="22" t="n"/>
      <c r="P5" s="22" t="n"/>
      <c r="Q5" s="22" t="n"/>
      <c r="R5" s="22" t="n"/>
      <c r="S5" s="22" t="n"/>
      <c r="T5" s="22" t="n"/>
      <c r="U5" s="22" t="n"/>
      <c r="V5" s="22" t="n"/>
      <c r="W5" s="22" t="n"/>
      <c r="X5" s="22" t="n"/>
      <c r="Y5" s="22" t="n"/>
      <c r="Z5" s="22" t="n"/>
      <c r="AA5" s="22" t="n"/>
      <c r="AB5" s="22" t="n"/>
      <c r="AC5" s="22" t="n"/>
      <c r="AD5" t="inlineStr">
        <is>
          <t>SOC_E</t>
        </is>
      </c>
      <c r="AE5">
        <f>IF($J5="","",IF(INDEX($C5:$G5,$J5)="","",$J5))</f>
        <v/>
      </c>
      <c r="AF5">
        <f>IF($K5="","",IF(INDEX($C5:$G5,$K5)="","",$K5))</f>
        <v/>
      </c>
      <c r="AG5">
        <f>IF($L5="","",IF(INDEX($C5:$G5,$L5)="","",$L5))</f>
        <v/>
      </c>
      <c r="AH5">
        <f>IF($M5="","",IF(INDEX($C5:$G5,$M5)="","",$M5))</f>
        <v/>
      </c>
      <c r="AI5">
        <f>IF($N5="","",IF(INDEX($C5:$G5,$N5)="","",$N5))</f>
        <v/>
      </c>
      <c r="AJ5">
        <f>IF($O5="","",IF(INDEX($C5:$G5,$O5)="","",$O5))</f>
        <v/>
      </c>
      <c r="AK5">
        <f>IF($P5="","",IF(INDEX($C5:$G5,$P5)="","",$P5))</f>
        <v/>
      </c>
      <c r="AL5">
        <f>IF($Q5="","",IF(INDEX($C5:$G5,$Q5)="","",$Q5))</f>
        <v/>
      </c>
      <c r="AM5">
        <f>IF($R5="","",IF(INDEX($C5:$G5,$R5)="","",$R5))</f>
        <v/>
      </c>
      <c r="AN5">
        <f>IF($S5="","",IF(INDEX($C5:$G5,$S5)="","",$S5))</f>
        <v/>
      </c>
      <c r="AO5">
        <f>IF($T5="","",IF(INDEX($C5:$G5,$T5)="","",$T5))</f>
        <v/>
      </c>
      <c r="AP5">
        <f>IF($U5="","",IF(INDEX($C5:$G5,$U5)="","",$U5))</f>
        <v/>
      </c>
      <c r="AQ5">
        <f>IF($V5="","",IF(INDEX($C5:$G5,$V5)="","",$V5))</f>
        <v/>
      </c>
      <c r="AR5">
        <f>IF($W5="","",IF(INDEX($C5:$G5,$W5)="","",$W5))</f>
        <v/>
      </c>
      <c r="AS5">
        <f>IF($X5="","",IF(INDEX($C5:$G5,$X5)="","",$X5))</f>
        <v/>
      </c>
      <c r="AT5">
        <f>IF($Y5="","",IF(INDEX($C5:$G5,$Y5)="","",$Y5))</f>
        <v/>
      </c>
      <c r="AU5">
        <f>IF($Z5="","",IF(INDEX($C5:$G5,$Z5)="","",$Z5))</f>
        <v/>
      </c>
      <c r="AV5">
        <f>IF($AA5="","",IF(INDEX($C5:$G5,$AA5)="","",$AA5))</f>
        <v/>
      </c>
      <c r="AW5">
        <f>IF($AB5="","",IF(INDEX($C5:$G5,$AB5)="","",$AB5))</f>
        <v/>
      </c>
      <c r="AX5">
        <f>IF($AC5="","",IF(INDEX($C5:$G5,$AC5)="","",$AC5))</f>
        <v/>
      </c>
      <c r="AY5">
        <f>IF($J5="","",IF(INDEX($C5:$G5,$J5)="","",IF(ISNUMBER(SEARCH("[A]",INDEX($C5:$G5,$J5))),"A",IF(ISNUMBER(SEARCH("[B]",INDEX($C5:$G5,$J5))),"B","-"))))</f>
        <v/>
      </c>
      <c r="AZ5">
        <f>IF($K5="","",IF(INDEX($C5:$G5,$K5)="","",IF(ISNUMBER(SEARCH("[A]",INDEX($C5:$G5,$K5))),"A",IF(ISNUMBER(SEARCH("[B]",INDEX($C5:$G5,$K5))),"B","-"))))</f>
        <v/>
      </c>
      <c r="BA5">
        <f>IF($L5="","",IF(INDEX($C5:$G5,$L5)="","",IF(ISNUMBER(SEARCH("[A]",INDEX($C5:$G5,$L5))),"A",IF(ISNUMBER(SEARCH("[B]",INDEX($C5:$G5,$L5))),"B","-"))))</f>
        <v/>
      </c>
      <c r="BB5">
        <f>IF($M5="","",IF(INDEX($C5:$G5,$M5)="","",IF(ISNUMBER(SEARCH("[A]",INDEX($C5:$G5,$M5))),"A",IF(ISNUMBER(SEARCH("[B]",INDEX($C5:$G5,$M5))),"B","-"))))</f>
        <v/>
      </c>
      <c r="BC5">
        <f>IF($N5="","",IF(INDEX($C5:$G5,$N5)="","",IF(ISNUMBER(SEARCH("[A]",INDEX($C5:$G5,$N5))),"A",IF(ISNUMBER(SEARCH("[B]",INDEX($C5:$G5,$N5))),"B","-"))))</f>
        <v/>
      </c>
      <c r="BD5">
        <f>IF($O5="","",IF(INDEX($C5:$G5,$O5)="","",IF(ISNUMBER(SEARCH("[A]",INDEX($C5:$G5,$O5))),"A",IF(ISNUMBER(SEARCH("[B]",INDEX($C5:$G5,$O5))),"B","-"))))</f>
        <v/>
      </c>
      <c r="BE5">
        <f>IF($P5="","",IF(INDEX($C5:$G5,$P5)="","",IF(ISNUMBER(SEARCH("[A]",INDEX($C5:$G5,$P5))),"A",IF(ISNUMBER(SEARCH("[B]",INDEX($C5:$G5,$P5))),"B","-"))))</f>
        <v/>
      </c>
      <c r="BF5">
        <f>IF($Q5="","",IF(INDEX($C5:$G5,$Q5)="","",IF(ISNUMBER(SEARCH("[A]",INDEX($C5:$G5,$Q5))),"A",IF(ISNUMBER(SEARCH("[B]",INDEX($C5:$G5,$Q5))),"B","-"))))</f>
        <v/>
      </c>
      <c r="BG5">
        <f>IF($R5="","",IF(INDEX($C5:$G5,$R5)="","",IF(ISNUMBER(SEARCH("[A]",INDEX($C5:$G5,$R5))),"A",IF(ISNUMBER(SEARCH("[B]",INDEX($C5:$G5,$R5))),"B","-"))))</f>
        <v/>
      </c>
      <c r="BH5">
        <f>IF($S5="","",IF(INDEX($C5:$G5,$S5)="","",IF(ISNUMBER(SEARCH("[A]",INDEX($C5:$G5,$S5))),"A",IF(ISNUMBER(SEARCH("[B]",INDEX($C5:$G5,$S5))),"B","-"))))</f>
        <v/>
      </c>
      <c r="BI5">
        <f>IF($T5="","",IF(INDEX($C5:$G5,$T5)="","",IF(ISNUMBER(SEARCH("[A]",INDEX($C5:$G5,$T5))),"A",IF(ISNUMBER(SEARCH("[B]",INDEX($C5:$G5,$T5))),"B","-"))))</f>
        <v/>
      </c>
      <c r="BJ5">
        <f>IF($U5="","",IF(INDEX($C5:$G5,$U5)="","",IF(ISNUMBER(SEARCH("[A]",INDEX($C5:$G5,$U5))),"A",IF(ISNUMBER(SEARCH("[B]",INDEX($C5:$G5,$U5))),"B","-"))))</f>
        <v/>
      </c>
      <c r="BK5">
        <f>IF($V5="","",IF(INDEX($C5:$G5,$V5)="","",IF(ISNUMBER(SEARCH("[A]",INDEX($C5:$G5,$V5))),"A",IF(ISNUMBER(SEARCH("[B]",INDEX($C5:$G5,$V5))),"B","-"))))</f>
        <v/>
      </c>
      <c r="BL5">
        <f>IF($W5="","",IF(INDEX($C5:$G5,$W5)="","",IF(ISNUMBER(SEARCH("[A]",INDEX($C5:$G5,$W5))),"A",IF(ISNUMBER(SEARCH("[B]",INDEX($C5:$G5,$W5))),"B","-"))))</f>
        <v/>
      </c>
      <c r="BM5">
        <f>IF($X5="","",IF(INDEX($C5:$G5,$X5)="","",IF(ISNUMBER(SEARCH("[A]",INDEX($C5:$G5,$X5))),"A",IF(ISNUMBER(SEARCH("[B]",INDEX($C5:$G5,$X5))),"B","-"))))</f>
        <v/>
      </c>
      <c r="BN5">
        <f>IF($Y5="","",IF(INDEX($C5:$G5,$Y5)="","",IF(ISNUMBER(SEARCH("[A]",INDEX($C5:$G5,$Y5))),"A",IF(ISNUMBER(SEARCH("[B]",INDEX($C5:$G5,$Y5))),"B","-"))))</f>
        <v/>
      </c>
      <c r="BO5">
        <f>IF($Z5="","",IF(INDEX($C5:$G5,$Z5)="","",IF(ISNUMBER(SEARCH("[A]",INDEX($C5:$G5,$Z5))),"A",IF(ISNUMBER(SEARCH("[B]",INDEX($C5:$G5,$Z5))),"B","-"))))</f>
        <v/>
      </c>
      <c r="BP5">
        <f>IF($AA5="","",IF(INDEX($C5:$G5,$AA5)="","",IF(ISNUMBER(SEARCH("[A]",INDEX($C5:$G5,$AA5))),"A",IF(ISNUMBER(SEARCH("[B]",INDEX($C5:$G5,$AA5))),"B","-"))))</f>
        <v/>
      </c>
      <c r="BQ5">
        <f>IF($AB5="","",IF(INDEX($C5:$G5,$AB5)="","",IF(ISNUMBER(SEARCH("[A]",INDEX($C5:$G5,$AB5))),"A",IF(ISNUMBER(SEARCH("[B]",INDEX($C5:$G5,$AB5))),"B","-"))))</f>
        <v/>
      </c>
      <c r="BR5">
        <f>IF($AC5="","",IF(INDEX($C5:$G5,$AC5)="","",IF(ISNUMBER(SEARCH("[A]",INDEX($C5:$G5,$AC5))),"A",IF(ISNUMBER(SEARCH("[B]",INDEX($C5:$G5,$AC5))),"B","-"))))</f>
        <v/>
      </c>
    </row>
    <row r="6" ht="30" customHeight="1" s="1">
      <c r="A6" s="16" t="inlineStr">
        <is>
          <t>입장</t>
        </is>
      </c>
      <c r="B6" s="17" t="inlineStr">
        <is>
          <t>강아지 인형 반응 ※대리지표</t>
        </is>
      </c>
      <c r="C6" s="18" t="inlineStr">
        <is>
          <t>자발적 접근·탐색</t>
        </is>
      </c>
      <c r="D6" s="18" t="inlineStr">
        <is>
          <t>주저했다 접근 [B]</t>
        </is>
      </c>
      <c r="E6" s="18" t="inlineStr">
        <is>
          <t>우회·회피 [B]</t>
        </is>
      </c>
      <c r="F6" s="18" t="inlineStr">
        <is>
          <t>돌진·과반응·짖음 [A]</t>
        </is>
      </c>
      <c r="G6" s="18" t="inlineStr">
        <is>
          <t>거부·정지·얼어붙음 [B]</t>
        </is>
      </c>
      <c r="H6" s="16" t="inlineStr">
        <is>
          <t>사회성-개</t>
        </is>
      </c>
      <c r="I6" s="20" t="inlineStr">
        <is>
          <t>★</t>
        </is>
      </c>
      <c r="J6" s="21" t="n"/>
      <c r="K6" s="22" t="n"/>
      <c r="L6" s="22" t="n"/>
      <c r="M6" s="22" t="n"/>
      <c r="N6" s="22" t="n"/>
      <c r="O6" s="22" t="n"/>
      <c r="P6" s="22" t="n"/>
      <c r="Q6" s="22" t="n"/>
      <c r="R6" s="22" t="n"/>
      <c r="S6" s="22" t="n"/>
      <c r="T6" s="22" t="n"/>
      <c r="U6" s="22" t="n"/>
      <c r="V6" s="22" t="n"/>
      <c r="W6" s="22" t="n"/>
      <c r="X6" s="22" t="n"/>
      <c r="Y6" s="22" t="n"/>
      <c r="Z6" s="22" t="n"/>
      <c r="AA6" s="22" t="n"/>
      <c r="AB6" s="22" t="n"/>
      <c r="AC6" s="22" t="n"/>
      <c r="AD6" t="inlineStr">
        <is>
          <t>SOC_D</t>
        </is>
      </c>
      <c r="AE6">
        <f>IF($J6="","",IF(INDEX($C6:$G6,$J6)="","",$J6))</f>
        <v/>
      </c>
      <c r="AF6">
        <f>IF($K6="","",IF(INDEX($C6:$G6,$K6)="","",$K6))</f>
        <v/>
      </c>
      <c r="AG6">
        <f>IF($L6="","",IF(INDEX($C6:$G6,$L6)="","",$L6))</f>
        <v/>
      </c>
      <c r="AH6">
        <f>IF($M6="","",IF(INDEX($C6:$G6,$M6)="","",$M6))</f>
        <v/>
      </c>
      <c r="AI6">
        <f>IF($N6="","",IF(INDEX($C6:$G6,$N6)="","",$N6))</f>
        <v/>
      </c>
      <c r="AJ6">
        <f>IF($O6="","",IF(INDEX($C6:$G6,$O6)="","",$O6))</f>
        <v/>
      </c>
      <c r="AK6">
        <f>IF($P6="","",IF(INDEX($C6:$G6,$P6)="","",$P6))</f>
        <v/>
      </c>
      <c r="AL6">
        <f>IF($Q6="","",IF(INDEX($C6:$G6,$Q6)="","",$Q6))</f>
        <v/>
      </c>
      <c r="AM6">
        <f>IF($R6="","",IF(INDEX($C6:$G6,$R6)="","",$R6))</f>
        <v/>
      </c>
      <c r="AN6">
        <f>IF($S6="","",IF(INDEX($C6:$G6,$S6)="","",$S6))</f>
        <v/>
      </c>
      <c r="AO6">
        <f>IF($T6="","",IF(INDEX($C6:$G6,$T6)="","",$T6))</f>
        <v/>
      </c>
      <c r="AP6">
        <f>IF($U6="","",IF(INDEX($C6:$G6,$U6)="","",$U6))</f>
        <v/>
      </c>
      <c r="AQ6">
        <f>IF($V6="","",IF(INDEX($C6:$G6,$V6)="","",$V6))</f>
        <v/>
      </c>
      <c r="AR6">
        <f>IF($W6="","",IF(INDEX($C6:$G6,$W6)="","",$W6))</f>
        <v/>
      </c>
      <c r="AS6">
        <f>IF($X6="","",IF(INDEX($C6:$G6,$X6)="","",$X6))</f>
        <v/>
      </c>
      <c r="AT6">
        <f>IF($Y6="","",IF(INDEX($C6:$G6,$Y6)="","",$Y6))</f>
        <v/>
      </c>
      <c r="AU6">
        <f>IF($Z6="","",IF(INDEX($C6:$G6,$Z6)="","",$Z6))</f>
        <v/>
      </c>
      <c r="AV6">
        <f>IF($AA6="","",IF(INDEX($C6:$G6,$AA6)="","",$AA6))</f>
        <v/>
      </c>
      <c r="AW6">
        <f>IF($AB6="","",IF(INDEX($C6:$G6,$AB6)="","",$AB6))</f>
        <v/>
      </c>
      <c r="AX6">
        <f>IF($AC6="","",IF(INDEX($C6:$G6,$AC6)="","",$AC6))</f>
        <v/>
      </c>
      <c r="AY6">
        <f>IF($J6="","",IF(INDEX($C6:$G6,$J6)="","",IF(ISNUMBER(SEARCH("[A]",INDEX($C6:$G6,$J6))),"A",IF(ISNUMBER(SEARCH("[B]",INDEX($C6:$G6,$J6))),"B","-"))))</f>
        <v/>
      </c>
      <c r="AZ6">
        <f>IF($K6="","",IF(INDEX($C6:$G6,$K6)="","",IF(ISNUMBER(SEARCH("[A]",INDEX($C6:$G6,$K6))),"A",IF(ISNUMBER(SEARCH("[B]",INDEX($C6:$G6,$K6))),"B","-"))))</f>
        <v/>
      </c>
      <c r="BA6">
        <f>IF($L6="","",IF(INDEX($C6:$G6,$L6)="","",IF(ISNUMBER(SEARCH("[A]",INDEX($C6:$G6,$L6))),"A",IF(ISNUMBER(SEARCH("[B]",INDEX($C6:$G6,$L6))),"B","-"))))</f>
        <v/>
      </c>
      <c r="BB6">
        <f>IF($M6="","",IF(INDEX($C6:$G6,$M6)="","",IF(ISNUMBER(SEARCH("[A]",INDEX($C6:$G6,$M6))),"A",IF(ISNUMBER(SEARCH("[B]",INDEX($C6:$G6,$M6))),"B","-"))))</f>
        <v/>
      </c>
      <c r="BC6">
        <f>IF($N6="","",IF(INDEX($C6:$G6,$N6)="","",IF(ISNUMBER(SEARCH("[A]",INDEX($C6:$G6,$N6))),"A",IF(ISNUMBER(SEARCH("[B]",INDEX($C6:$G6,$N6))),"B","-"))))</f>
        <v/>
      </c>
      <c r="BD6">
        <f>IF($O6="","",IF(INDEX($C6:$G6,$O6)="","",IF(ISNUMBER(SEARCH("[A]",INDEX($C6:$G6,$O6))),"A",IF(ISNUMBER(SEARCH("[B]",INDEX($C6:$G6,$O6))),"B","-"))))</f>
        <v/>
      </c>
      <c r="BE6">
        <f>IF($P6="","",IF(INDEX($C6:$G6,$P6)="","",IF(ISNUMBER(SEARCH("[A]",INDEX($C6:$G6,$P6))),"A",IF(ISNUMBER(SEARCH("[B]",INDEX($C6:$G6,$P6))),"B","-"))))</f>
        <v/>
      </c>
      <c r="BF6">
        <f>IF($Q6="","",IF(INDEX($C6:$G6,$Q6)="","",IF(ISNUMBER(SEARCH("[A]",INDEX($C6:$G6,$Q6))),"A",IF(ISNUMBER(SEARCH("[B]",INDEX($C6:$G6,$Q6))),"B","-"))))</f>
        <v/>
      </c>
      <c r="BG6">
        <f>IF($R6="","",IF(INDEX($C6:$G6,$R6)="","",IF(ISNUMBER(SEARCH("[A]",INDEX($C6:$G6,$R6))),"A",IF(ISNUMBER(SEARCH("[B]",INDEX($C6:$G6,$R6))),"B","-"))))</f>
        <v/>
      </c>
      <c r="BH6">
        <f>IF($S6="","",IF(INDEX($C6:$G6,$S6)="","",IF(ISNUMBER(SEARCH("[A]",INDEX($C6:$G6,$S6))),"A",IF(ISNUMBER(SEARCH("[B]",INDEX($C6:$G6,$S6))),"B","-"))))</f>
        <v/>
      </c>
      <c r="BI6">
        <f>IF($T6="","",IF(INDEX($C6:$G6,$T6)="","",IF(ISNUMBER(SEARCH("[A]",INDEX($C6:$G6,$T6))),"A",IF(ISNUMBER(SEARCH("[B]",INDEX($C6:$G6,$T6))),"B","-"))))</f>
        <v/>
      </c>
      <c r="BJ6">
        <f>IF($U6="","",IF(INDEX($C6:$G6,$U6)="","",IF(ISNUMBER(SEARCH("[A]",INDEX($C6:$G6,$U6))),"A",IF(ISNUMBER(SEARCH("[B]",INDEX($C6:$G6,$U6))),"B","-"))))</f>
        <v/>
      </c>
      <c r="BK6">
        <f>IF($V6="","",IF(INDEX($C6:$G6,$V6)="","",IF(ISNUMBER(SEARCH("[A]",INDEX($C6:$G6,$V6))),"A",IF(ISNUMBER(SEARCH("[B]",INDEX($C6:$G6,$V6))),"B","-"))))</f>
        <v/>
      </c>
      <c r="BL6">
        <f>IF($W6="","",IF(INDEX($C6:$G6,$W6)="","",IF(ISNUMBER(SEARCH("[A]",INDEX($C6:$G6,$W6))),"A",IF(ISNUMBER(SEARCH("[B]",INDEX($C6:$G6,$W6))),"B","-"))))</f>
        <v/>
      </c>
      <c r="BM6">
        <f>IF($X6="","",IF(INDEX($C6:$G6,$X6)="","",IF(ISNUMBER(SEARCH("[A]",INDEX($C6:$G6,$X6))),"A",IF(ISNUMBER(SEARCH("[B]",INDEX($C6:$G6,$X6))),"B","-"))))</f>
        <v/>
      </c>
      <c r="BN6">
        <f>IF($Y6="","",IF(INDEX($C6:$G6,$Y6)="","",IF(ISNUMBER(SEARCH("[A]",INDEX($C6:$G6,$Y6))),"A",IF(ISNUMBER(SEARCH("[B]",INDEX($C6:$G6,$Y6))),"B","-"))))</f>
        <v/>
      </c>
      <c r="BO6">
        <f>IF($Z6="","",IF(INDEX($C6:$G6,$Z6)="","",IF(ISNUMBER(SEARCH("[A]",INDEX($C6:$G6,$Z6))),"A",IF(ISNUMBER(SEARCH("[B]",INDEX($C6:$G6,$Z6))),"B","-"))))</f>
        <v/>
      </c>
      <c r="BP6">
        <f>IF($AA6="","",IF(INDEX($C6:$G6,$AA6)="","",IF(ISNUMBER(SEARCH("[A]",INDEX($C6:$G6,$AA6))),"A",IF(ISNUMBER(SEARCH("[B]",INDEX($C6:$G6,$AA6))),"B","-"))))</f>
        <v/>
      </c>
      <c r="BQ6">
        <f>IF($AB6="","",IF(INDEX($C6:$G6,$AB6)="","",IF(ISNUMBER(SEARCH("[A]",INDEX($C6:$G6,$AB6))),"A",IF(ISNUMBER(SEARCH("[B]",INDEX($C6:$G6,$AB6))),"B","-"))))</f>
        <v/>
      </c>
      <c r="BR6">
        <f>IF($AC6="","",IF(INDEX($C6:$G6,$AC6)="","",IF(ISNUMBER(SEARCH("[A]",INDEX($C6:$G6,$AC6))),"A",IF(ISNUMBER(SEARCH("[B]",INDEX($C6:$G6,$AC6))),"B","-"))))</f>
        <v/>
      </c>
    </row>
    <row r="7" ht="30" customHeight="1" s="1">
      <c r="A7" s="16" t="inlineStr">
        <is>
          <t>입장</t>
        </is>
      </c>
      <c r="B7" s="17" t="inlineStr">
        <is>
          <t>막대기 넘기</t>
        </is>
      </c>
      <c r="C7" s="18" t="inlineStr">
        <is>
          <t>자발적 접근·탐색</t>
        </is>
      </c>
      <c r="D7" s="18" t="inlineStr">
        <is>
          <t>주저했다 접근 [B]</t>
        </is>
      </c>
      <c r="E7" s="18" t="inlineStr">
        <is>
          <t>우회·회피 [B]</t>
        </is>
      </c>
      <c r="F7" s="18" t="inlineStr">
        <is>
          <t>돌진·과반응·짖음 [A]</t>
        </is>
      </c>
      <c r="G7" s="18" t="inlineStr">
        <is>
          <t>거부·정지·얼어붙음 [B]</t>
        </is>
      </c>
      <c r="H7" s="16" t="inlineStr">
        <is>
          <t>사회성-환경</t>
        </is>
      </c>
      <c r="I7" s="20" t="n"/>
      <c r="J7" s="21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t="inlineStr">
        <is>
          <t>SOC_E</t>
        </is>
      </c>
      <c r="AE7">
        <f>IF($J7="","",IF(INDEX($C7:$G7,$J7)="","",$J7))</f>
        <v/>
      </c>
      <c r="AF7">
        <f>IF($K7="","",IF(INDEX($C7:$G7,$K7)="","",$K7))</f>
        <v/>
      </c>
      <c r="AG7">
        <f>IF($L7="","",IF(INDEX($C7:$G7,$L7)="","",$L7))</f>
        <v/>
      </c>
      <c r="AH7">
        <f>IF($M7="","",IF(INDEX($C7:$G7,$M7)="","",$M7))</f>
        <v/>
      </c>
      <c r="AI7">
        <f>IF($N7="","",IF(INDEX($C7:$G7,$N7)="","",$N7))</f>
        <v/>
      </c>
      <c r="AJ7">
        <f>IF($O7="","",IF(INDEX($C7:$G7,$O7)="","",$O7))</f>
        <v/>
      </c>
      <c r="AK7">
        <f>IF($P7="","",IF(INDEX($C7:$G7,$P7)="","",$P7))</f>
        <v/>
      </c>
      <c r="AL7">
        <f>IF($Q7="","",IF(INDEX($C7:$G7,$Q7)="","",$Q7))</f>
        <v/>
      </c>
      <c r="AM7">
        <f>IF($R7="","",IF(INDEX($C7:$G7,$R7)="","",$R7))</f>
        <v/>
      </c>
      <c r="AN7">
        <f>IF($S7="","",IF(INDEX($C7:$G7,$S7)="","",$S7))</f>
        <v/>
      </c>
      <c r="AO7">
        <f>IF($T7="","",IF(INDEX($C7:$G7,$T7)="","",$T7))</f>
        <v/>
      </c>
      <c r="AP7">
        <f>IF($U7="","",IF(INDEX($C7:$G7,$U7)="","",$U7))</f>
        <v/>
      </c>
      <c r="AQ7">
        <f>IF($V7="","",IF(INDEX($C7:$G7,$V7)="","",$V7))</f>
        <v/>
      </c>
      <c r="AR7">
        <f>IF($W7="","",IF(INDEX($C7:$G7,$W7)="","",$W7))</f>
        <v/>
      </c>
      <c r="AS7">
        <f>IF($X7="","",IF(INDEX($C7:$G7,$X7)="","",$X7))</f>
        <v/>
      </c>
      <c r="AT7">
        <f>IF($Y7="","",IF(INDEX($C7:$G7,$Y7)="","",$Y7))</f>
        <v/>
      </c>
      <c r="AU7">
        <f>IF($Z7="","",IF(INDEX($C7:$G7,$Z7)="","",$Z7))</f>
        <v/>
      </c>
      <c r="AV7">
        <f>IF($AA7="","",IF(INDEX($C7:$G7,$AA7)="","",$AA7))</f>
        <v/>
      </c>
      <c r="AW7">
        <f>IF($AB7="","",IF(INDEX($C7:$G7,$AB7)="","",$AB7))</f>
        <v/>
      </c>
      <c r="AX7">
        <f>IF($AC7="","",IF(INDEX($C7:$G7,$AC7)="","",$AC7))</f>
        <v/>
      </c>
      <c r="AY7">
        <f>IF($J7="","",IF(INDEX($C7:$G7,$J7)="","",IF(ISNUMBER(SEARCH("[A]",INDEX($C7:$G7,$J7))),"A",IF(ISNUMBER(SEARCH("[B]",INDEX($C7:$G7,$J7))),"B","-"))))</f>
        <v/>
      </c>
      <c r="AZ7">
        <f>IF($K7="","",IF(INDEX($C7:$G7,$K7)="","",IF(ISNUMBER(SEARCH("[A]",INDEX($C7:$G7,$K7))),"A",IF(ISNUMBER(SEARCH("[B]",INDEX($C7:$G7,$K7))),"B","-"))))</f>
        <v/>
      </c>
      <c r="BA7">
        <f>IF($L7="","",IF(INDEX($C7:$G7,$L7)="","",IF(ISNUMBER(SEARCH("[A]",INDEX($C7:$G7,$L7))),"A",IF(ISNUMBER(SEARCH("[B]",INDEX($C7:$G7,$L7))),"B","-"))))</f>
        <v/>
      </c>
      <c r="BB7">
        <f>IF($M7="","",IF(INDEX($C7:$G7,$M7)="","",IF(ISNUMBER(SEARCH("[A]",INDEX($C7:$G7,$M7))),"A",IF(ISNUMBER(SEARCH("[B]",INDEX($C7:$G7,$M7))),"B","-"))))</f>
        <v/>
      </c>
      <c r="BC7">
        <f>IF($N7="","",IF(INDEX($C7:$G7,$N7)="","",IF(ISNUMBER(SEARCH("[A]",INDEX($C7:$G7,$N7))),"A",IF(ISNUMBER(SEARCH("[B]",INDEX($C7:$G7,$N7))),"B","-"))))</f>
        <v/>
      </c>
      <c r="BD7">
        <f>IF($O7="","",IF(INDEX($C7:$G7,$O7)="","",IF(ISNUMBER(SEARCH("[A]",INDEX($C7:$G7,$O7))),"A",IF(ISNUMBER(SEARCH("[B]",INDEX($C7:$G7,$O7))),"B","-"))))</f>
        <v/>
      </c>
      <c r="BE7">
        <f>IF($P7="","",IF(INDEX($C7:$G7,$P7)="","",IF(ISNUMBER(SEARCH("[A]",INDEX($C7:$G7,$P7))),"A",IF(ISNUMBER(SEARCH("[B]",INDEX($C7:$G7,$P7))),"B","-"))))</f>
        <v/>
      </c>
      <c r="BF7">
        <f>IF($Q7="","",IF(INDEX($C7:$G7,$Q7)="","",IF(ISNUMBER(SEARCH("[A]",INDEX($C7:$G7,$Q7))),"A",IF(ISNUMBER(SEARCH("[B]",INDEX($C7:$G7,$Q7))),"B","-"))))</f>
        <v/>
      </c>
      <c r="BG7">
        <f>IF($R7="","",IF(INDEX($C7:$G7,$R7)="","",IF(ISNUMBER(SEARCH("[A]",INDEX($C7:$G7,$R7))),"A",IF(ISNUMBER(SEARCH("[B]",INDEX($C7:$G7,$R7))),"B","-"))))</f>
        <v/>
      </c>
      <c r="BH7">
        <f>IF($S7="","",IF(INDEX($C7:$G7,$S7)="","",IF(ISNUMBER(SEARCH("[A]",INDEX($C7:$G7,$S7))),"A",IF(ISNUMBER(SEARCH("[B]",INDEX($C7:$G7,$S7))),"B","-"))))</f>
        <v/>
      </c>
      <c r="BI7">
        <f>IF($T7="","",IF(INDEX($C7:$G7,$T7)="","",IF(ISNUMBER(SEARCH("[A]",INDEX($C7:$G7,$T7))),"A",IF(ISNUMBER(SEARCH("[B]",INDEX($C7:$G7,$T7))),"B","-"))))</f>
        <v/>
      </c>
      <c r="BJ7">
        <f>IF($U7="","",IF(INDEX($C7:$G7,$U7)="","",IF(ISNUMBER(SEARCH("[A]",INDEX($C7:$G7,$U7))),"A",IF(ISNUMBER(SEARCH("[B]",INDEX($C7:$G7,$U7))),"B","-"))))</f>
        <v/>
      </c>
      <c r="BK7">
        <f>IF($V7="","",IF(INDEX($C7:$G7,$V7)="","",IF(ISNUMBER(SEARCH("[A]",INDEX($C7:$G7,$V7))),"A",IF(ISNUMBER(SEARCH("[B]",INDEX($C7:$G7,$V7))),"B","-"))))</f>
        <v/>
      </c>
      <c r="BL7">
        <f>IF($W7="","",IF(INDEX($C7:$G7,$W7)="","",IF(ISNUMBER(SEARCH("[A]",INDEX($C7:$G7,$W7))),"A",IF(ISNUMBER(SEARCH("[B]",INDEX($C7:$G7,$W7))),"B","-"))))</f>
        <v/>
      </c>
      <c r="BM7">
        <f>IF($X7="","",IF(INDEX($C7:$G7,$X7)="","",IF(ISNUMBER(SEARCH("[A]",INDEX($C7:$G7,$X7))),"A",IF(ISNUMBER(SEARCH("[B]",INDEX($C7:$G7,$X7))),"B","-"))))</f>
        <v/>
      </c>
      <c r="BN7">
        <f>IF($Y7="","",IF(INDEX($C7:$G7,$Y7)="","",IF(ISNUMBER(SEARCH("[A]",INDEX($C7:$G7,$Y7))),"A",IF(ISNUMBER(SEARCH("[B]",INDEX($C7:$G7,$Y7))),"B","-"))))</f>
        <v/>
      </c>
      <c r="BO7">
        <f>IF($Z7="","",IF(INDEX($C7:$G7,$Z7)="","",IF(ISNUMBER(SEARCH("[A]",INDEX($C7:$G7,$Z7))),"A",IF(ISNUMBER(SEARCH("[B]",INDEX($C7:$G7,$Z7))),"B","-"))))</f>
        <v/>
      </c>
      <c r="BP7">
        <f>IF($AA7="","",IF(INDEX($C7:$G7,$AA7)="","",IF(ISNUMBER(SEARCH("[A]",INDEX($C7:$G7,$AA7))),"A",IF(ISNUMBER(SEARCH("[B]",INDEX($C7:$G7,$AA7))),"B","-"))))</f>
        <v/>
      </c>
      <c r="BQ7">
        <f>IF($AB7="","",IF(INDEX($C7:$G7,$AB7)="","",IF(ISNUMBER(SEARCH("[A]",INDEX($C7:$G7,$AB7))),"A",IF(ISNUMBER(SEARCH("[B]",INDEX($C7:$G7,$AB7))),"B","-"))))</f>
        <v/>
      </c>
      <c r="BR7">
        <f>IF($AC7="","",IF(INDEX($C7:$G7,$AC7)="","",IF(ISNUMBER(SEARCH("[A]",INDEX($C7:$G7,$AC7))),"A",IF(ISNUMBER(SEARCH("[B]",INDEX($C7:$G7,$AC7))),"B","-"))))</f>
        <v/>
      </c>
    </row>
    <row r="8" ht="30" customHeight="1" s="1">
      <c r="A8" s="16" t="inlineStr">
        <is>
          <t>입장</t>
        </is>
      </c>
      <c r="B8" s="17" t="inlineStr">
        <is>
          <t>여러 바닥 밟기</t>
        </is>
      </c>
      <c r="C8" s="18" t="inlineStr">
        <is>
          <t>자발적 접근·탐색</t>
        </is>
      </c>
      <c r="D8" s="18" t="inlineStr">
        <is>
          <t>주저했다 접근 [B]</t>
        </is>
      </c>
      <c r="E8" s="18" t="inlineStr">
        <is>
          <t>우회·회피 [B]</t>
        </is>
      </c>
      <c r="F8" s="18" t="inlineStr">
        <is>
          <t>돌진·과반응·짖음 [A]</t>
        </is>
      </c>
      <c r="G8" s="18" t="inlineStr">
        <is>
          <t>거부·정지·얼어붙음 [B]</t>
        </is>
      </c>
      <c r="H8" s="16" t="inlineStr">
        <is>
          <t>사회성-환경</t>
        </is>
      </c>
      <c r="I8" s="20" t="inlineStr">
        <is>
          <t>★</t>
        </is>
      </c>
      <c r="J8" s="21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  <c r="V8" s="22" t="n"/>
      <c r="W8" s="22" t="n"/>
      <c r="X8" s="22" t="n"/>
      <c r="Y8" s="22" t="n"/>
      <c r="Z8" s="22" t="n"/>
      <c r="AA8" s="22" t="n"/>
      <c r="AB8" s="22" t="n"/>
      <c r="AC8" s="22" t="n"/>
      <c r="AD8" t="inlineStr">
        <is>
          <t>SOC_E</t>
        </is>
      </c>
      <c r="AE8">
        <f>IF($J8="","",IF(INDEX($C8:$G8,$J8)="","",$J8))</f>
        <v/>
      </c>
      <c r="AF8">
        <f>IF($K8="","",IF(INDEX($C8:$G8,$K8)="","",$K8))</f>
        <v/>
      </c>
      <c r="AG8">
        <f>IF($L8="","",IF(INDEX($C8:$G8,$L8)="","",$L8))</f>
        <v/>
      </c>
      <c r="AH8">
        <f>IF($M8="","",IF(INDEX($C8:$G8,$M8)="","",$M8))</f>
        <v/>
      </c>
      <c r="AI8">
        <f>IF($N8="","",IF(INDEX($C8:$G8,$N8)="","",$N8))</f>
        <v/>
      </c>
      <c r="AJ8">
        <f>IF($O8="","",IF(INDEX($C8:$G8,$O8)="","",$O8))</f>
        <v/>
      </c>
      <c r="AK8">
        <f>IF($P8="","",IF(INDEX($C8:$G8,$P8)="","",$P8))</f>
        <v/>
      </c>
      <c r="AL8">
        <f>IF($Q8="","",IF(INDEX($C8:$G8,$Q8)="","",$Q8))</f>
        <v/>
      </c>
      <c r="AM8">
        <f>IF($R8="","",IF(INDEX($C8:$G8,$R8)="","",$R8))</f>
        <v/>
      </c>
      <c r="AN8">
        <f>IF($S8="","",IF(INDEX($C8:$G8,$S8)="","",$S8))</f>
        <v/>
      </c>
      <c r="AO8">
        <f>IF($T8="","",IF(INDEX($C8:$G8,$T8)="","",$T8))</f>
        <v/>
      </c>
      <c r="AP8">
        <f>IF($U8="","",IF(INDEX($C8:$G8,$U8)="","",$U8))</f>
        <v/>
      </c>
      <c r="AQ8">
        <f>IF($V8="","",IF(INDEX($C8:$G8,$V8)="","",$V8))</f>
        <v/>
      </c>
      <c r="AR8">
        <f>IF($W8="","",IF(INDEX($C8:$G8,$W8)="","",$W8))</f>
        <v/>
      </c>
      <c r="AS8">
        <f>IF($X8="","",IF(INDEX($C8:$G8,$X8)="","",$X8))</f>
        <v/>
      </c>
      <c r="AT8">
        <f>IF($Y8="","",IF(INDEX($C8:$G8,$Y8)="","",$Y8))</f>
        <v/>
      </c>
      <c r="AU8">
        <f>IF($Z8="","",IF(INDEX($C8:$G8,$Z8)="","",$Z8))</f>
        <v/>
      </c>
      <c r="AV8">
        <f>IF($AA8="","",IF(INDEX($C8:$G8,$AA8)="","",$AA8))</f>
        <v/>
      </c>
      <c r="AW8">
        <f>IF($AB8="","",IF(INDEX($C8:$G8,$AB8)="","",$AB8))</f>
        <v/>
      </c>
      <c r="AX8">
        <f>IF($AC8="","",IF(INDEX($C8:$G8,$AC8)="","",$AC8))</f>
        <v/>
      </c>
      <c r="AY8">
        <f>IF($J8="","",IF(INDEX($C8:$G8,$J8)="","",IF(ISNUMBER(SEARCH("[A]",INDEX($C8:$G8,$J8))),"A",IF(ISNUMBER(SEARCH("[B]",INDEX($C8:$G8,$J8))),"B","-"))))</f>
        <v/>
      </c>
      <c r="AZ8">
        <f>IF($K8="","",IF(INDEX($C8:$G8,$K8)="","",IF(ISNUMBER(SEARCH("[A]",INDEX($C8:$G8,$K8))),"A",IF(ISNUMBER(SEARCH("[B]",INDEX($C8:$G8,$K8))),"B","-"))))</f>
        <v/>
      </c>
      <c r="BA8">
        <f>IF($L8="","",IF(INDEX($C8:$G8,$L8)="","",IF(ISNUMBER(SEARCH("[A]",INDEX($C8:$G8,$L8))),"A",IF(ISNUMBER(SEARCH("[B]",INDEX($C8:$G8,$L8))),"B","-"))))</f>
        <v/>
      </c>
      <c r="BB8">
        <f>IF($M8="","",IF(INDEX($C8:$G8,$M8)="","",IF(ISNUMBER(SEARCH("[A]",INDEX($C8:$G8,$M8))),"A",IF(ISNUMBER(SEARCH("[B]",INDEX($C8:$G8,$M8))),"B","-"))))</f>
        <v/>
      </c>
      <c r="BC8">
        <f>IF($N8="","",IF(INDEX($C8:$G8,$N8)="","",IF(ISNUMBER(SEARCH("[A]",INDEX($C8:$G8,$N8))),"A",IF(ISNUMBER(SEARCH("[B]",INDEX($C8:$G8,$N8))),"B","-"))))</f>
        <v/>
      </c>
      <c r="BD8">
        <f>IF($O8="","",IF(INDEX($C8:$G8,$O8)="","",IF(ISNUMBER(SEARCH("[A]",INDEX($C8:$G8,$O8))),"A",IF(ISNUMBER(SEARCH("[B]",INDEX($C8:$G8,$O8))),"B","-"))))</f>
        <v/>
      </c>
      <c r="BE8">
        <f>IF($P8="","",IF(INDEX($C8:$G8,$P8)="","",IF(ISNUMBER(SEARCH("[A]",INDEX($C8:$G8,$P8))),"A",IF(ISNUMBER(SEARCH("[B]",INDEX($C8:$G8,$P8))),"B","-"))))</f>
        <v/>
      </c>
      <c r="BF8">
        <f>IF($Q8="","",IF(INDEX($C8:$G8,$Q8)="","",IF(ISNUMBER(SEARCH("[A]",INDEX($C8:$G8,$Q8))),"A",IF(ISNUMBER(SEARCH("[B]",INDEX($C8:$G8,$Q8))),"B","-"))))</f>
        <v/>
      </c>
      <c r="BG8">
        <f>IF($R8="","",IF(INDEX($C8:$G8,$R8)="","",IF(ISNUMBER(SEARCH("[A]",INDEX($C8:$G8,$R8))),"A",IF(ISNUMBER(SEARCH("[B]",INDEX($C8:$G8,$R8))),"B","-"))))</f>
        <v/>
      </c>
      <c r="BH8">
        <f>IF($S8="","",IF(INDEX($C8:$G8,$S8)="","",IF(ISNUMBER(SEARCH("[A]",INDEX($C8:$G8,$S8))),"A",IF(ISNUMBER(SEARCH("[B]",INDEX($C8:$G8,$S8))),"B","-"))))</f>
        <v/>
      </c>
      <c r="BI8">
        <f>IF($T8="","",IF(INDEX($C8:$G8,$T8)="","",IF(ISNUMBER(SEARCH("[A]",INDEX($C8:$G8,$T8))),"A",IF(ISNUMBER(SEARCH("[B]",INDEX($C8:$G8,$T8))),"B","-"))))</f>
        <v/>
      </c>
      <c r="BJ8">
        <f>IF($U8="","",IF(INDEX($C8:$G8,$U8)="","",IF(ISNUMBER(SEARCH("[A]",INDEX($C8:$G8,$U8))),"A",IF(ISNUMBER(SEARCH("[B]",INDEX($C8:$G8,$U8))),"B","-"))))</f>
        <v/>
      </c>
      <c r="BK8">
        <f>IF($V8="","",IF(INDEX($C8:$G8,$V8)="","",IF(ISNUMBER(SEARCH("[A]",INDEX($C8:$G8,$V8))),"A",IF(ISNUMBER(SEARCH("[B]",INDEX($C8:$G8,$V8))),"B","-"))))</f>
        <v/>
      </c>
      <c r="BL8">
        <f>IF($W8="","",IF(INDEX($C8:$G8,$W8)="","",IF(ISNUMBER(SEARCH("[A]",INDEX($C8:$G8,$W8))),"A",IF(ISNUMBER(SEARCH("[B]",INDEX($C8:$G8,$W8))),"B","-"))))</f>
        <v/>
      </c>
      <c r="BM8">
        <f>IF($X8="","",IF(INDEX($C8:$G8,$X8)="","",IF(ISNUMBER(SEARCH("[A]",INDEX($C8:$G8,$X8))),"A",IF(ISNUMBER(SEARCH("[B]",INDEX($C8:$G8,$X8))),"B","-"))))</f>
        <v/>
      </c>
      <c r="BN8">
        <f>IF($Y8="","",IF(INDEX($C8:$G8,$Y8)="","",IF(ISNUMBER(SEARCH("[A]",INDEX($C8:$G8,$Y8))),"A",IF(ISNUMBER(SEARCH("[B]",INDEX($C8:$G8,$Y8))),"B","-"))))</f>
        <v/>
      </c>
      <c r="BO8">
        <f>IF($Z8="","",IF(INDEX($C8:$G8,$Z8)="","",IF(ISNUMBER(SEARCH("[A]",INDEX($C8:$G8,$Z8))),"A",IF(ISNUMBER(SEARCH("[B]",INDEX($C8:$G8,$Z8))),"B","-"))))</f>
        <v/>
      </c>
      <c r="BP8">
        <f>IF($AA8="","",IF(INDEX($C8:$G8,$AA8)="","",IF(ISNUMBER(SEARCH("[A]",INDEX($C8:$G8,$AA8))),"A",IF(ISNUMBER(SEARCH("[B]",INDEX($C8:$G8,$AA8))),"B","-"))))</f>
        <v/>
      </c>
      <c r="BQ8">
        <f>IF($AB8="","",IF(INDEX($C8:$G8,$AB8)="","",IF(ISNUMBER(SEARCH("[A]",INDEX($C8:$G8,$AB8))),"A",IF(ISNUMBER(SEARCH("[B]",INDEX($C8:$G8,$AB8))),"B","-"))))</f>
        <v/>
      </c>
      <c r="BR8">
        <f>IF($AC8="","",IF(INDEX($C8:$G8,$AC8)="","",IF(ISNUMBER(SEARCH("[A]",INDEX($C8:$G8,$AC8))),"A",IF(ISNUMBER(SEARCH("[B]",INDEX($C8:$G8,$AC8))),"B","-"))))</f>
        <v/>
      </c>
    </row>
    <row r="9" ht="30" customHeight="1" s="1">
      <c r="A9" s="16" t="inlineStr">
        <is>
          <t>입장</t>
        </is>
      </c>
      <c r="B9" s="17" t="inlineStr">
        <is>
          <t>매트 올라가기</t>
        </is>
      </c>
      <c r="C9" s="18" t="inlineStr">
        <is>
          <t>자발적 접근·탐색</t>
        </is>
      </c>
      <c r="D9" s="18" t="inlineStr">
        <is>
          <t>주저했다 접근 [B]</t>
        </is>
      </c>
      <c r="E9" s="18" t="inlineStr">
        <is>
          <t>우회·회피 [B]</t>
        </is>
      </c>
      <c r="F9" s="18" t="inlineStr">
        <is>
          <t>돌진·과반응·짖음 [A]</t>
        </is>
      </c>
      <c r="G9" s="18" t="inlineStr">
        <is>
          <t>거부·정지·얼어붙음 [B]</t>
        </is>
      </c>
      <c r="H9" s="16" t="inlineStr">
        <is>
          <t>사회성-환경</t>
        </is>
      </c>
      <c r="I9" s="20" t="n"/>
      <c r="J9" s="21" t="n"/>
      <c r="K9" s="22" t="n"/>
      <c r="L9" s="22" t="n"/>
      <c r="M9" s="22" t="n"/>
      <c r="N9" s="22" t="n"/>
      <c r="O9" s="22" t="n"/>
      <c r="P9" s="22" t="n"/>
      <c r="Q9" s="22" t="n"/>
      <c r="R9" s="22" t="n"/>
      <c r="S9" s="22" t="n"/>
      <c r="T9" s="22" t="n"/>
      <c r="U9" s="22" t="n"/>
      <c r="V9" s="22" t="n"/>
      <c r="W9" s="22" t="n"/>
      <c r="X9" s="22" t="n"/>
      <c r="Y9" s="22" t="n"/>
      <c r="Z9" s="22" t="n"/>
      <c r="AA9" s="22" t="n"/>
      <c r="AB9" s="22" t="n"/>
      <c r="AC9" s="22" t="n"/>
      <c r="AD9" t="inlineStr">
        <is>
          <t>SOC_E</t>
        </is>
      </c>
      <c r="AE9">
        <f>IF($J9="","",IF(INDEX($C9:$G9,$J9)="","",$J9))</f>
        <v/>
      </c>
      <c r="AF9">
        <f>IF($K9="","",IF(INDEX($C9:$G9,$K9)="","",$K9))</f>
        <v/>
      </c>
      <c r="AG9">
        <f>IF($L9="","",IF(INDEX($C9:$G9,$L9)="","",$L9))</f>
        <v/>
      </c>
      <c r="AH9">
        <f>IF($M9="","",IF(INDEX($C9:$G9,$M9)="","",$M9))</f>
        <v/>
      </c>
      <c r="AI9">
        <f>IF($N9="","",IF(INDEX($C9:$G9,$N9)="","",$N9))</f>
        <v/>
      </c>
      <c r="AJ9">
        <f>IF($O9="","",IF(INDEX($C9:$G9,$O9)="","",$O9))</f>
        <v/>
      </c>
      <c r="AK9">
        <f>IF($P9="","",IF(INDEX($C9:$G9,$P9)="","",$P9))</f>
        <v/>
      </c>
      <c r="AL9">
        <f>IF($Q9="","",IF(INDEX($C9:$G9,$Q9)="","",$Q9))</f>
        <v/>
      </c>
      <c r="AM9">
        <f>IF($R9="","",IF(INDEX($C9:$G9,$R9)="","",$R9))</f>
        <v/>
      </c>
      <c r="AN9">
        <f>IF($S9="","",IF(INDEX($C9:$G9,$S9)="","",$S9))</f>
        <v/>
      </c>
      <c r="AO9">
        <f>IF($T9="","",IF(INDEX($C9:$G9,$T9)="","",$T9))</f>
        <v/>
      </c>
      <c r="AP9">
        <f>IF($U9="","",IF(INDEX($C9:$G9,$U9)="","",$U9))</f>
        <v/>
      </c>
      <c r="AQ9">
        <f>IF($V9="","",IF(INDEX($C9:$G9,$V9)="","",$V9))</f>
        <v/>
      </c>
      <c r="AR9">
        <f>IF($W9="","",IF(INDEX($C9:$G9,$W9)="","",$W9))</f>
        <v/>
      </c>
      <c r="AS9">
        <f>IF($X9="","",IF(INDEX($C9:$G9,$X9)="","",$X9))</f>
        <v/>
      </c>
      <c r="AT9">
        <f>IF($Y9="","",IF(INDEX($C9:$G9,$Y9)="","",$Y9))</f>
        <v/>
      </c>
      <c r="AU9">
        <f>IF($Z9="","",IF(INDEX($C9:$G9,$Z9)="","",$Z9))</f>
        <v/>
      </c>
      <c r="AV9">
        <f>IF($AA9="","",IF(INDEX($C9:$G9,$AA9)="","",$AA9))</f>
        <v/>
      </c>
      <c r="AW9">
        <f>IF($AB9="","",IF(INDEX($C9:$G9,$AB9)="","",$AB9))</f>
        <v/>
      </c>
      <c r="AX9">
        <f>IF($AC9="","",IF(INDEX($C9:$G9,$AC9)="","",$AC9))</f>
        <v/>
      </c>
      <c r="AY9">
        <f>IF($J9="","",IF(INDEX($C9:$G9,$J9)="","",IF(ISNUMBER(SEARCH("[A]",INDEX($C9:$G9,$J9))),"A",IF(ISNUMBER(SEARCH("[B]",INDEX($C9:$G9,$J9))),"B","-"))))</f>
        <v/>
      </c>
      <c r="AZ9">
        <f>IF($K9="","",IF(INDEX($C9:$G9,$K9)="","",IF(ISNUMBER(SEARCH("[A]",INDEX($C9:$G9,$K9))),"A",IF(ISNUMBER(SEARCH("[B]",INDEX($C9:$G9,$K9))),"B","-"))))</f>
        <v/>
      </c>
      <c r="BA9">
        <f>IF($L9="","",IF(INDEX($C9:$G9,$L9)="","",IF(ISNUMBER(SEARCH("[A]",INDEX($C9:$G9,$L9))),"A",IF(ISNUMBER(SEARCH("[B]",INDEX($C9:$G9,$L9))),"B","-"))))</f>
        <v/>
      </c>
      <c r="BB9">
        <f>IF($M9="","",IF(INDEX($C9:$G9,$M9)="","",IF(ISNUMBER(SEARCH("[A]",INDEX($C9:$G9,$M9))),"A",IF(ISNUMBER(SEARCH("[B]",INDEX($C9:$G9,$M9))),"B","-"))))</f>
        <v/>
      </c>
      <c r="BC9">
        <f>IF($N9="","",IF(INDEX($C9:$G9,$N9)="","",IF(ISNUMBER(SEARCH("[A]",INDEX($C9:$G9,$N9))),"A",IF(ISNUMBER(SEARCH("[B]",INDEX($C9:$G9,$N9))),"B","-"))))</f>
        <v/>
      </c>
      <c r="BD9">
        <f>IF($O9="","",IF(INDEX($C9:$G9,$O9)="","",IF(ISNUMBER(SEARCH("[A]",INDEX($C9:$G9,$O9))),"A",IF(ISNUMBER(SEARCH("[B]",INDEX($C9:$G9,$O9))),"B","-"))))</f>
        <v/>
      </c>
      <c r="BE9">
        <f>IF($P9="","",IF(INDEX($C9:$G9,$P9)="","",IF(ISNUMBER(SEARCH("[A]",INDEX($C9:$G9,$P9))),"A",IF(ISNUMBER(SEARCH("[B]",INDEX($C9:$G9,$P9))),"B","-"))))</f>
        <v/>
      </c>
      <c r="BF9">
        <f>IF($Q9="","",IF(INDEX($C9:$G9,$Q9)="","",IF(ISNUMBER(SEARCH("[A]",INDEX($C9:$G9,$Q9))),"A",IF(ISNUMBER(SEARCH("[B]",INDEX($C9:$G9,$Q9))),"B","-"))))</f>
        <v/>
      </c>
      <c r="BG9">
        <f>IF($R9="","",IF(INDEX($C9:$G9,$R9)="","",IF(ISNUMBER(SEARCH("[A]",INDEX($C9:$G9,$R9))),"A",IF(ISNUMBER(SEARCH("[B]",INDEX($C9:$G9,$R9))),"B","-"))))</f>
        <v/>
      </c>
      <c r="BH9">
        <f>IF($S9="","",IF(INDEX($C9:$G9,$S9)="","",IF(ISNUMBER(SEARCH("[A]",INDEX($C9:$G9,$S9))),"A",IF(ISNUMBER(SEARCH("[B]",INDEX($C9:$G9,$S9))),"B","-"))))</f>
        <v/>
      </c>
      <c r="BI9">
        <f>IF($T9="","",IF(INDEX($C9:$G9,$T9)="","",IF(ISNUMBER(SEARCH("[A]",INDEX($C9:$G9,$T9))),"A",IF(ISNUMBER(SEARCH("[B]",INDEX($C9:$G9,$T9))),"B","-"))))</f>
        <v/>
      </c>
      <c r="BJ9">
        <f>IF($U9="","",IF(INDEX($C9:$G9,$U9)="","",IF(ISNUMBER(SEARCH("[A]",INDEX($C9:$G9,$U9))),"A",IF(ISNUMBER(SEARCH("[B]",INDEX($C9:$G9,$U9))),"B","-"))))</f>
        <v/>
      </c>
      <c r="BK9">
        <f>IF($V9="","",IF(INDEX($C9:$G9,$V9)="","",IF(ISNUMBER(SEARCH("[A]",INDEX($C9:$G9,$V9))),"A",IF(ISNUMBER(SEARCH("[B]",INDEX($C9:$G9,$V9))),"B","-"))))</f>
        <v/>
      </c>
      <c r="BL9">
        <f>IF($W9="","",IF(INDEX($C9:$G9,$W9)="","",IF(ISNUMBER(SEARCH("[A]",INDEX($C9:$G9,$W9))),"A",IF(ISNUMBER(SEARCH("[B]",INDEX($C9:$G9,$W9))),"B","-"))))</f>
        <v/>
      </c>
      <c r="BM9">
        <f>IF($X9="","",IF(INDEX($C9:$G9,$X9)="","",IF(ISNUMBER(SEARCH("[A]",INDEX($C9:$G9,$X9))),"A",IF(ISNUMBER(SEARCH("[B]",INDEX($C9:$G9,$X9))),"B","-"))))</f>
        <v/>
      </c>
      <c r="BN9">
        <f>IF($Y9="","",IF(INDEX($C9:$G9,$Y9)="","",IF(ISNUMBER(SEARCH("[A]",INDEX($C9:$G9,$Y9))),"A",IF(ISNUMBER(SEARCH("[B]",INDEX($C9:$G9,$Y9))),"B","-"))))</f>
        <v/>
      </c>
      <c r="BO9">
        <f>IF($Z9="","",IF(INDEX($C9:$G9,$Z9)="","",IF(ISNUMBER(SEARCH("[A]",INDEX($C9:$G9,$Z9))),"A",IF(ISNUMBER(SEARCH("[B]",INDEX($C9:$G9,$Z9))),"B","-"))))</f>
        <v/>
      </c>
      <c r="BP9">
        <f>IF($AA9="","",IF(INDEX($C9:$G9,$AA9)="","",IF(ISNUMBER(SEARCH("[A]",INDEX($C9:$G9,$AA9))),"A",IF(ISNUMBER(SEARCH("[B]",INDEX($C9:$G9,$AA9))),"B","-"))))</f>
        <v/>
      </c>
      <c r="BQ9">
        <f>IF($AB9="","",IF(INDEX($C9:$G9,$AB9)="","",IF(ISNUMBER(SEARCH("[A]",INDEX($C9:$G9,$AB9))),"A",IF(ISNUMBER(SEARCH("[B]",INDEX($C9:$G9,$AB9))),"B","-"))))</f>
        <v/>
      </c>
      <c r="BR9">
        <f>IF($AC9="","",IF(INDEX($C9:$G9,$AC9)="","",IF(ISNUMBER(SEARCH("[A]",INDEX($C9:$G9,$AC9))),"A",IF(ISNUMBER(SEARCH("[B]",INDEX($C9:$G9,$AC9))),"B","-"))))</f>
        <v/>
      </c>
    </row>
    <row r="10" ht="30" customHeight="1" s="1">
      <c r="A10" s="16" t="inlineStr">
        <is>
          <t>입장</t>
        </is>
      </c>
      <c r="B10" s="17" t="inlineStr">
        <is>
          <t>스태프(낯선 사람) 반응</t>
        </is>
      </c>
      <c r="C10" s="18" t="inlineStr">
        <is>
          <t>자발적 접근·탐색</t>
        </is>
      </c>
      <c r="D10" s="18" t="inlineStr">
        <is>
          <t>주저했다 접근 [B]</t>
        </is>
      </c>
      <c r="E10" s="18" t="inlineStr">
        <is>
          <t>우회·회피 [B]</t>
        </is>
      </c>
      <c r="F10" s="18" t="inlineStr">
        <is>
          <t>돌진·과반응·짖음 [A]</t>
        </is>
      </c>
      <c r="G10" s="18" t="inlineStr">
        <is>
          <t>거부·정지·얼어붙음 [B]</t>
        </is>
      </c>
      <c r="H10" s="16" t="inlineStr">
        <is>
          <t>사회성-사람</t>
        </is>
      </c>
      <c r="I10" s="20" t="inlineStr">
        <is>
          <t>★</t>
        </is>
      </c>
      <c r="J10" s="21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  <c r="T10" s="22" t="n"/>
      <c r="U10" s="22" t="n"/>
      <c r="V10" s="22" t="n"/>
      <c r="W10" s="22" t="n"/>
      <c r="X10" s="22" t="n"/>
      <c r="Y10" s="22" t="n"/>
      <c r="Z10" s="22" t="n"/>
      <c r="AA10" s="22" t="n"/>
      <c r="AB10" s="22" t="n"/>
      <c r="AC10" s="22" t="n"/>
      <c r="AD10" t="inlineStr">
        <is>
          <t>SOC_P</t>
        </is>
      </c>
      <c r="AE10">
        <f>IF($J10="","",IF(INDEX($C10:$G10,$J10)="","",$J10))</f>
        <v/>
      </c>
      <c r="AF10">
        <f>IF($K10="","",IF(INDEX($C10:$G10,$K10)="","",$K10))</f>
        <v/>
      </c>
      <c r="AG10">
        <f>IF($L10="","",IF(INDEX($C10:$G10,$L10)="","",$L10))</f>
        <v/>
      </c>
      <c r="AH10">
        <f>IF($M10="","",IF(INDEX($C10:$G10,$M10)="","",$M10))</f>
        <v/>
      </c>
      <c r="AI10">
        <f>IF($N10="","",IF(INDEX($C10:$G10,$N10)="","",$N10))</f>
        <v/>
      </c>
      <c r="AJ10">
        <f>IF($O10="","",IF(INDEX($C10:$G10,$O10)="","",$O10))</f>
        <v/>
      </c>
      <c r="AK10">
        <f>IF($P10="","",IF(INDEX($C10:$G10,$P10)="","",$P10))</f>
        <v/>
      </c>
      <c r="AL10">
        <f>IF($Q10="","",IF(INDEX($C10:$G10,$Q10)="","",$Q10))</f>
        <v/>
      </c>
      <c r="AM10">
        <f>IF($R10="","",IF(INDEX($C10:$G10,$R10)="","",$R10))</f>
        <v/>
      </c>
      <c r="AN10">
        <f>IF($S10="","",IF(INDEX($C10:$G10,$S10)="","",$S10))</f>
        <v/>
      </c>
      <c r="AO10">
        <f>IF($T10="","",IF(INDEX($C10:$G10,$T10)="","",$T10))</f>
        <v/>
      </c>
      <c r="AP10">
        <f>IF($U10="","",IF(INDEX($C10:$G10,$U10)="","",$U10))</f>
        <v/>
      </c>
      <c r="AQ10">
        <f>IF($V10="","",IF(INDEX($C10:$G10,$V10)="","",$V10))</f>
        <v/>
      </c>
      <c r="AR10">
        <f>IF($W10="","",IF(INDEX($C10:$G10,$W10)="","",$W10))</f>
        <v/>
      </c>
      <c r="AS10">
        <f>IF($X10="","",IF(INDEX($C10:$G10,$X10)="","",$X10))</f>
        <v/>
      </c>
      <c r="AT10">
        <f>IF($Y10="","",IF(INDEX($C10:$G10,$Y10)="","",$Y10))</f>
        <v/>
      </c>
      <c r="AU10">
        <f>IF($Z10="","",IF(INDEX($C10:$G10,$Z10)="","",$Z10))</f>
        <v/>
      </c>
      <c r="AV10">
        <f>IF($AA10="","",IF(INDEX($C10:$G10,$AA10)="","",$AA10))</f>
        <v/>
      </c>
      <c r="AW10">
        <f>IF($AB10="","",IF(INDEX($C10:$G10,$AB10)="","",$AB10))</f>
        <v/>
      </c>
      <c r="AX10">
        <f>IF($AC10="","",IF(INDEX($C10:$G10,$AC10)="","",$AC10))</f>
        <v/>
      </c>
      <c r="AY10">
        <f>IF($J10="","",IF(INDEX($C10:$G10,$J10)="","",IF(ISNUMBER(SEARCH("[A]",INDEX($C10:$G10,$J10))),"A",IF(ISNUMBER(SEARCH("[B]",INDEX($C10:$G10,$J10))),"B","-"))))</f>
        <v/>
      </c>
      <c r="AZ10">
        <f>IF($K10="","",IF(INDEX($C10:$G10,$K10)="","",IF(ISNUMBER(SEARCH("[A]",INDEX($C10:$G10,$K10))),"A",IF(ISNUMBER(SEARCH("[B]",INDEX($C10:$G10,$K10))),"B","-"))))</f>
        <v/>
      </c>
      <c r="BA10">
        <f>IF($L10="","",IF(INDEX($C10:$G10,$L10)="","",IF(ISNUMBER(SEARCH("[A]",INDEX($C10:$G10,$L10))),"A",IF(ISNUMBER(SEARCH("[B]",INDEX($C10:$G10,$L10))),"B","-"))))</f>
        <v/>
      </c>
      <c r="BB10">
        <f>IF($M10="","",IF(INDEX($C10:$G10,$M10)="","",IF(ISNUMBER(SEARCH("[A]",INDEX($C10:$G10,$M10))),"A",IF(ISNUMBER(SEARCH("[B]",INDEX($C10:$G10,$M10))),"B","-"))))</f>
        <v/>
      </c>
      <c r="BC10">
        <f>IF($N10="","",IF(INDEX($C10:$G10,$N10)="","",IF(ISNUMBER(SEARCH("[A]",INDEX($C10:$G10,$N10))),"A",IF(ISNUMBER(SEARCH("[B]",INDEX($C10:$G10,$N10))),"B","-"))))</f>
        <v/>
      </c>
      <c r="BD10">
        <f>IF($O10="","",IF(INDEX($C10:$G10,$O10)="","",IF(ISNUMBER(SEARCH("[A]",INDEX($C10:$G10,$O10))),"A",IF(ISNUMBER(SEARCH("[B]",INDEX($C10:$G10,$O10))),"B","-"))))</f>
        <v/>
      </c>
      <c r="BE10">
        <f>IF($P10="","",IF(INDEX($C10:$G10,$P10)="","",IF(ISNUMBER(SEARCH("[A]",INDEX($C10:$G10,$P10))),"A",IF(ISNUMBER(SEARCH("[B]",INDEX($C10:$G10,$P10))),"B","-"))))</f>
        <v/>
      </c>
      <c r="BF10">
        <f>IF($Q10="","",IF(INDEX($C10:$G10,$Q10)="","",IF(ISNUMBER(SEARCH("[A]",INDEX($C10:$G10,$Q10))),"A",IF(ISNUMBER(SEARCH("[B]",INDEX($C10:$G10,$Q10))),"B","-"))))</f>
        <v/>
      </c>
      <c r="BG10">
        <f>IF($R10="","",IF(INDEX($C10:$G10,$R10)="","",IF(ISNUMBER(SEARCH("[A]",INDEX($C10:$G10,$R10))),"A",IF(ISNUMBER(SEARCH("[B]",INDEX($C10:$G10,$R10))),"B","-"))))</f>
        <v/>
      </c>
      <c r="BH10">
        <f>IF($S10="","",IF(INDEX($C10:$G10,$S10)="","",IF(ISNUMBER(SEARCH("[A]",INDEX($C10:$G10,$S10))),"A",IF(ISNUMBER(SEARCH("[B]",INDEX($C10:$G10,$S10))),"B","-"))))</f>
        <v/>
      </c>
      <c r="BI10">
        <f>IF($T10="","",IF(INDEX($C10:$G10,$T10)="","",IF(ISNUMBER(SEARCH("[A]",INDEX($C10:$G10,$T10))),"A",IF(ISNUMBER(SEARCH("[B]",INDEX($C10:$G10,$T10))),"B","-"))))</f>
        <v/>
      </c>
      <c r="BJ10">
        <f>IF($U10="","",IF(INDEX($C10:$G10,$U10)="","",IF(ISNUMBER(SEARCH("[A]",INDEX($C10:$G10,$U10))),"A",IF(ISNUMBER(SEARCH("[B]",INDEX($C10:$G10,$U10))),"B","-"))))</f>
        <v/>
      </c>
      <c r="BK10">
        <f>IF($V10="","",IF(INDEX($C10:$G10,$V10)="","",IF(ISNUMBER(SEARCH("[A]",INDEX($C10:$G10,$V10))),"A",IF(ISNUMBER(SEARCH("[B]",INDEX($C10:$G10,$V10))),"B","-"))))</f>
        <v/>
      </c>
      <c r="BL10">
        <f>IF($W10="","",IF(INDEX($C10:$G10,$W10)="","",IF(ISNUMBER(SEARCH("[A]",INDEX($C10:$G10,$W10))),"A",IF(ISNUMBER(SEARCH("[B]",INDEX($C10:$G10,$W10))),"B","-"))))</f>
        <v/>
      </c>
      <c r="BM10">
        <f>IF($X10="","",IF(INDEX($C10:$G10,$X10)="","",IF(ISNUMBER(SEARCH("[A]",INDEX($C10:$G10,$X10))),"A",IF(ISNUMBER(SEARCH("[B]",INDEX($C10:$G10,$X10))),"B","-"))))</f>
        <v/>
      </c>
      <c r="BN10">
        <f>IF($Y10="","",IF(INDEX($C10:$G10,$Y10)="","",IF(ISNUMBER(SEARCH("[A]",INDEX($C10:$G10,$Y10))),"A",IF(ISNUMBER(SEARCH("[B]",INDEX($C10:$G10,$Y10))),"B","-"))))</f>
        <v/>
      </c>
      <c r="BO10">
        <f>IF($Z10="","",IF(INDEX($C10:$G10,$Z10)="","",IF(ISNUMBER(SEARCH("[A]",INDEX($C10:$G10,$Z10))),"A",IF(ISNUMBER(SEARCH("[B]",INDEX($C10:$G10,$Z10))),"B","-"))))</f>
        <v/>
      </c>
      <c r="BP10">
        <f>IF($AA10="","",IF(INDEX($C10:$G10,$AA10)="","",IF(ISNUMBER(SEARCH("[A]",INDEX($C10:$G10,$AA10))),"A",IF(ISNUMBER(SEARCH("[B]",INDEX($C10:$G10,$AA10))),"B","-"))))</f>
        <v/>
      </c>
      <c r="BQ10">
        <f>IF($AB10="","",IF(INDEX($C10:$G10,$AB10)="","",IF(ISNUMBER(SEARCH("[A]",INDEX($C10:$G10,$AB10))),"A",IF(ISNUMBER(SEARCH("[B]",INDEX($C10:$G10,$AB10))),"B","-"))))</f>
        <v/>
      </c>
      <c r="BR10">
        <f>IF($AC10="","",IF(INDEX($C10:$G10,$AC10)="","",IF(ISNUMBER(SEARCH("[A]",INDEX($C10:$G10,$AC10))),"A",IF(ISNUMBER(SEARCH("[B]",INDEX($C10:$G10,$AC10))),"B","-"))))</f>
        <v/>
      </c>
    </row>
    <row r="11" ht="30" customHeight="1" s="1">
      <c r="A11" s="24" t="inlineStr">
        <is>
          <t>분리</t>
        </is>
      </c>
      <c r="B11" s="40" t="inlineStr">
        <is>
          <t>[무반응 10초] 함께 있을 때 ※기준선</t>
        </is>
      </c>
      <c r="C11" s="26" t="inlineStr">
        <is>
          <t>스스로 곁에 머물며 이완·여유롭게 둘러봄</t>
        </is>
      </c>
      <c r="D11" s="26" t="inlineStr">
        <is>
          <t>보호자를 자주 쳐다보며 서성임 [A]</t>
        </is>
      </c>
      <c r="E11" s="26" t="inlineStr">
        <is>
          <t>보호자에 완전 무관심·딴 곳만 봄 [B]</t>
        </is>
      </c>
      <c r="F11" s="26" t="inlineStr">
        <is>
          <t>앉지 못하고 계속 움직임 [A]</t>
        </is>
      </c>
      <c r="G11" s="26" t="inlineStr">
        <is>
          <t>한시도 가만있지 못함·심하게 안절부절 [A]</t>
        </is>
      </c>
      <c r="H11" s="24" t="inlineStr">
        <is>
          <t>— 기준선 (영역 집계 제외)</t>
        </is>
      </c>
      <c r="I11" s="27" t="inlineStr">
        <is>
          <t>★</t>
        </is>
      </c>
      <c r="J11" s="21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22" t="n"/>
      <c r="V11" s="22" t="n"/>
      <c r="W11" s="22" t="n"/>
      <c r="X11" s="22" t="n"/>
      <c r="Y11" s="22" t="n"/>
      <c r="Z11" s="22" t="n"/>
      <c r="AA11" s="22" t="n"/>
      <c r="AB11" s="22" t="n"/>
      <c r="AC11" s="22" t="n"/>
      <c r="AE11">
        <f>IF($J11="","",IF(INDEX($C11:$G11,$J11)="","",$J11))</f>
        <v/>
      </c>
      <c r="AF11">
        <f>IF($K11="","",IF(INDEX($C11:$G11,$K11)="","",$K11))</f>
        <v/>
      </c>
      <c r="AG11">
        <f>IF($L11="","",IF(INDEX($C11:$G11,$L11)="","",$L11))</f>
        <v/>
      </c>
      <c r="AH11">
        <f>IF($M11="","",IF(INDEX($C11:$G11,$M11)="","",$M11))</f>
        <v/>
      </c>
      <c r="AI11">
        <f>IF($N11="","",IF(INDEX($C11:$G11,$N11)="","",$N11))</f>
        <v/>
      </c>
      <c r="AJ11">
        <f>IF($O11="","",IF(INDEX($C11:$G11,$O11)="","",$O11))</f>
        <v/>
      </c>
      <c r="AK11">
        <f>IF($P11="","",IF(INDEX($C11:$G11,$P11)="","",$P11))</f>
        <v/>
      </c>
      <c r="AL11">
        <f>IF($Q11="","",IF(INDEX($C11:$G11,$Q11)="","",$Q11))</f>
        <v/>
      </c>
      <c r="AM11">
        <f>IF($R11="","",IF(INDEX($C11:$G11,$R11)="","",$R11))</f>
        <v/>
      </c>
      <c r="AN11">
        <f>IF($S11="","",IF(INDEX($C11:$G11,$S11)="","",$S11))</f>
        <v/>
      </c>
      <c r="AO11">
        <f>IF($T11="","",IF(INDEX($C11:$G11,$T11)="","",$T11))</f>
        <v/>
      </c>
      <c r="AP11">
        <f>IF($U11="","",IF(INDEX($C11:$G11,$U11)="","",$U11))</f>
        <v/>
      </c>
      <c r="AQ11">
        <f>IF($V11="","",IF(INDEX($C11:$G11,$V11)="","",$V11))</f>
        <v/>
      </c>
      <c r="AR11">
        <f>IF($W11="","",IF(INDEX($C11:$G11,$W11)="","",$W11))</f>
        <v/>
      </c>
      <c r="AS11">
        <f>IF($X11="","",IF(INDEX($C11:$G11,$X11)="","",$X11))</f>
        <v/>
      </c>
      <c r="AT11">
        <f>IF($Y11="","",IF(INDEX($C11:$G11,$Y11)="","",$Y11))</f>
        <v/>
      </c>
      <c r="AU11">
        <f>IF($Z11="","",IF(INDEX($C11:$G11,$Z11)="","",$Z11))</f>
        <v/>
      </c>
      <c r="AV11">
        <f>IF($AA11="","",IF(INDEX($C11:$G11,$AA11)="","",$AA11))</f>
        <v/>
      </c>
      <c r="AW11">
        <f>IF($AB11="","",IF(INDEX($C11:$G11,$AB11)="","",$AB11))</f>
        <v/>
      </c>
      <c r="AX11">
        <f>IF($AC11="","",IF(INDEX($C11:$G11,$AC11)="","",$AC11))</f>
        <v/>
      </c>
      <c r="AY11">
        <f>IF($J11="","",IF(INDEX($C11:$G11,$J11)="","",IF(ISNUMBER(SEARCH("[A]",INDEX($C11:$G11,$J11))),"A",IF(ISNUMBER(SEARCH("[B]",INDEX($C11:$G11,$J11))),"B","-"))))</f>
        <v/>
      </c>
      <c r="AZ11">
        <f>IF($K11="","",IF(INDEX($C11:$G11,$K11)="","",IF(ISNUMBER(SEARCH("[A]",INDEX($C11:$G11,$K11))),"A",IF(ISNUMBER(SEARCH("[B]",INDEX($C11:$G11,$K11))),"B","-"))))</f>
        <v/>
      </c>
      <c r="BA11">
        <f>IF($L11="","",IF(INDEX($C11:$G11,$L11)="","",IF(ISNUMBER(SEARCH("[A]",INDEX($C11:$G11,$L11))),"A",IF(ISNUMBER(SEARCH("[B]",INDEX($C11:$G11,$L11))),"B","-"))))</f>
        <v/>
      </c>
      <c r="BB11">
        <f>IF($M11="","",IF(INDEX($C11:$G11,$M11)="","",IF(ISNUMBER(SEARCH("[A]",INDEX($C11:$G11,$M11))),"A",IF(ISNUMBER(SEARCH("[B]",INDEX($C11:$G11,$M11))),"B","-"))))</f>
        <v/>
      </c>
      <c r="BC11">
        <f>IF($N11="","",IF(INDEX($C11:$G11,$N11)="","",IF(ISNUMBER(SEARCH("[A]",INDEX($C11:$G11,$N11))),"A",IF(ISNUMBER(SEARCH("[B]",INDEX($C11:$G11,$N11))),"B","-"))))</f>
        <v/>
      </c>
      <c r="BD11">
        <f>IF($O11="","",IF(INDEX($C11:$G11,$O11)="","",IF(ISNUMBER(SEARCH("[A]",INDEX($C11:$G11,$O11))),"A",IF(ISNUMBER(SEARCH("[B]",INDEX($C11:$G11,$O11))),"B","-"))))</f>
        <v/>
      </c>
      <c r="BE11">
        <f>IF($P11="","",IF(INDEX($C11:$G11,$P11)="","",IF(ISNUMBER(SEARCH("[A]",INDEX($C11:$G11,$P11))),"A",IF(ISNUMBER(SEARCH("[B]",INDEX($C11:$G11,$P11))),"B","-"))))</f>
        <v/>
      </c>
      <c r="BF11">
        <f>IF($Q11="","",IF(INDEX($C11:$G11,$Q11)="","",IF(ISNUMBER(SEARCH("[A]",INDEX($C11:$G11,$Q11))),"A",IF(ISNUMBER(SEARCH("[B]",INDEX($C11:$G11,$Q11))),"B","-"))))</f>
        <v/>
      </c>
      <c r="BG11">
        <f>IF($R11="","",IF(INDEX($C11:$G11,$R11)="","",IF(ISNUMBER(SEARCH("[A]",INDEX($C11:$G11,$R11))),"A",IF(ISNUMBER(SEARCH("[B]",INDEX($C11:$G11,$R11))),"B","-"))))</f>
        <v/>
      </c>
      <c r="BH11">
        <f>IF($S11="","",IF(INDEX($C11:$G11,$S11)="","",IF(ISNUMBER(SEARCH("[A]",INDEX($C11:$G11,$S11))),"A",IF(ISNUMBER(SEARCH("[B]",INDEX($C11:$G11,$S11))),"B","-"))))</f>
        <v/>
      </c>
      <c r="BI11">
        <f>IF($T11="","",IF(INDEX($C11:$G11,$T11)="","",IF(ISNUMBER(SEARCH("[A]",INDEX($C11:$G11,$T11))),"A",IF(ISNUMBER(SEARCH("[B]",INDEX($C11:$G11,$T11))),"B","-"))))</f>
        <v/>
      </c>
      <c r="BJ11">
        <f>IF($U11="","",IF(INDEX($C11:$G11,$U11)="","",IF(ISNUMBER(SEARCH("[A]",INDEX($C11:$G11,$U11))),"A",IF(ISNUMBER(SEARCH("[B]",INDEX($C11:$G11,$U11))),"B","-"))))</f>
        <v/>
      </c>
      <c r="BK11">
        <f>IF($V11="","",IF(INDEX($C11:$G11,$V11)="","",IF(ISNUMBER(SEARCH("[A]",INDEX($C11:$G11,$V11))),"A",IF(ISNUMBER(SEARCH("[B]",INDEX($C11:$G11,$V11))),"B","-"))))</f>
        <v/>
      </c>
      <c r="BL11">
        <f>IF($W11="","",IF(INDEX($C11:$G11,$W11)="","",IF(ISNUMBER(SEARCH("[A]",INDEX($C11:$G11,$W11))),"A",IF(ISNUMBER(SEARCH("[B]",INDEX($C11:$G11,$W11))),"B","-"))))</f>
        <v/>
      </c>
      <c r="BM11">
        <f>IF($X11="","",IF(INDEX($C11:$G11,$X11)="","",IF(ISNUMBER(SEARCH("[A]",INDEX($C11:$G11,$X11))),"A",IF(ISNUMBER(SEARCH("[B]",INDEX($C11:$G11,$X11))),"B","-"))))</f>
        <v/>
      </c>
      <c r="BN11">
        <f>IF($Y11="","",IF(INDEX($C11:$G11,$Y11)="","",IF(ISNUMBER(SEARCH("[A]",INDEX($C11:$G11,$Y11))),"A",IF(ISNUMBER(SEARCH("[B]",INDEX($C11:$G11,$Y11))),"B","-"))))</f>
        <v/>
      </c>
      <c r="BO11">
        <f>IF($Z11="","",IF(INDEX($C11:$G11,$Z11)="","",IF(ISNUMBER(SEARCH("[A]",INDEX($C11:$G11,$Z11))),"A",IF(ISNUMBER(SEARCH("[B]",INDEX($C11:$G11,$Z11))),"B","-"))))</f>
        <v/>
      </c>
      <c r="BP11">
        <f>IF($AA11="","",IF(INDEX($C11:$G11,$AA11)="","",IF(ISNUMBER(SEARCH("[A]",INDEX($C11:$G11,$AA11))),"A",IF(ISNUMBER(SEARCH("[B]",INDEX($C11:$G11,$AA11))),"B","-"))))</f>
        <v/>
      </c>
      <c r="BQ11">
        <f>IF($AB11="","",IF(INDEX($C11:$G11,$AB11)="","",IF(ISNUMBER(SEARCH("[A]",INDEX($C11:$G11,$AB11))),"A",IF(ISNUMBER(SEARCH("[B]",INDEX($C11:$G11,$AB11))),"B","-"))))</f>
        <v/>
      </c>
      <c r="BR11">
        <f>IF($AC11="","",IF(INDEX($C11:$G11,$AC11)="","",IF(ISNUMBER(SEARCH("[A]",INDEX($C11:$G11,$AC11))),"A",IF(ISNUMBER(SEARCH("[B]",INDEX($C11:$G11,$AC11))),"B","-"))))</f>
        <v/>
      </c>
    </row>
    <row r="12" ht="30" customHeight="1" s="1">
      <c r="A12" s="24" t="inlineStr">
        <is>
          <t>분리</t>
        </is>
      </c>
      <c r="B12" s="40" t="inlineStr">
        <is>
          <t>[분리] 블라인드(나간 쪽) 지향 ※핵심 애착지표</t>
        </is>
      </c>
      <c r="C12" s="26" t="inlineStr">
        <is>
          <t>잠깐 확인한 뒤 스스로 시간 보냄</t>
        </is>
      </c>
      <c r="D12" s="26" t="inlineStr">
        <is>
          <t>가끔 쳐다봄 [A]</t>
        </is>
      </c>
      <c r="E12" s="26" t="inlineStr">
        <is>
          <t>다가가 살핌 [A]</t>
        </is>
      </c>
      <c r="F12" s="26" t="inlineStr">
        <is>
          <t>나간 것을 알아차린 기색이 전혀 없음 [B]</t>
        </is>
      </c>
      <c r="G12" s="26" t="inlineStr">
        <is>
          <t>울타리에 계속 붙어 있음 [A]</t>
        </is>
      </c>
      <c r="H12" s="24" t="inlineStr">
        <is>
          <t>친밀·애착</t>
        </is>
      </c>
      <c r="I12" s="27" t="inlineStr">
        <is>
          <t>★</t>
        </is>
      </c>
      <c r="J12" s="21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  <c r="W12" s="22" t="n"/>
      <c r="X12" s="22" t="n"/>
      <c r="Y12" s="22" t="n"/>
      <c r="Z12" s="22" t="n"/>
      <c r="AA12" s="22" t="n"/>
      <c r="AB12" s="22" t="n"/>
      <c r="AC12" s="22" t="n"/>
      <c r="AD12" t="inlineStr">
        <is>
          <t>ATT</t>
        </is>
      </c>
      <c r="AE12">
        <f>IF($J12="","",IF(INDEX($C12:$G12,$J12)="","",$J12))</f>
        <v/>
      </c>
      <c r="AF12">
        <f>IF($K12="","",IF(INDEX($C12:$G12,$K12)="","",$K12))</f>
        <v/>
      </c>
      <c r="AG12">
        <f>IF($L12="","",IF(INDEX($C12:$G12,$L12)="","",$L12))</f>
        <v/>
      </c>
      <c r="AH12">
        <f>IF($M12="","",IF(INDEX($C12:$G12,$M12)="","",$M12))</f>
        <v/>
      </c>
      <c r="AI12">
        <f>IF($N12="","",IF(INDEX($C12:$G12,$N12)="","",$N12))</f>
        <v/>
      </c>
      <c r="AJ12">
        <f>IF($O12="","",IF(INDEX($C12:$G12,$O12)="","",$O12))</f>
        <v/>
      </c>
      <c r="AK12">
        <f>IF($P12="","",IF(INDEX($C12:$G12,$P12)="","",$P12))</f>
        <v/>
      </c>
      <c r="AL12">
        <f>IF($Q12="","",IF(INDEX($C12:$G12,$Q12)="","",$Q12))</f>
        <v/>
      </c>
      <c r="AM12">
        <f>IF($R12="","",IF(INDEX($C12:$G12,$R12)="","",$R12))</f>
        <v/>
      </c>
      <c r="AN12">
        <f>IF($S12="","",IF(INDEX($C12:$G12,$S12)="","",$S12))</f>
        <v/>
      </c>
      <c r="AO12">
        <f>IF($T12="","",IF(INDEX($C12:$G12,$T12)="","",$T12))</f>
        <v/>
      </c>
      <c r="AP12">
        <f>IF($U12="","",IF(INDEX($C12:$G12,$U12)="","",$U12))</f>
        <v/>
      </c>
      <c r="AQ12">
        <f>IF($V12="","",IF(INDEX($C12:$G12,$V12)="","",$V12))</f>
        <v/>
      </c>
      <c r="AR12">
        <f>IF($W12="","",IF(INDEX($C12:$G12,$W12)="","",$W12))</f>
        <v/>
      </c>
      <c r="AS12">
        <f>IF($X12="","",IF(INDEX($C12:$G12,$X12)="","",$X12))</f>
        <v/>
      </c>
      <c r="AT12">
        <f>IF($Y12="","",IF(INDEX($C12:$G12,$Y12)="","",$Y12))</f>
        <v/>
      </c>
      <c r="AU12">
        <f>IF($Z12="","",IF(INDEX($C12:$G12,$Z12)="","",$Z12))</f>
        <v/>
      </c>
      <c r="AV12">
        <f>IF($AA12="","",IF(INDEX($C12:$G12,$AA12)="","",$AA12))</f>
        <v/>
      </c>
      <c r="AW12">
        <f>IF($AB12="","",IF(INDEX($C12:$G12,$AB12)="","",$AB12))</f>
        <v/>
      </c>
      <c r="AX12">
        <f>IF($AC12="","",IF(INDEX($C12:$G12,$AC12)="","",$AC12))</f>
        <v/>
      </c>
      <c r="AY12">
        <f>IF($J12="","",IF(INDEX($C12:$G12,$J12)="","",IF(ISNUMBER(SEARCH("[A]",INDEX($C12:$G12,$J12))),"A",IF(ISNUMBER(SEARCH("[B]",INDEX($C12:$G12,$J12))),"B","-"))))</f>
        <v/>
      </c>
      <c r="AZ12">
        <f>IF($K12="","",IF(INDEX($C12:$G12,$K12)="","",IF(ISNUMBER(SEARCH("[A]",INDEX($C12:$G12,$K12))),"A",IF(ISNUMBER(SEARCH("[B]",INDEX($C12:$G12,$K12))),"B","-"))))</f>
        <v/>
      </c>
      <c r="BA12">
        <f>IF($L12="","",IF(INDEX($C12:$G12,$L12)="","",IF(ISNUMBER(SEARCH("[A]",INDEX($C12:$G12,$L12))),"A",IF(ISNUMBER(SEARCH("[B]",INDEX($C12:$G12,$L12))),"B","-"))))</f>
        <v/>
      </c>
      <c r="BB12">
        <f>IF($M12="","",IF(INDEX($C12:$G12,$M12)="","",IF(ISNUMBER(SEARCH("[A]",INDEX($C12:$G12,$M12))),"A",IF(ISNUMBER(SEARCH("[B]",INDEX($C12:$G12,$M12))),"B","-"))))</f>
        <v/>
      </c>
      <c r="BC12">
        <f>IF($N12="","",IF(INDEX($C12:$G12,$N12)="","",IF(ISNUMBER(SEARCH("[A]",INDEX($C12:$G12,$N12))),"A",IF(ISNUMBER(SEARCH("[B]",INDEX($C12:$G12,$N12))),"B","-"))))</f>
        <v/>
      </c>
      <c r="BD12">
        <f>IF($O12="","",IF(INDEX($C12:$G12,$O12)="","",IF(ISNUMBER(SEARCH("[A]",INDEX($C12:$G12,$O12))),"A",IF(ISNUMBER(SEARCH("[B]",INDEX($C12:$G12,$O12))),"B","-"))))</f>
        <v/>
      </c>
      <c r="BE12">
        <f>IF($P12="","",IF(INDEX($C12:$G12,$P12)="","",IF(ISNUMBER(SEARCH("[A]",INDEX($C12:$G12,$P12))),"A",IF(ISNUMBER(SEARCH("[B]",INDEX($C12:$G12,$P12))),"B","-"))))</f>
        <v/>
      </c>
      <c r="BF12">
        <f>IF($Q12="","",IF(INDEX($C12:$G12,$Q12)="","",IF(ISNUMBER(SEARCH("[A]",INDEX($C12:$G12,$Q12))),"A",IF(ISNUMBER(SEARCH("[B]",INDEX($C12:$G12,$Q12))),"B","-"))))</f>
        <v/>
      </c>
      <c r="BG12">
        <f>IF($R12="","",IF(INDEX($C12:$G12,$R12)="","",IF(ISNUMBER(SEARCH("[A]",INDEX($C12:$G12,$R12))),"A",IF(ISNUMBER(SEARCH("[B]",INDEX($C12:$G12,$R12))),"B","-"))))</f>
        <v/>
      </c>
      <c r="BH12">
        <f>IF($S12="","",IF(INDEX($C12:$G12,$S12)="","",IF(ISNUMBER(SEARCH("[A]",INDEX($C12:$G12,$S12))),"A",IF(ISNUMBER(SEARCH("[B]",INDEX($C12:$G12,$S12))),"B","-"))))</f>
        <v/>
      </c>
      <c r="BI12">
        <f>IF($T12="","",IF(INDEX($C12:$G12,$T12)="","",IF(ISNUMBER(SEARCH("[A]",INDEX($C12:$G12,$T12))),"A",IF(ISNUMBER(SEARCH("[B]",INDEX($C12:$G12,$T12))),"B","-"))))</f>
        <v/>
      </c>
      <c r="BJ12">
        <f>IF($U12="","",IF(INDEX($C12:$G12,$U12)="","",IF(ISNUMBER(SEARCH("[A]",INDEX($C12:$G12,$U12))),"A",IF(ISNUMBER(SEARCH("[B]",INDEX($C12:$G12,$U12))),"B","-"))))</f>
        <v/>
      </c>
      <c r="BK12">
        <f>IF($V12="","",IF(INDEX($C12:$G12,$V12)="","",IF(ISNUMBER(SEARCH("[A]",INDEX($C12:$G12,$V12))),"A",IF(ISNUMBER(SEARCH("[B]",INDEX($C12:$G12,$V12))),"B","-"))))</f>
        <v/>
      </c>
      <c r="BL12">
        <f>IF($W12="","",IF(INDEX($C12:$G12,$W12)="","",IF(ISNUMBER(SEARCH("[A]",INDEX($C12:$G12,$W12))),"A",IF(ISNUMBER(SEARCH("[B]",INDEX($C12:$G12,$W12))),"B","-"))))</f>
        <v/>
      </c>
      <c r="BM12">
        <f>IF($X12="","",IF(INDEX($C12:$G12,$X12)="","",IF(ISNUMBER(SEARCH("[A]",INDEX($C12:$G12,$X12))),"A",IF(ISNUMBER(SEARCH("[B]",INDEX($C12:$G12,$X12))),"B","-"))))</f>
        <v/>
      </c>
      <c r="BN12">
        <f>IF($Y12="","",IF(INDEX($C12:$G12,$Y12)="","",IF(ISNUMBER(SEARCH("[A]",INDEX($C12:$G12,$Y12))),"A",IF(ISNUMBER(SEARCH("[B]",INDEX($C12:$G12,$Y12))),"B","-"))))</f>
        <v/>
      </c>
      <c r="BO12">
        <f>IF($Z12="","",IF(INDEX($C12:$G12,$Z12)="","",IF(ISNUMBER(SEARCH("[A]",INDEX($C12:$G12,$Z12))),"A",IF(ISNUMBER(SEARCH("[B]",INDEX($C12:$G12,$Z12))),"B","-"))))</f>
        <v/>
      </c>
      <c r="BP12">
        <f>IF($AA12="","",IF(INDEX($C12:$G12,$AA12)="","",IF(ISNUMBER(SEARCH("[A]",INDEX($C12:$G12,$AA12))),"A",IF(ISNUMBER(SEARCH("[B]",INDEX($C12:$G12,$AA12))),"B","-"))))</f>
        <v/>
      </c>
      <c r="BQ12">
        <f>IF($AB12="","",IF(INDEX($C12:$G12,$AB12)="","",IF(ISNUMBER(SEARCH("[A]",INDEX($C12:$G12,$AB12))),"A",IF(ISNUMBER(SEARCH("[B]",INDEX($C12:$G12,$AB12))),"B","-"))))</f>
        <v/>
      </c>
      <c r="BR12">
        <f>IF($AC12="","",IF(INDEX($C12:$G12,$AC12)="","",IF(ISNUMBER(SEARCH("[A]",INDEX($C12:$G12,$AC12))),"A",IF(ISNUMBER(SEARCH("[B]",INDEX($C12:$G12,$AC12))),"B","-"))))</f>
        <v/>
      </c>
    </row>
    <row r="13" ht="30" customHeight="1" s="1">
      <c r="A13" s="24" t="inlineStr">
        <is>
          <t>분리</t>
        </is>
      </c>
      <c r="B13" s="40" t="inlineStr">
        <is>
          <t>[분리] 발성</t>
        </is>
      </c>
      <c r="C13" s="26" t="inlineStr">
        <is>
          <t>없음</t>
        </is>
      </c>
      <c r="D13" s="26" t="inlineStr">
        <is>
          <t>가끔 낑낑 [A]</t>
        </is>
      </c>
      <c r="E13" s="26" t="inlineStr">
        <is>
          <t>자주 낑낑 [A]</t>
        </is>
      </c>
      <c r="F13" s="19" t="n"/>
      <c r="G13" s="26" t="inlineStr">
        <is>
          <t>지속적으로 낑낑·짖음 [A]</t>
        </is>
      </c>
      <c r="H13" s="24" t="inlineStr">
        <is>
          <t>친밀·애착</t>
        </is>
      </c>
      <c r="I13" s="27" t="n"/>
      <c r="J13" s="21" t="n"/>
      <c r="K13" s="22" t="n"/>
      <c r="L13" s="22" t="n"/>
      <c r="M13" s="22" t="n"/>
      <c r="N13" s="22" t="n"/>
      <c r="O13" s="22" t="n"/>
      <c r="P13" s="22" t="n"/>
      <c r="Q13" s="22" t="n"/>
      <c r="R13" s="22" t="n"/>
      <c r="S13" s="22" t="n"/>
      <c r="T13" s="22" t="n"/>
      <c r="U13" s="22" t="n"/>
      <c r="V13" s="22" t="n"/>
      <c r="W13" s="22" t="n"/>
      <c r="X13" s="22" t="n"/>
      <c r="Y13" s="22" t="n"/>
      <c r="Z13" s="22" t="n"/>
      <c r="AA13" s="22" t="n"/>
      <c r="AB13" s="22" t="n"/>
      <c r="AC13" s="22" t="n"/>
      <c r="AD13" t="inlineStr">
        <is>
          <t>ATT</t>
        </is>
      </c>
      <c r="AE13">
        <f>IF($J13="","",IF(INDEX($C13:$G13,$J13)="","",$J13))</f>
        <v/>
      </c>
      <c r="AF13">
        <f>IF($K13="","",IF(INDEX($C13:$G13,$K13)="","",$K13))</f>
        <v/>
      </c>
      <c r="AG13">
        <f>IF($L13="","",IF(INDEX($C13:$G13,$L13)="","",$L13))</f>
        <v/>
      </c>
      <c r="AH13">
        <f>IF($M13="","",IF(INDEX($C13:$G13,$M13)="","",$M13))</f>
        <v/>
      </c>
      <c r="AI13">
        <f>IF($N13="","",IF(INDEX($C13:$G13,$N13)="","",$N13))</f>
        <v/>
      </c>
      <c r="AJ13">
        <f>IF($O13="","",IF(INDEX($C13:$G13,$O13)="","",$O13))</f>
        <v/>
      </c>
      <c r="AK13">
        <f>IF($P13="","",IF(INDEX($C13:$G13,$P13)="","",$P13))</f>
        <v/>
      </c>
      <c r="AL13">
        <f>IF($Q13="","",IF(INDEX($C13:$G13,$Q13)="","",$Q13))</f>
        <v/>
      </c>
      <c r="AM13">
        <f>IF($R13="","",IF(INDEX($C13:$G13,$R13)="","",$R13))</f>
        <v/>
      </c>
      <c r="AN13">
        <f>IF($S13="","",IF(INDEX($C13:$G13,$S13)="","",$S13))</f>
        <v/>
      </c>
      <c r="AO13">
        <f>IF($T13="","",IF(INDEX($C13:$G13,$T13)="","",$T13))</f>
        <v/>
      </c>
      <c r="AP13">
        <f>IF($U13="","",IF(INDEX($C13:$G13,$U13)="","",$U13))</f>
        <v/>
      </c>
      <c r="AQ13">
        <f>IF($V13="","",IF(INDEX($C13:$G13,$V13)="","",$V13))</f>
        <v/>
      </c>
      <c r="AR13">
        <f>IF($W13="","",IF(INDEX($C13:$G13,$W13)="","",$W13))</f>
        <v/>
      </c>
      <c r="AS13">
        <f>IF($X13="","",IF(INDEX($C13:$G13,$X13)="","",$X13))</f>
        <v/>
      </c>
      <c r="AT13">
        <f>IF($Y13="","",IF(INDEX($C13:$G13,$Y13)="","",$Y13))</f>
        <v/>
      </c>
      <c r="AU13">
        <f>IF($Z13="","",IF(INDEX($C13:$G13,$Z13)="","",$Z13))</f>
        <v/>
      </c>
      <c r="AV13">
        <f>IF($AA13="","",IF(INDEX($C13:$G13,$AA13)="","",$AA13))</f>
        <v/>
      </c>
      <c r="AW13">
        <f>IF($AB13="","",IF(INDEX($C13:$G13,$AB13)="","",$AB13))</f>
        <v/>
      </c>
      <c r="AX13">
        <f>IF($AC13="","",IF(INDEX($C13:$G13,$AC13)="","",$AC13))</f>
        <v/>
      </c>
      <c r="AY13">
        <f>IF($J13="","",IF(INDEX($C13:$G13,$J13)="","",IF(ISNUMBER(SEARCH("[A]",INDEX($C13:$G13,$J13))),"A",IF(ISNUMBER(SEARCH("[B]",INDEX($C13:$G13,$J13))),"B","-"))))</f>
        <v/>
      </c>
      <c r="AZ13">
        <f>IF($K13="","",IF(INDEX($C13:$G13,$K13)="","",IF(ISNUMBER(SEARCH("[A]",INDEX($C13:$G13,$K13))),"A",IF(ISNUMBER(SEARCH("[B]",INDEX($C13:$G13,$K13))),"B","-"))))</f>
        <v/>
      </c>
      <c r="BA13">
        <f>IF($L13="","",IF(INDEX($C13:$G13,$L13)="","",IF(ISNUMBER(SEARCH("[A]",INDEX($C13:$G13,$L13))),"A",IF(ISNUMBER(SEARCH("[B]",INDEX($C13:$G13,$L13))),"B","-"))))</f>
        <v/>
      </c>
      <c r="BB13">
        <f>IF($M13="","",IF(INDEX($C13:$G13,$M13)="","",IF(ISNUMBER(SEARCH("[A]",INDEX($C13:$G13,$M13))),"A",IF(ISNUMBER(SEARCH("[B]",INDEX($C13:$G13,$M13))),"B","-"))))</f>
        <v/>
      </c>
      <c r="BC13">
        <f>IF($N13="","",IF(INDEX($C13:$G13,$N13)="","",IF(ISNUMBER(SEARCH("[A]",INDEX($C13:$G13,$N13))),"A",IF(ISNUMBER(SEARCH("[B]",INDEX($C13:$G13,$N13))),"B","-"))))</f>
        <v/>
      </c>
      <c r="BD13">
        <f>IF($O13="","",IF(INDEX($C13:$G13,$O13)="","",IF(ISNUMBER(SEARCH("[A]",INDEX($C13:$G13,$O13))),"A",IF(ISNUMBER(SEARCH("[B]",INDEX($C13:$G13,$O13))),"B","-"))))</f>
        <v/>
      </c>
      <c r="BE13">
        <f>IF($P13="","",IF(INDEX($C13:$G13,$P13)="","",IF(ISNUMBER(SEARCH("[A]",INDEX($C13:$G13,$P13))),"A",IF(ISNUMBER(SEARCH("[B]",INDEX($C13:$G13,$P13))),"B","-"))))</f>
        <v/>
      </c>
      <c r="BF13">
        <f>IF($Q13="","",IF(INDEX($C13:$G13,$Q13)="","",IF(ISNUMBER(SEARCH("[A]",INDEX($C13:$G13,$Q13))),"A",IF(ISNUMBER(SEARCH("[B]",INDEX($C13:$G13,$Q13))),"B","-"))))</f>
        <v/>
      </c>
      <c r="BG13">
        <f>IF($R13="","",IF(INDEX($C13:$G13,$R13)="","",IF(ISNUMBER(SEARCH("[A]",INDEX($C13:$G13,$R13))),"A",IF(ISNUMBER(SEARCH("[B]",INDEX($C13:$G13,$R13))),"B","-"))))</f>
        <v/>
      </c>
      <c r="BH13">
        <f>IF($S13="","",IF(INDEX($C13:$G13,$S13)="","",IF(ISNUMBER(SEARCH("[A]",INDEX($C13:$G13,$S13))),"A",IF(ISNUMBER(SEARCH("[B]",INDEX($C13:$G13,$S13))),"B","-"))))</f>
        <v/>
      </c>
      <c r="BI13">
        <f>IF($T13="","",IF(INDEX($C13:$G13,$T13)="","",IF(ISNUMBER(SEARCH("[A]",INDEX($C13:$G13,$T13))),"A",IF(ISNUMBER(SEARCH("[B]",INDEX($C13:$G13,$T13))),"B","-"))))</f>
        <v/>
      </c>
      <c r="BJ13">
        <f>IF($U13="","",IF(INDEX($C13:$G13,$U13)="","",IF(ISNUMBER(SEARCH("[A]",INDEX($C13:$G13,$U13))),"A",IF(ISNUMBER(SEARCH("[B]",INDEX($C13:$G13,$U13))),"B","-"))))</f>
        <v/>
      </c>
      <c r="BK13">
        <f>IF($V13="","",IF(INDEX($C13:$G13,$V13)="","",IF(ISNUMBER(SEARCH("[A]",INDEX($C13:$G13,$V13))),"A",IF(ISNUMBER(SEARCH("[B]",INDEX($C13:$G13,$V13))),"B","-"))))</f>
        <v/>
      </c>
      <c r="BL13">
        <f>IF($W13="","",IF(INDEX($C13:$G13,$W13)="","",IF(ISNUMBER(SEARCH("[A]",INDEX($C13:$G13,$W13))),"A",IF(ISNUMBER(SEARCH("[B]",INDEX($C13:$G13,$W13))),"B","-"))))</f>
        <v/>
      </c>
      <c r="BM13">
        <f>IF($X13="","",IF(INDEX($C13:$G13,$X13)="","",IF(ISNUMBER(SEARCH("[A]",INDEX($C13:$G13,$X13))),"A",IF(ISNUMBER(SEARCH("[B]",INDEX($C13:$G13,$X13))),"B","-"))))</f>
        <v/>
      </c>
      <c r="BN13">
        <f>IF($Y13="","",IF(INDEX($C13:$G13,$Y13)="","",IF(ISNUMBER(SEARCH("[A]",INDEX($C13:$G13,$Y13))),"A",IF(ISNUMBER(SEARCH("[B]",INDEX($C13:$G13,$Y13))),"B","-"))))</f>
        <v/>
      </c>
      <c r="BO13">
        <f>IF($Z13="","",IF(INDEX($C13:$G13,$Z13)="","",IF(ISNUMBER(SEARCH("[A]",INDEX($C13:$G13,$Z13))),"A",IF(ISNUMBER(SEARCH("[B]",INDEX($C13:$G13,$Z13))),"B","-"))))</f>
        <v/>
      </c>
      <c r="BP13">
        <f>IF($AA13="","",IF(INDEX($C13:$G13,$AA13)="","",IF(ISNUMBER(SEARCH("[A]",INDEX($C13:$G13,$AA13))),"A",IF(ISNUMBER(SEARCH("[B]",INDEX($C13:$G13,$AA13))),"B","-"))))</f>
        <v/>
      </c>
      <c r="BQ13">
        <f>IF($AB13="","",IF(INDEX($C13:$G13,$AB13)="","",IF(ISNUMBER(SEARCH("[A]",INDEX($C13:$G13,$AB13))),"A",IF(ISNUMBER(SEARCH("[B]",INDEX($C13:$G13,$AB13))),"B","-"))))</f>
        <v/>
      </c>
      <c r="BR13">
        <f>IF($AC13="","",IF(INDEX($C13:$G13,$AC13)="","",IF(ISNUMBER(SEARCH("[A]",INDEX($C13:$G13,$AC13))),"A",IF(ISNUMBER(SEARCH("[B]",INDEX($C13:$G13,$AC13))),"B","-"))))</f>
        <v/>
      </c>
    </row>
    <row r="14" ht="30" customHeight="1" s="1">
      <c r="A14" s="24" t="inlineStr">
        <is>
          <t>분리</t>
        </is>
      </c>
      <c r="B14" s="40" t="inlineStr">
        <is>
          <t>[분리] 이동·행동</t>
        </is>
      </c>
      <c r="C14" s="26" t="inlineStr">
        <is>
          <t>안정적으로 머묾</t>
        </is>
      </c>
      <c r="D14" s="19" t="n"/>
      <c r="E14" s="26" t="inlineStr">
        <is>
          <t>왔다갔다 반복·안절부절 [A]</t>
        </is>
      </c>
      <c r="F14" s="26" t="inlineStr">
        <is>
          <t>울타리 긁음·넘으려 함 [A]</t>
        </is>
      </c>
      <c r="G14" s="26" t="inlineStr">
        <is>
          <t>패닉 반응 (즉시 중단) [A]</t>
        </is>
      </c>
      <c r="H14" s="24" t="inlineStr">
        <is>
          <t>친밀·애착</t>
        </is>
      </c>
      <c r="I14" s="27" t="n"/>
      <c r="J14" s="21" t="n"/>
      <c r="K14" s="22" t="n"/>
      <c r="L14" s="22" t="n"/>
      <c r="M14" s="22" t="n"/>
      <c r="N14" s="22" t="n"/>
      <c r="O14" s="22" t="n"/>
      <c r="P14" s="22" t="n"/>
      <c r="Q14" s="22" t="n"/>
      <c r="R14" s="22" t="n"/>
      <c r="S14" s="22" t="n"/>
      <c r="T14" s="22" t="n"/>
      <c r="U14" s="22" t="n"/>
      <c r="V14" s="22" t="n"/>
      <c r="W14" s="22" t="n"/>
      <c r="X14" s="22" t="n"/>
      <c r="Y14" s="22" t="n"/>
      <c r="Z14" s="22" t="n"/>
      <c r="AA14" s="22" t="n"/>
      <c r="AB14" s="22" t="n"/>
      <c r="AC14" s="22" t="n"/>
      <c r="AD14" t="inlineStr">
        <is>
          <t>ATT</t>
        </is>
      </c>
      <c r="AE14">
        <f>IF($J14="","",IF(INDEX($C14:$G14,$J14)="","",$J14))</f>
        <v/>
      </c>
      <c r="AF14">
        <f>IF($K14="","",IF(INDEX($C14:$G14,$K14)="","",$K14))</f>
        <v/>
      </c>
      <c r="AG14">
        <f>IF($L14="","",IF(INDEX($C14:$G14,$L14)="","",$L14))</f>
        <v/>
      </c>
      <c r="AH14">
        <f>IF($M14="","",IF(INDEX($C14:$G14,$M14)="","",$M14))</f>
        <v/>
      </c>
      <c r="AI14">
        <f>IF($N14="","",IF(INDEX($C14:$G14,$N14)="","",$N14))</f>
        <v/>
      </c>
      <c r="AJ14">
        <f>IF($O14="","",IF(INDEX($C14:$G14,$O14)="","",$O14))</f>
        <v/>
      </c>
      <c r="AK14">
        <f>IF($P14="","",IF(INDEX($C14:$G14,$P14)="","",$P14))</f>
        <v/>
      </c>
      <c r="AL14">
        <f>IF($Q14="","",IF(INDEX($C14:$G14,$Q14)="","",$Q14))</f>
        <v/>
      </c>
      <c r="AM14">
        <f>IF($R14="","",IF(INDEX($C14:$G14,$R14)="","",$R14))</f>
        <v/>
      </c>
      <c r="AN14">
        <f>IF($S14="","",IF(INDEX($C14:$G14,$S14)="","",$S14))</f>
        <v/>
      </c>
      <c r="AO14">
        <f>IF($T14="","",IF(INDEX($C14:$G14,$T14)="","",$T14))</f>
        <v/>
      </c>
      <c r="AP14">
        <f>IF($U14="","",IF(INDEX($C14:$G14,$U14)="","",$U14))</f>
        <v/>
      </c>
      <c r="AQ14">
        <f>IF($V14="","",IF(INDEX($C14:$G14,$V14)="","",$V14))</f>
        <v/>
      </c>
      <c r="AR14">
        <f>IF($W14="","",IF(INDEX($C14:$G14,$W14)="","",$W14))</f>
        <v/>
      </c>
      <c r="AS14">
        <f>IF($X14="","",IF(INDEX($C14:$G14,$X14)="","",$X14))</f>
        <v/>
      </c>
      <c r="AT14">
        <f>IF($Y14="","",IF(INDEX($C14:$G14,$Y14)="","",$Y14))</f>
        <v/>
      </c>
      <c r="AU14">
        <f>IF($Z14="","",IF(INDEX($C14:$G14,$Z14)="","",$Z14))</f>
        <v/>
      </c>
      <c r="AV14">
        <f>IF($AA14="","",IF(INDEX($C14:$G14,$AA14)="","",$AA14))</f>
        <v/>
      </c>
      <c r="AW14">
        <f>IF($AB14="","",IF(INDEX($C14:$G14,$AB14)="","",$AB14))</f>
        <v/>
      </c>
      <c r="AX14">
        <f>IF($AC14="","",IF(INDEX($C14:$G14,$AC14)="","",$AC14))</f>
        <v/>
      </c>
      <c r="AY14">
        <f>IF($J14="","",IF(INDEX($C14:$G14,$J14)="","",IF(ISNUMBER(SEARCH("[A]",INDEX($C14:$G14,$J14))),"A",IF(ISNUMBER(SEARCH("[B]",INDEX($C14:$G14,$J14))),"B","-"))))</f>
        <v/>
      </c>
      <c r="AZ14">
        <f>IF($K14="","",IF(INDEX($C14:$G14,$K14)="","",IF(ISNUMBER(SEARCH("[A]",INDEX($C14:$G14,$K14))),"A",IF(ISNUMBER(SEARCH("[B]",INDEX($C14:$G14,$K14))),"B","-"))))</f>
        <v/>
      </c>
      <c r="BA14">
        <f>IF($L14="","",IF(INDEX($C14:$G14,$L14)="","",IF(ISNUMBER(SEARCH("[A]",INDEX($C14:$G14,$L14))),"A",IF(ISNUMBER(SEARCH("[B]",INDEX($C14:$G14,$L14))),"B","-"))))</f>
        <v/>
      </c>
      <c r="BB14">
        <f>IF($M14="","",IF(INDEX($C14:$G14,$M14)="","",IF(ISNUMBER(SEARCH("[A]",INDEX($C14:$G14,$M14))),"A",IF(ISNUMBER(SEARCH("[B]",INDEX($C14:$G14,$M14))),"B","-"))))</f>
        <v/>
      </c>
      <c r="BC14">
        <f>IF($N14="","",IF(INDEX($C14:$G14,$N14)="","",IF(ISNUMBER(SEARCH("[A]",INDEX($C14:$G14,$N14))),"A",IF(ISNUMBER(SEARCH("[B]",INDEX($C14:$G14,$N14))),"B","-"))))</f>
        <v/>
      </c>
      <c r="BD14">
        <f>IF($O14="","",IF(INDEX($C14:$G14,$O14)="","",IF(ISNUMBER(SEARCH("[A]",INDEX($C14:$G14,$O14))),"A",IF(ISNUMBER(SEARCH("[B]",INDEX($C14:$G14,$O14))),"B","-"))))</f>
        <v/>
      </c>
      <c r="BE14">
        <f>IF($P14="","",IF(INDEX($C14:$G14,$P14)="","",IF(ISNUMBER(SEARCH("[A]",INDEX($C14:$G14,$P14))),"A",IF(ISNUMBER(SEARCH("[B]",INDEX($C14:$G14,$P14))),"B","-"))))</f>
        <v/>
      </c>
      <c r="BF14">
        <f>IF($Q14="","",IF(INDEX($C14:$G14,$Q14)="","",IF(ISNUMBER(SEARCH("[A]",INDEX($C14:$G14,$Q14))),"A",IF(ISNUMBER(SEARCH("[B]",INDEX($C14:$G14,$Q14))),"B","-"))))</f>
        <v/>
      </c>
      <c r="BG14">
        <f>IF($R14="","",IF(INDEX($C14:$G14,$R14)="","",IF(ISNUMBER(SEARCH("[A]",INDEX($C14:$G14,$R14))),"A",IF(ISNUMBER(SEARCH("[B]",INDEX($C14:$G14,$R14))),"B","-"))))</f>
        <v/>
      </c>
      <c r="BH14">
        <f>IF($S14="","",IF(INDEX($C14:$G14,$S14)="","",IF(ISNUMBER(SEARCH("[A]",INDEX($C14:$G14,$S14))),"A",IF(ISNUMBER(SEARCH("[B]",INDEX($C14:$G14,$S14))),"B","-"))))</f>
        <v/>
      </c>
      <c r="BI14">
        <f>IF($T14="","",IF(INDEX($C14:$G14,$T14)="","",IF(ISNUMBER(SEARCH("[A]",INDEX($C14:$G14,$T14))),"A",IF(ISNUMBER(SEARCH("[B]",INDEX($C14:$G14,$T14))),"B","-"))))</f>
        <v/>
      </c>
      <c r="BJ14">
        <f>IF($U14="","",IF(INDEX($C14:$G14,$U14)="","",IF(ISNUMBER(SEARCH("[A]",INDEX($C14:$G14,$U14))),"A",IF(ISNUMBER(SEARCH("[B]",INDEX($C14:$G14,$U14))),"B","-"))))</f>
        <v/>
      </c>
      <c r="BK14">
        <f>IF($V14="","",IF(INDEX($C14:$G14,$V14)="","",IF(ISNUMBER(SEARCH("[A]",INDEX($C14:$G14,$V14))),"A",IF(ISNUMBER(SEARCH("[B]",INDEX($C14:$G14,$V14))),"B","-"))))</f>
        <v/>
      </c>
      <c r="BL14">
        <f>IF($W14="","",IF(INDEX($C14:$G14,$W14)="","",IF(ISNUMBER(SEARCH("[A]",INDEX($C14:$G14,$W14))),"A",IF(ISNUMBER(SEARCH("[B]",INDEX($C14:$G14,$W14))),"B","-"))))</f>
        <v/>
      </c>
      <c r="BM14">
        <f>IF($X14="","",IF(INDEX($C14:$G14,$X14)="","",IF(ISNUMBER(SEARCH("[A]",INDEX($C14:$G14,$X14))),"A",IF(ISNUMBER(SEARCH("[B]",INDEX($C14:$G14,$X14))),"B","-"))))</f>
        <v/>
      </c>
      <c r="BN14">
        <f>IF($Y14="","",IF(INDEX($C14:$G14,$Y14)="","",IF(ISNUMBER(SEARCH("[A]",INDEX($C14:$G14,$Y14))),"A",IF(ISNUMBER(SEARCH("[B]",INDEX($C14:$G14,$Y14))),"B","-"))))</f>
        <v/>
      </c>
      <c r="BO14">
        <f>IF($Z14="","",IF(INDEX($C14:$G14,$Z14)="","",IF(ISNUMBER(SEARCH("[A]",INDEX($C14:$G14,$Z14))),"A",IF(ISNUMBER(SEARCH("[B]",INDEX($C14:$G14,$Z14))),"B","-"))))</f>
        <v/>
      </c>
      <c r="BP14">
        <f>IF($AA14="","",IF(INDEX($C14:$G14,$AA14)="","",IF(ISNUMBER(SEARCH("[A]",INDEX($C14:$G14,$AA14))),"A",IF(ISNUMBER(SEARCH("[B]",INDEX($C14:$G14,$AA14))),"B","-"))))</f>
        <v/>
      </c>
      <c r="BQ14">
        <f>IF($AB14="","",IF(INDEX($C14:$G14,$AB14)="","",IF(ISNUMBER(SEARCH("[A]",INDEX($C14:$G14,$AB14))),"A",IF(ISNUMBER(SEARCH("[B]",INDEX($C14:$G14,$AB14))),"B","-"))))</f>
        <v/>
      </c>
      <c r="BR14">
        <f>IF($AC14="","",IF(INDEX($C14:$G14,$AC14)="","",IF(ISNUMBER(SEARCH("[A]",INDEX($C14:$G14,$AC14))),"A",IF(ISNUMBER(SEARCH("[B]",INDEX($C14:$G14,$AC14))),"B","-"))))</f>
        <v/>
      </c>
    </row>
    <row r="15" ht="30" customHeight="1" s="1">
      <c r="A15" s="24" t="inlineStr">
        <is>
          <t>분리</t>
        </is>
      </c>
      <c r="B15" s="40" t="inlineStr">
        <is>
          <t>[재회] 반응 방식</t>
        </is>
      </c>
      <c r="C15" s="26" t="inlineStr">
        <is>
          <t>반갑게 맞이한 뒤 금방 안정</t>
        </is>
      </c>
      <c r="D15" s="26" t="inlineStr">
        <is>
          <t>다가오나 머뭇거림 [A]</t>
        </is>
      </c>
      <c r="E15" s="26" t="inlineStr">
        <is>
          <t>무덤덤·딴 곳으로 감 [B]</t>
        </is>
      </c>
      <c r="F15" s="26" t="inlineStr">
        <is>
          <t>과흥분·점프·매달림 지속 [A]</t>
        </is>
      </c>
      <c r="G15" s="26" t="inlineStr">
        <is>
          <t>본체만체·다가오지 않음 [B]</t>
        </is>
      </c>
      <c r="H15" s="24" t="inlineStr">
        <is>
          <t>친밀·애착</t>
        </is>
      </c>
      <c r="I15" s="27" t="inlineStr">
        <is>
          <t>★</t>
        </is>
      </c>
      <c r="J15" s="21" t="n"/>
      <c r="K15" s="22" t="n"/>
      <c r="L15" s="22" t="n"/>
      <c r="M15" s="22" t="n"/>
      <c r="N15" s="22" t="n"/>
      <c r="O15" s="22" t="n"/>
      <c r="P15" s="22" t="n"/>
      <c r="Q15" s="22" t="n"/>
      <c r="R15" s="22" t="n"/>
      <c r="S15" s="22" t="n"/>
      <c r="T15" s="22" t="n"/>
      <c r="U15" s="22" t="n"/>
      <c r="V15" s="22" t="n"/>
      <c r="W15" s="22" t="n"/>
      <c r="X15" s="22" t="n"/>
      <c r="Y15" s="22" t="n"/>
      <c r="Z15" s="22" t="n"/>
      <c r="AA15" s="22" t="n"/>
      <c r="AB15" s="22" t="n"/>
      <c r="AC15" s="22" t="n"/>
      <c r="AD15" t="inlineStr">
        <is>
          <t>ATT</t>
        </is>
      </c>
      <c r="AE15">
        <f>IF($J15="","",IF(INDEX($C15:$G15,$J15)="","",$J15))</f>
        <v/>
      </c>
      <c r="AF15">
        <f>IF($K15="","",IF(INDEX($C15:$G15,$K15)="","",$K15))</f>
        <v/>
      </c>
      <c r="AG15">
        <f>IF($L15="","",IF(INDEX($C15:$G15,$L15)="","",$L15))</f>
        <v/>
      </c>
      <c r="AH15">
        <f>IF($M15="","",IF(INDEX($C15:$G15,$M15)="","",$M15))</f>
        <v/>
      </c>
      <c r="AI15">
        <f>IF($N15="","",IF(INDEX($C15:$G15,$N15)="","",$N15))</f>
        <v/>
      </c>
      <c r="AJ15">
        <f>IF($O15="","",IF(INDEX($C15:$G15,$O15)="","",$O15))</f>
        <v/>
      </c>
      <c r="AK15">
        <f>IF($P15="","",IF(INDEX($C15:$G15,$P15)="","",$P15))</f>
        <v/>
      </c>
      <c r="AL15">
        <f>IF($Q15="","",IF(INDEX($C15:$G15,$Q15)="","",$Q15))</f>
        <v/>
      </c>
      <c r="AM15">
        <f>IF($R15="","",IF(INDEX($C15:$G15,$R15)="","",$R15))</f>
        <v/>
      </c>
      <c r="AN15">
        <f>IF($S15="","",IF(INDEX($C15:$G15,$S15)="","",$S15))</f>
        <v/>
      </c>
      <c r="AO15">
        <f>IF($T15="","",IF(INDEX($C15:$G15,$T15)="","",$T15))</f>
        <v/>
      </c>
      <c r="AP15">
        <f>IF($U15="","",IF(INDEX($C15:$G15,$U15)="","",$U15))</f>
        <v/>
      </c>
      <c r="AQ15">
        <f>IF($V15="","",IF(INDEX($C15:$G15,$V15)="","",$V15))</f>
        <v/>
      </c>
      <c r="AR15">
        <f>IF($W15="","",IF(INDEX($C15:$G15,$W15)="","",$W15))</f>
        <v/>
      </c>
      <c r="AS15">
        <f>IF($X15="","",IF(INDEX($C15:$G15,$X15)="","",$X15))</f>
        <v/>
      </c>
      <c r="AT15">
        <f>IF($Y15="","",IF(INDEX($C15:$G15,$Y15)="","",$Y15))</f>
        <v/>
      </c>
      <c r="AU15">
        <f>IF($Z15="","",IF(INDEX($C15:$G15,$Z15)="","",$Z15))</f>
        <v/>
      </c>
      <c r="AV15">
        <f>IF($AA15="","",IF(INDEX($C15:$G15,$AA15)="","",$AA15))</f>
        <v/>
      </c>
      <c r="AW15">
        <f>IF($AB15="","",IF(INDEX($C15:$G15,$AB15)="","",$AB15))</f>
        <v/>
      </c>
      <c r="AX15">
        <f>IF($AC15="","",IF(INDEX($C15:$G15,$AC15)="","",$AC15))</f>
        <v/>
      </c>
      <c r="AY15">
        <f>IF($J15="","",IF(INDEX($C15:$G15,$J15)="","",IF(ISNUMBER(SEARCH("[A]",INDEX($C15:$G15,$J15))),"A",IF(ISNUMBER(SEARCH("[B]",INDEX($C15:$G15,$J15))),"B","-"))))</f>
        <v/>
      </c>
      <c r="AZ15">
        <f>IF($K15="","",IF(INDEX($C15:$G15,$K15)="","",IF(ISNUMBER(SEARCH("[A]",INDEX($C15:$G15,$K15))),"A",IF(ISNUMBER(SEARCH("[B]",INDEX($C15:$G15,$K15))),"B","-"))))</f>
        <v/>
      </c>
      <c r="BA15">
        <f>IF($L15="","",IF(INDEX($C15:$G15,$L15)="","",IF(ISNUMBER(SEARCH("[A]",INDEX($C15:$G15,$L15))),"A",IF(ISNUMBER(SEARCH("[B]",INDEX($C15:$G15,$L15))),"B","-"))))</f>
        <v/>
      </c>
      <c r="BB15">
        <f>IF($M15="","",IF(INDEX($C15:$G15,$M15)="","",IF(ISNUMBER(SEARCH("[A]",INDEX($C15:$G15,$M15))),"A",IF(ISNUMBER(SEARCH("[B]",INDEX($C15:$G15,$M15))),"B","-"))))</f>
        <v/>
      </c>
      <c r="BC15">
        <f>IF($N15="","",IF(INDEX($C15:$G15,$N15)="","",IF(ISNUMBER(SEARCH("[A]",INDEX($C15:$G15,$N15))),"A",IF(ISNUMBER(SEARCH("[B]",INDEX($C15:$G15,$N15))),"B","-"))))</f>
        <v/>
      </c>
      <c r="BD15">
        <f>IF($O15="","",IF(INDEX($C15:$G15,$O15)="","",IF(ISNUMBER(SEARCH("[A]",INDEX($C15:$G15,$O15))),"A",IF(ISNUMBER(SEARCH("[B]",INDEX($C15:$G15,$O15))),"B","-"))))</f>
        <v/>
      </c>
      <c r="BE15">
        <f>IF($P15="","",IF(INDEX($C15:$G15,$P15)="","",IF(ISNUMBER(SEARCH("[A]",INDEX($C15:$G15,$P15))),"A",IF(ISNUMBER(SEARCH("[B]",INDEX($C15:$G15,$P15))),"B","-"))))</f>
        <v/>
      </c>
      <c r="BF15">
        <f>IF($Q15="","",IF(INDEX($C15:$G15,$Q15)="","",IF(ISNUMBER(SEARCH("[A]",INDEX($C15:$G15,$Q15))),"A",IF(ISNUMBER(SEARCH("[B]",INDEX($C15:$G15,$Q15))),"B","-"))))</f>
        <v/>
      </c>
      <c r="BG15">
        <f>IF($R15="","",IF(INDEX($C15:$G15,$R15)="","",IF(ISNUMBER(SEARCH("[A]",INDEX($C15:$G15,$R15))),"A",IF(ISNUMBER(SEARCH("[B]",INDEX($C15:$G15,$R15))),"B","-"))))</f>
        <v/>
      </c>
      <c r="BH15">
        <f>IF($S15="","",IF(INDEX($C15:$G15,$S15)="","",IF(ISNUMBER(SEARCH("[A]",INDEX($C15:$G15,$S15))),"A",IF(ISNUMBER(SEARCH("[B]",INDEX($C15:$G15,$S15))),"B","-"))))</f>
        <v/>
      </c>
      <c r="BI15">
        <f>IF($T15="","",IF(INDEX($C15:$G15,$T15)="","",IF(ISNUMBER(SEARCH("[A]",INDEX($C15:$G15,$T15))),"A",IF(ISNUMBER(SEARCH("[B]",INDEX($C15:$G15,$T15))),"B","-"))))</f>
        <v/>
      </c>
      <c r="BJ15">
        <f>IF($U15="","",IF(INDEX($C15:$G15,$U15)="","",IF(ISNUMBER(SEARCH("[A]",INDEX($C15:$G15,$U15))),"A",IF(ISNUMBER(SEARCH("[B]",INDEX($C15:$G15,$U15))),"B","-"))))</f>
        <v/>
      </c>
      <c r="BK15">
        <f>IF($V15="","",IF(INDEX($C15:$G15,$V15)="","",IF(ISNUMBER(SEARCH("[A]",INDEX($C15:$G15,$V15))),"A",IF(ISNUMBER(SEARCH("[B]",INDEX($C15:$G15,$V15))),"B","-"))))</f>
        <v/>
      </c>
      <c r="BL15">
        <f>IF($W15="","",IF(INDEX($C15:$G15,$W15)="","",IF(ISNUMBER(SEARCH("[A]",INDEX($C15:$G15,$W15))),"A",IF(ISNUMBER(SEARCH("[B]",INDEX($C15:$G15,$W15))),"B","-"))))</f>
        <v/>
      </c>
      <c r="BM15">
        <f>IF($X15="","",IF(INDEX($C15:$G15,$X15)="","",IF(ISNUMBER(SEARCH("[A]",INDEX($C15:$G15,$X15))),"A",IF(ISNUMBER(SEARCH("[B]",INDEX($C15:$G15,$X15))),"B","-"))))</f>
        <v/>
      </c>
      <c r="BN15">
        <f>IF($Y15="","",IF(INDEX($C15:$G15,$Y15)="","",IF(ISNUMBER(SEARCH("[A]",INDEX($C15:$G15,$Y15))),"A",IF(ISNUMBER(SEARCH("[B]",INDEX($C15:$G15,$Y15))),"B","-"))))</f>
        <v/>
      </c>
      <c r="BO15">
        <f>IF($Z15="","",IF(INDEX($C15:$G15,$Z15)="","",IF(ISNUMBER(SEARCH("[A]",INDEX($C15:$G15,$Z15))),"A",IF(ISNUMBER(SEARCH("[B]",INDEX($C15:$G15,$Z15))),"B","-"))))</f>
        <v/>
      </c>
      <c r="BP15">
        <f>IF($AA15="","",IF(INDEX($C15:$G15,$AA15)="","",IF(ISNUMBER(SEARCH("[A]",INDEX($C15:$G15,$AA15))),"A",IF(ISNUMBER(SEARCH("[B]",INDEX($C15:$G15,$AA15))),"B","-"))))</f>
        <v/>
      </c>
      <c r="BQ15">
        <f>IF($AB15="","",IF(INDEX($C15:$G15,$AB15)="","",IF(ISNUMBER(SEARCH("[A]",INDEX($C15:$G15,$AB15))),"A",IF(ISNUMBER(SEARCH("[B]",INDEX($C15:$G15,$AB15))),"B","-"))))</f>
        <v/>
      </c>
      <c r="BR15">
        <f>IF($AC15="","",IF(INDEX($C15:$G15,$AC15)="","",IF(ISNUMBER(SEARCH("[A]",INDEX($C15:$G15,$AC15))),"A",IF(ISNUMBER(SEARCH("[B]",INDEX($C15:$G15,$AC15))),"B","-"))))</f>
        <v/>
      </c>
    </row>
    <row r="16" ht="30" customHeight="1" s="1">
      <c r="A16" s="24" t="inlineStr">
        <is>
          <t>분리</t>
        </is>
      </c>
      <c r="B16" s="40" t="inlineStr">
        <is>
          <t>[재회] 진정에 걸린 시간</t>
        </is>
      </c>
      <c r="C16" s="28" t="inlineStr">
        <is>
          <t>5초 이내</t>
        </is>
      </c>
      <c r="D16" s="28" t="inlineStr">
        <is>
          <t>5~15초 [A]</t>
        </is>
      </c>
      <c r="E16" s="28" t="inlineStr">
        <is>
          <t>15~20초 [A]</t>
        </is>
      </c>
      <c r="F16" s="19" t="n"/>
      <c r="G16" s="28" t="inlineStr">
        <is>
          <t>20초 안에 안정 실패 [A]</t>
        </is>
      </c>
      <c r="H16" s="24" t="inlineStr">
        <is>
          <t>친밀·애착</t>
        </is>
      </c>
      <c r="I16" s="27" t="inlineStr">
        <is>
          <t>★</t>
        </is>
      </c>
      <c r="J16" s="21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  <c r="AA16" s="22" t="n"/>
      <c r="AB16" s="22" t="n"/>
      <c r="AC16" s="22" t="n"/>
      <c r="AD16" t="inlineStr">
        <is>
          <t>ATT</t>
        </is>
      </c>
      <c r="AE16">
        <f>IF($J16="","",IF(INDEX($C16:$G16,$J16)="","",$J16))</f>
        <v/>
      </c>
      <c r="AF16">
        <f>IF($K16="","",IF(INDEX($C16:$G16,$K16)="","",$K16))</f>
        <v/>
      </c>
      <c r="AG16">
        <f>IF($L16="","",IF(INDEX($C16:$G16,$L16)="","",$L16))</f>
        <v/>
      </c>
      <c r="AH16">
        <f>IF($M16="","",IF(INDEX($C16:$G16,$M16)="","",$M16))</f>
        <v/>
      </c>
      <c r="AI16">
        <f>IF($N16="","",IF(INDEX($C16:$G16,$N16)="","",$N16))</f>
        <v/>
      </c>
      <c r="AJ16">
        <f>IF($O16="","",IF(INDEX($C16:$G16,$O16)="","",$O16))</f>
        <v/>
      </c>
      <c r="AK16">
        <f>IF($P16="","",IF(INDEX($C16:$G16,$P16)="","",$P16))</f>
        <v/>
      </c>
      <c r="AL16">
        <f>IF($Q16="","",IF(INDEX($C16:$G16,$Q16)="","",$Q16))</f>
        <v/>
      </c>
      <c r="AM16">
        <f>IF($R16="","",IF(INDEX($C16:$G16,$R16)="","",$R16))</f>
        <v/>
      </c>
      <c r="AN16">
        <f>IF($S16="","",IF(INDEX($C16:$G16,$S16)="","",$S16))</f>
        <v/>
      </c>
      <c r="AO16">
        <f>IF($T16="","",IF(INDEX($C16:$G16,$T16)="","",$T16))</f>
        <v/>
      </c>
      <c r="AP16">
        <f>IF($U16="","",IF(INDEX($C16:$G16,$U16)="","",$U16))</f>
        <v/>
      </c>
      <c r="AQ16">
        <f>IF($V16="","",IF(INDEX($C16:$G16,$V16)="","",$V16))</f>
        <v/>
      </c>
      <c r="AR16">
        <f>IF($W16="","",IF(INDEX($C16:$G16,$W16)="","",$W16))</f>
        <v/>
      </c>
      <c r="AS16">
        <f>IF($X16="","",IF(INDEX($C16:$G16,$X16)="","",$X16))</f>
        <v/>
      </c>
      <c r="AT16">
        <f>IF($Y16="","",IF(INDEX($C16:$G16,$Y16)="","",$Y16))</f>
        <v/>
      </c>
      <c r="AU16">
        <f>IF($Z16="","",IF(INDEX($C16:$G16,$Z16)="","",$Z16))</f>
        <v/>
      </c>
      <c r="AV16">
        <f>IF($AA16="","",IF(INDEX($C16:$G16,$AA16)="","",$AA16))</f>
        <v/>
      </c>
      <c r="AW16">
        <f>IF($AB16="","",IF(INDEX($C16:$G16,$AB16)="","",$AB16))</f>
        <v/>
      </c>
      <c r="AX16">
        <f>IF($AC16="","",IF(INDEX($C16:$G16,$AC16)="","",$AC16))</f>
        <v/>
      </c>
      <c r="AY16">
        <f>IF($J16="","",IF(INDEX($C16:$G16,$J16)="","",IF(ISNUMBER(SEARCH("[A]",INDEX($C16:$G16,$J16))),"A",IF(ISNUMBER(SEARCH("[B]",INDEX($C16:$G16,$J16))),"B","-"))))</f>
        <v/>
      </c>
      <c r="AZ16">
        <f>IF($K16="","",IF(INDEX($C16:$G16,$K16)="","",IF(ISNUMBER(SEARCH("[A]",INDEX($C16:$G16,$K16))),"A",IF(ISNUMBER(SEARCH("[B]",INDEX($C16:$G16,$K16))),"B","-"))))</f>
        <v/>
      </c>
      <c r="BA16">
        <f>IF($L16="","",IF(INDEX($C16:$G16,$L16)="","",IF(ISNUMBER(SEARCH("[A]",INDEX($C16:$G16,$L16))),"A",IF(ISNUMBER(SEARCH("[B]",INDEX($C16:$G16,$L16))),"B","-"))))</f>
        <v/>
      </c>
      <c r="BB16">
        <f>IF($M16="","",IF(INDEX($C16:$G16,$M16)="","",IF(ISNUMBER(SEARCH("[A]",INDEX($C16:$G16,$M16))),"A",IF(ISNUMBER(SEARCH("[B]",INDEX($C16:$G16,$M16))),"B","-"))))</f>
        <v/>
      </c>
      <c r="BC16">
        <f>IF($N16="","",IF(INDEX($C16:$G16,$N16)="","",IF(ISNUMBER(SEARCH("[A]",INDEX($C16:$G16,$N16))),"A",IF(ISNUMBER(SEARCH("[B]",INDEX($C16:$G16,$N16))),"B","-"))))</f>
        <v/>
      </c>
      <c r="BD16">
        <f>IF($O16="","",IF(INDEX($C16:$G16,$O16)="","",IF(ISNUMBER(SEARCH("[A]",INDEX($C16:$G16,$O16))),"A",IF(ISNUMBER(SEARCH("[B]",INDEX($C16:$G16,$O16))),"B","-"))))</f>
        <v/>
      </c>
      <c r="BE16">
        <f>IF($P16="","",IF(INDEX($C16:$G16,$P16)="","",IF(ISNUMBER(SEARCH("[A]",INDEX($C16:$G16,$P16))),"A",IF(ISNUMBER(SEARCH("[B]",INDEX($C16:$G16,$P16))),"B","-"))))</f>
        <v/>
      </c>
      <c r="BF16">
        <f>IF($Q16="","",IF(INDEX($C16:$G16,$Q16)="","",IF(ISNUMBER(SEARCH("[A]",INDEX($C16:$G16,$Q16))),"A",IF(ISNUMBER(SEARCH("[B]",INDEX($C16:$G16,$Q16))),"B","-"))))</f>
        <v/>
      </c>
      <c r="BG16">
        <f>IF($R16="","",IF(INDEX($C16:$G16,$R16)="","",IF(ISNUMBER(SEARCH("[A]",INDEX($C16:$G16,$R16))),"A",IF(ISNUMBER(SEARCH("[B]",INDEX($C16:$G16,$R16))),"B","-"))))</f>
        <v/>
      </c>
      <c r="BH16">
        <f>IF($S16="","",IF(INDEX($C16:$G16,$S16)="","",IF(ISNUMBER(SEARCH("[A]",INDEX($C16:$G16,$S16))),"A",IF(ISNUMBER(SEARCH("[B]",INDEX($C16:$G16,$S16))),"B","-"))))</f>
        <v/>
      </c>
      <c r="BI16">
        <f>IF($T16="","",IF(INDEX($C16:$G16,$T16)="","",IF(ISNUMBER(SEARCH("[A]",INDEX($C16:$G16,$T16))),"A",IF(ISNUMBER(SEARCH("[B]",INDEX($C16:$G16,$T16))),"B","-"))))</f>
        <v/>
      </c>
      <c r="BJ16">
        <f>IF($U16="","",IF(INDEX($C16:$G16,$U16)="","",IF(ISNUMBER(SEARCH("[A]",INDEX($C16:$G16,$U16))),"A",IF(ISNUMBER(SEARCH("[B]",INDEX($C16:$G16,$U16))),"B","-"))))</f>
        <v/>
      </c>
      <c r="BK16">
        <f>IF($V16="","",IF(INDEX($C16:$G16,$V16)="","",IF(ISNUMBER(SEARCH("[A]",INDEX($C16:$G16,$V16))),"A",IF(ISNUMBER(SEARCH("[B]",INDEX($C16:$G16,$V16))),"B","-"))))</f>
        <v/>
      </c>
      <c r="BL16">
        <f>IF($W16="","",IF(INDEX($C16:$G16,$W16)="","",IF(ISNUMBER(SEARCH("[A]",INDEX($C16:$G16,$W16))),"A",IF(ISNUMBER(SEARCH("[B]",INDEX($C16:$G16,$W16))),"B","-"))))</f>
        <v/>
      </c>
      <c r="BM16">
        <f>IF($X16="","",IF(INDEX($C16:$G16,$X16)="","",IF(ISNUMBER(SEARCH("[A]",INDEX($C16:$G16,$X16))),"A",IF(ISNUMBER(SEARCH("[B]",INDEX($C16:$G16,$X16))),"B","-"))))</f>
        <v/>
      </c>
      <c r="BN16">
        <f>IF($Y16="","",IF(INDEX($C16:$G16,$Y16)="","",IF(ISNUMBER(SEARCH("[A]",INDEX($C16:$G16,$Y16))),"A",IF(ISNUMBER(SEARCH("[B]",INDEX($C16:$G16,$Y16))),"B","-"))))</f>
        <v/>
      </c>
      <c r="BO16">
        <f>IF($Z16="","",IF(INDEX($C16:$G16,$Z16)="","",IF(ISNUMBER(SEARCH("[A]",INDEX($C16:$G16,$Z16))),"A",IF(ISNUMBER(SEARCH("[B]",INDEX($C16:$G16,$Z16))),"B","-"))))</f>
        <v/>
      </c>
      <c r="BP16">
        <f>IF($AA16="","",IF(INDEX($C16:$G16,$AA16)="","",IF(ISNUMBER(SEARCH("[A]",INDEX($C16:$G16,$AA16))),"A",IF(ISNUMBER(SEARCH("[B]",INDEX($C16:$G16,$AA16))),"B","-"))))</f>
        <v/>
      </c>
      <c r="BQ16">
        <f>IF($AB16="","",IF(INDEX($C16:$G16,$AB16)="","",IF(ISNUMBER(SEARCH("[A]",INDEX($C16:$G16,$AB16))),"A",IF(ISNUMBER(SEARCH("[B]",INDEX($C16:$G16,$AB16))),"B","-"))))</f>
        <v/>
      </c>
      <c r="BR16">
        <f>IF($AC16="","",IF(INDEX($C16:$G16,$AC16)="","",IF(ISNUMBER(SEARCH("[A]",INDEX($C16:$G16,$AC16))),"A",IF(ISNUMBER(SEARCH("[B]",INDEX($C16:$G16,$AC16))),"B","-"))))</f>
        <v/>
      </c>
    </row>
    <row r="17" ht="30" customHeight="1" s="1">
      <c r="A17" s="29" t="inlineStr">
        <is>
          <t>훈련</t>
        </is>
      </c>
      <c r="B17" s="30" t="inlineStr">
        <is>
          <t>지시① 앉아</t>
        </is>
      </c>
      <c r="C17" s="33" t="inlineStr">
        <is>
          <t>1회 지시로 수행</t>
        </is>
      </c>
      <c r="D17" s="33" t="inlineStr">
        <is>
          <t>2~3회 지시 후 수행 [B]</t>
        </is>
      </c>
      <c r="E17" s="33" t="inlineStr">
        <is>
          <t>4회 이상 지시해야 수행 [B]</t>
        </is>
      </c>
      <c r="F17" s="19" t="n"/>
      <c r="G17" s="31" t="inlineStr">
        <is>
          <t>미수행 [B]</t>
        </is>
      </c>
      <c r="H17" s="29" t="inlineStr">
        <is>
          <t>훈련 수행(개)</t>
        </is>
      </c>
      <c r="I17" s="32" t="n"/>
      <c r="J17" s="21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  <c r="AA17" s="22" t="n"/>
      <c r="AB17" s="22" t="n"/>
      <c r="AC17" s="22" t="n"/>
      <c r="AD17" t="inlineStr">
        <is>
          <t>TRN</t>
        </is>
      </c>
      <c r="AE17">
        <f>IF($J17="","",IF(INDEX($C17:$G17,$J17)="","",$J17))</f>
        <v/>
      </c>
      <c r="AF17">
        <f>IF($K17="","",IF(INDEX($C17:$G17,$K17)="","",$K17))</f>
        <v/>
      </c>
      <c r="AG17">
        <f>IF($L17="","",IF(INDEX($C17:$G17,$L17)="","",$L17))</f>
        <v/>
      </c>
      <c r="AH17">
        <f>IF($M17="","",IF(INDEX($C17:$G17,$M17)="","",$M17))</f>
        <v/>
      </c>
      <c r="AI17">
        <f>IF($N17="","",IF(INDEX($C17:$G17,$N17)="","",$N17))</f>
        <v/>
      </c>
      <c r="AJ17">
        <f>IF($O17="","",IF(INDEX($C17:$G17,$O17)="","",$O17))</f>
        <v/>
      </c>
      <c r="AK17">
        <f>IF($P17="","",IF(INDEX($C17:$G17,$P17)="","",$P17))</f>
        <v/>
      </c>
      <c r="AL17">
        <f>IF($Q17="","",IF(INDEX($C17:$G17,$Q17)="","",$Q17))</f>
        <v/>
      </c>
      <c r="AM17">
        <f>IF($R17="","",IF(INDEX($C17:$G17,$R17)="","",$R17))</f>
        <v/>
      </c>
      <c r="AN17">
        <f>IF($S17="","",IF(INDEX($C17:$G17,$S17)="","",$S17))</f>
        <v/>
      </c>
      <c r="AO17">
        <f>IF($T17="","",IF(INDEX($C17:$G17,$T17)="","",$T17))</f>
        <v/>
      </c>
      <c r="AP17">
        <f>IF($U17="","",IF(INDEX($C17:$G17,$U17)="","",$U17))</f>
        <v/>
      </c>
      <c r="AQ17">
        <f>IF($V17="","",IF(INDEX($C17:$G17,$V17)="","",$V17))</f>
        <v/>
      </c>
      <c r="AR17">
        <f>IF($W17="","",IF(INDEX($C17:$G17,$W17)="","",$W17))</f>
        <v/>
      </c>
      <c r="AS17">
        <f>IF($X17="","",IF(INDEX($C17:$G17,$X17)="","",$X17))</f>
        <v/>
      </c>
      <c r="AT17">
        <f>IF($Y17="","",IF(INDEX($C17:$G17,$Y17)="","",$Y17))</f>
        <v/>
      </c>
      <c r="AU17">
        <f>IF($Z17="","",IF(INDEX($C17:$G17,$Z17)="","",$Z17))</f>
        <v/>
      </c>
      <c r="AV17">
        <f>IF($AA17="","",IF(INDEX($C17:$G17,$AA17)="","",$AA17))</f>
        <v/>
      </c>
      <c r="AW17">
        <f>IF($AB17="","",IF(INDEX($C17:$G17,$AB17)="","",$AB17))</f>
        <v/>
      </c>
      <c r="AX17">
        <f>IF($AC17="","",IF(INDEX($C17:$G17,$AC17)="","",$AC17))</f>
        <v/>
      </c>
      <c r="AY17">
        <f>IF($J17="","",IF(INDEX($C17:$G17,$J17)="","",IF(ISNUMBER(SEARCH("[A]",INDEX($C17:$G17,$J17))),"A",IF(ISNUMBER(SEARCH("[B]",INDEX($C17:$G17,$J17))),"B","-"))))</f>
        <v/>
      </c>
      <c r="AZ17">
        <f>IF($K17="","",IF(INDEX($C17:$G17,$K17)="","",IF(ISNUMBER(SEARCH("[A]",INDEX($C17:$G17,$K17))),"A",IF(ISNUMBER(SEARCH("[B]",INDEX($C17:$G17,$K17))),"B","-"))))</f>
        <v/>
      </c>
      <c r="BA17">
        <f>IF($L17="","",IF(INDEX($C17:$G17,$L17)="","",IF(ISNUMBER(SEARCH("[A]",INDEX($C17:$G17,$L17))),"A",IF(ISNUMBER(SEARCH("[B]",INDEX($C17:$G17,$L17))),"B","-"))))</f>
        <v/>
      </c>
      <c r="BB17">
        <f>IF($M17="","",IF(INDEX($C17:$G17,$M17)="","",IF(ISNUMBER(SEARCH("[A]",INDEX($C17:$G17,$M17))),"A",IF(ISNUMBER(SEARCH("[B]",INDEX($C17:$G17,$M17))),"B","-"))))</f>
        <v/>
      </c>
      <c r="BC17">
        <f>IF($N17="","",IF(INDEX($C17:$G17,$N17)="","",IF(ISNUMBER(SEARCH("[A]",INDEX($C17:$G17,$N17))),"A",IF(ISNUMBER(SEARCH("[B]",INDEX($C17:$G17,$N17))),"B","-"))))</f>
        <v/>
      </c>
      <c r="BD17">
        <f>IF($O17="","",IF(INDEX($C17:$G17,$O17)="","",IF(ISNUMBER(SEARCH("[A]",INDEX($C17:$G17,$O17))),"A",IF(ISNUMBER(SEARCH("[B]",INDEX($C17:$G17,$O17))),"B","-"))))</f>
        <v/>
      </c>
      <c r="BE17">
        <f>IF($P17="","",IF(INDEX($C17:$G17,$P17)="","",IF(ISNUMBER(SEARCH("[A]",INDEX($C17:$G17,$P17))),"A",IF(ISNUMBER(SEARCH("[B]",INDEX($C17:$G17,$P17))),"B","-"))))</f>
        <v/>
      </c>
      <c r="BF17">
        <f>IF($Q17="","",IF(INDEX($C17:$G17,$Q17)="","",IF(ISNUMBER(SEARCH("[A]",INDEX($C17:$G17,$Q17))),"A",IF(ISNUMBER(SEARCH("[B]",INDEX($C17:$G17,$Q17))),"B","-"))))</f>
        <v/>
      </c>
      <c r="BG17">
        <f>IF($R17="","",IF(INDEX($C17:$G17,$R17)="","",IF(ISNUMBER(SEARCH("[A]",INDEX($C17:$G17,$R17))),"A",IF(ISNUMBER(SEARCH("[B]",INDEX($C17:$G17,$R17))),"B","-"))))</f>
        <v/>
      </c>
      <c r="BH17">
        <f>IF($S17="","",IF(INDEX($C17:$G17,$S17)="","",IF(ISNUMBER(SEARCH("[A]",INDEX($C17:$G17,$S17))),"A",IF(ISNUMBER(SEARCH("[B]",INDEX($C17:$G17,$S17))),"B","-"))))</f>
        <v/>
      </c>
      <c r="BI17">
        <f>IF($T17="","",IF(INDEX($C17:$G17,$T17)="","",IF(ISNUMBER(SEARCH("[A]",INDEX($C17:$G17,$T17))),"A",IF(ISNUMBER(SEARCH("[B]",INDEX($C17:$G17,$T17))),"B","-"))))</f>
        <v/>
      </c>
      <c r="BJ17">
        <f>IF($U17="","",IF(INDEX($C17:$G17,$U17)="","",IF(ISNUMBER(SEARCH("[A]",INDEX($C17:$G17,$U17))),"A",IF(ISNUMBER(SEARCH("[B]",INDEX($C17:$G17,$U17))),"B","-"))))</f>
        <v/>
      </c>
      <c r="BK17">
        <f>IF($V17="","",IF(INDEX($C17:$G17,$V17)="","",IF(ISNUMBER(SEARCH("[A]",INDEX($C17:$G17,$V17))),"A",IF(ISNUMBER(SEARCH("[B]",INDEX($C17:$G17,$V17))),"B","-"))))</f>
        <v/>
      </c>
      <c r="BL17">
        <f>IF($W17="","",IF(INDEX($C17:$G17,$W17)="","",IF(ISNUMBER(SEARCH("[A]",INDEX($C17:$G17,$W17))),"A",IF(ISNUMBER(SEARCH("[B]",INDEX($C17:$G17,$W17))),"B","-"))))</f>
        <v/>
      </c>
      <c r="BM17">
        <f>IF($X17="","",IF(INDEX($C17:$G17,$X17)="","",IF(ISNUMBER(SEARCH("[A]",INDEX($C17:$G17,$X17))),"A",IF(ISNUMBER(SEARCH("[B]",INDEX($C17:$G17,$X17))),"B","-"))))</f>
        <v/>
      </c>
      <c r="BN17">
        <f>IF($Y17="","",IF(INDEX($C17:$G17,$Y17)="","",IF(ISNUMBER(SEARCH("[A]",INDEX($C17:$G17,$Y17))),"A",IF(ISNUMBER(SEARCH("[B]",INDEX($C17:$G17,$Y17))),"B","-"))))</f>
        <v/>
      </c>
      <c r="BO17">
        <f>IF($Z17="","",IF(INDEX($C17:$G17,$Z17)="","",IF(ISNUMBER(SEARCH("[A]",INDEX($C17:$G17,$Z17))),"A",IF(ISNUMBER(SEARCH("[B]",INDEX($C17:$G17,$Z17))),"B","-"))))</f>
        <v/>
      </c>
      <c r="BP17">
        <f>IF($AA17="","",IF(INDEX($C17:$G17,$AA17)="","",IF(ISNUMBER(SEARCH("[A]",INDEX($C17:$G17,$AA17))),"A",IF(ISNUMBER(SEARCH("[B]",INDEX($C17:$G17,$AA17))),"B","-"))))</f>
        <v/>
      </c>
      <c r="BQ17">
        <f>IF($AB17="","",IF(INDEX($C17:$G17,$AB17)="","",IF(ISNUMBER(SEARCH("[A]",INDEX($C17:$G17,$AB17))),"A",IF(ISNUMBER(SEARCH("[B]",INDEX($C17:$G17,$AB17))),"B","-"))))</f>
        <v/>
      </c>
      <c r="BR17">
        <f>IF($AC17="","",IF(INDEX($C17:$G17,$AC17)="","",IF(ISNUMBER(SEARCH("[A]",INDEX($C17:$G17,$AC17))),"A",IF(ISNUMBER(SEARCH("[B]",INDEX($C17:$G17,$AC17))),"B","-"))))</f>
        <v/>
      </c>
    </row>
    <row r="18" ht="30" customHeight="1" s="1">
      <c r="A18" s="29" t="inlineStr">
        <is>
          <t>훈련</t>
        </is>
      </c>
      <c r="B18" s="30" t="inlineStr">
        <is>
          <t>지시③ 엎드려</t>
        </is>
      </c>
      <c r="C18" s="33" t="inlineStr">
        <is>
          <t>1회 지시로 수행</t>
        </is>
      </c>
      <c r="D18" s="33" t="inlineStr">
        <is>
          <t>2~3회 지시 후 수행 [B]</t>
        </is>
      </c>
      <c r="E18" s="33" t="inlineStr">
        <is>
          <t>4회 이상 지시해야 수행 [B]</t>
        </is>
      </c>
      <c r="F18" s="19" t="n"/>
      <c r="G18" s="31" t="inlineStr">
        <is>
          <t>미수행 [B]</t>
        </is>
      </c>
      <c r="H18" s="29" t="inlineStr">
        <is>
          <t>훈련 수행(개)</t>
        </is>
      </c>
      <c r="I18" s="32" t="n"/>
      <c r="J18" s="21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  <c r="AA18" s="22" t="n"/>
      <c r="AB18" s="22" t="n"/>
      <c r="AC18" s="22" t="n"/>
      <c r="AD18" t="inlineStr">
        <is>
          <t>TRN</t>
        </is>
      </c>
      <c r="AE18">
        <f>IF($J18="","",IF(INDEX($C18:$G18,$J18)="","",$J18))</f>
        <v/>
      </c>
      <c r="AF18">
        <f>IF($K18="","",IF(INDEX($C18:$G18,$K18)="","",$K18))</f>
        <v/>
      </c>
      <c r="AG18">
        <f>IF($L18="","",IF(INDEX($C18:$G18,$L18)="","",$L18))</f>
        <v/>
      </c>
      <c r="AH18">
        <f>IF($M18="","",IF(INDEX($C18:$G18,$M18)="","",$M18))</f>
        <v/>
      </c>
      <c r="AI18">
        <f>IF($N18="","",IF(INDEX($C18:$G18,$N18)="","",$N18))</f>
        <v/>
      </c>
      <c r="AJ18">
        <f>IF($O18="","",IF(INDEX($C18:$G18,$O18)="","",$O18))</f>
        <v/>
      </c>
      <c r="AK18">
        <f>IF($P18="","",IF(INDEX($C18:$G18,$P18)="","",$P18))</f>
        <v/>
      </c>
      <c r="AL18">
        <f>IF($Q18="","",IF(INDEX($C18:$G18,$Q18)="","",$Q18))</f>
        <v/>
      </c>
      <c r="AM18">
        <f>IF($R18="","",IF(INDEX($C18:$G18,$R18)="","",$R18))</f>
        <v/>
      </c>
      <c r="AN18">
        <f>IF($S18="","",IF(INDEX($C18:$G18,$S18)="","",$S18))</f>
        <v/>
      </c>
      <c r="AO18">
        <f>IF($T18="","",IF(INDEX($C18:$G18,$T18)="","",$T18))</f>
        <v/>
      </c>
      <c r="AP18">
        <f>IF($U18="","",IF(INDEX($C18:$G18,$U18)="","",$U18))</f>
        <v/>
      </c>
      <c r="AQ18">
        <f>IF($V18="","",IF(INDEX($C18:$G18,$V18)="","",$V18))</f>
        <v/>
      </c>
      <c r="AR18">
        <f>IF($W18="","",IF(INDEX($C18:$G18,$W18)="","",$W18))</f>
        <v/>
      </c>
      <c r="AS18">
        <f>IF($X18="","",IF(INDEX($C18:$G18,$X18)="","",$X18))</f>
        <v/>
      </c>
      <c r="AT18">
        <f>IF($Y18="","",IF(INDEX($C18:$G18,$Y18)="","",$Y18))</f>
        <v/>
      </c>
      <c r="AU18">
        <f>IF($Z18="","",IF(INDEX($C18:$G18,$Z18)="","",$Z18))</f>
        <v/>
      </c>
      <c r="AV18">
        <f>IF($AA18="","",IF(INDEX($C18:$G18,$AA18)="","",$AA18))</f>
        <v/>
      </c>
      <c r="AW18">
        <f>IF($AB18="","",IF(INDEX($C18:$G18,$AB18)="","",$AB18))</f>
        <v/>
      </c>
      <c r="AX18">
        <f>IF($AC18="","",IF(INDEX($C18:$G18,$AC18)="","",$AC18))</f>
        <v/>
      </c>
      <c r="AY18">
        <f>IF($J18="","",IF(INDEX($C18:$G18,$J18)="","",IF(ISNUMBER(SEARCH("[A]",INDEX($C18:$G18,$J18))),"A",IF(ISNUMBER(SEARCH("[B]",INDEX($C18:$G18,$J18))),"B","-"))))</f>
        <v/>
      </c>
      <c r="AZ18">
        <f>IF($K18="","",IF(INDEX($C18:$G18,$K18)="","",IF(ISNUMBER(SEARCH("[A]",INDEX($C18:$G18,$K18))),"A",IF(ISNUMBER(SEARCH("[B]",INDEX($C18:$G18,$K18))),"B","-"))))</f>
        <v/>
      </c>
      <c r="BA18">
        <f>IF($L18="","",IF(INDEX($C18:$G18,$L18)="","",IF(ISNUMBER(SEARCH("[A]",INDEX($C18:$G18,$L18))),"A",IF(ISNUMBER(SEARCH("[B]",INDEX($C18:$G18,$L18))),"B","-"))))</f>
        <v/>
      </c>
      <c r="BB18">
        <f>IF($M18="","",IF(INDEX($C18:$G18,$M18)="","",IF(ISNUMBER(SEARCH("[A]",INDEX($C18:$G18,$M18))),"A",IF(ISNUMBER(SEARCH("[B]",INDEX($C18:$G18,$M18))),"B","-"))))</f>
        <v/>
      </c>
      <c r="BC18">
        <f>IF($N18="","",IF(INDEX($C18:$G18,$N18)="","",IF(ISNUMBER(SEARCH("[A]",INDEX($C18:$G18,$N18))),"A",IF(ISNUMBER(SEARCH("[B]",INDEX($C18:$G18,$N18))),"B","-"))))</f>
        <v/>
      </c>
      <c r="BD18">
        <f>IF($O18="","",IF(INDEX($C18:$G18,$O18)="","",IF(ISNUMBER(SEARCH("[A]",INDEX($C18:$G18,$O18))),"A",IF(ISNUMBER(SEARCH("[B]",INDEX($C18:$G18,$O18))),"B","-"))))</f>
        <v/>
      </c>
      <c r="BE18">
        <f>IF($P18="","",IF(INDEX($C18:$G18,$P18)="","",IF(ISNUMBER(SEARCH("[A]",INDEX($C18:$G18,$P18))),"A",IF(ISNUMBER(SEARCH("[B]",INDEX($C18:$G18,$P18))),"B","-"))))</f>
        <v/>
      </c>
      <c r="BF18">
        <f>IF($Q18="","",IF(INDEX($C18:$G18,$Q18)="","",IF(ISNUMBER(SEARCH("[A]",INDEX($C18:$G18,$Q18))),"A",IF(ISNUMBER(SEARCH("[B]",INDEX($C18:$G18,$Q18))),"B","-"))))</f>
        <v/>
      </c>
      <c r="BG18">
        <f>IF($R18="","",IF(INDEX($C18:$G18,$R18)="","",IF(ISNUMBER(SEARCH("[A]",INDEX($C18:$G18,$R18))),"A",IF(ISNUMBER(SEARCH("[B]",INDEX($C18:$G18,$R18))),"B","-"))))</f>
        <v/>
      </c>
      <c r="BH18">
        <f>IF($S18="","",IF(INDEX($C18:$G18,$S18)="","",IF(ISNUMBER(SEARCH("[A]",INDEX($C18:$G18,$S18))),"A",IF(ISNUMBER(SEARCH("[B]",INDEX($C18:$G18,$S18))),"B","-"))))</f>
        <v/>
      </c>
      <c r="BI18">
        <f>IF($T18="","",IF(INDEX($C18:$G18,$T18)="","",IF(ISNUMBER(SEARCH("[A]",INDEX($C18:$G18,$T18))),"A",IF(ISNUMBER(SEARCH("[B]",INDEX($C18:$G18,$T18))),"B","-"))))</f>
        <v/>
      </c>
      <c r="BJ18">
        <f>IF($U18="","",IF(INDEX($C18:$G18,$U18)="","",IF(ISNUMBER(SEARCH("[A]",INDEX($C18:$G18,$U18))),"A",IF(ISNUMBER(SEARCH("[B]",INDEX($C18:$G18,$U18))),"B","-"))))</f>
        <v/>
      </c>
      <c r="BK18">
        <f>IF($V18="","",IF(INDEX($C18:$G18,$V18)="","",IF(ISNUMBER(SEARCH("[A]",INDEX($C18:$G18,$V18))),"A",IF(ISNUMBER(SEARCH("[B]",INDEX($C18:$G18,$V18))),"B","-"))))</f>
        <v/>
      </c>
      <c r="BL18">
        <f>IF($W18="","",IF(INDEX($C18:$G18,$W18)="","",IF(ISNUMBER(SEARCH("[A]",INDEX($C18:$G18,$W18))),"A",IF(ISNUMBER(SEARCH("[B]",INDEX($C18:$G18,$W18))),"B","-"))))</f>
        <v/>
      </c>
      <c r="BM18">
        <f>IF($X18="","",IF(INDEX($C18:$G18,$X18)="","",IF(ISNUMBER(SEARCH("[A]",INDEX($C18:$G18,$X18))),"A",IF(ISNUMBER(SEARCH("[B]",INDEX($C18:$G18,$X18))),"B","-"))))</f>
        <v/>
      </c>
      <c r="BN18">
        <f>IF($Y18="","",IF(INDEX($C18:$G18,$Y18)="","",IF(ISNUMBER(SEARCH("[A]",INDEX($C18:$G18,$Y18))),"A",IF(ISNUMBER(SEARCH("[B]",INDEX($C18:$G18,$Y18))),"B","-"))))</f>
        <v/>
      </c>
      <c r="BO18">
        <f>IF($Z18="","",IF(INDEX($C18:$G18,$Z18)="","",IF(ISNUMBER(SEARCH("[A]",INDEX($C18:$G18,$Z18))),"A",IF(ISNUMBER(SEARCH("[B]",INDEX($C18:$G18,$Z18))),"B","-"))))</f>
        <v/>
      </c>
      <c r="BP18">
        <f>IF($AA18="","",IF(INDEX($C18:$G18,$AA18)="","",IF(ISNUMBER(SEARCH("[A]",INDEX($C18:$G18,$AA18))),"A",IF(ISNUMBER(SEARCH("[B]",INDEX($C18:$G18,$AA18))),"B","-"))))</f>
        <v/>
      </c>
      <c r="BQ18">
        <f>IF($AB18="","",IF(INDEX($C18:$G18,$AB18)="","",IF(ISNUMBER(SEARCH("[A]",INDEX($C18:$G18,$AB18))),"A",IF(ISNUMBER(SEARCH("[B]",INDEX($C18:$G18,$AB18))),"B","-"))))</f>
        <v/>
      </c>
      <c r="BR18">
        <f>IF($AC18="","",IF(INDEX($C18:$G18,$AC18)="","",IF(ISNUMBER(SEARCH("[A]",INDEX($C18:$G18,$AC18))),"A",IF(ISNUMBER(SEARCH("[B]",INDEX($C18:$G18,$AC18))),"B","-"))))</f>
        <v/>
      </c>
    </row>
    <row r="19" ht="30" customHeight="1" s="1">
      <c r="A19" s="29" t="inlineStr">
        <is>
          <t>훈련</t>
        </is>
      </c>
      <c r="B19" s="30" t="inlineStr">
        <is>
          <t>지시④ 앉아</t>
        </is>
      </c>
      <c r="C19" s="33" t="inlineStr">
        <is>
          <t>1회 지시로 수행</t>
        </is>
      </c>
      <c r="D19" s="33" t="inlineStr">
        <is>
          <t>2~3회 지시 후 수행 [B]</t>
        </is>
      </c>
      <c r="E19" s="33" t="inlineStr">
        <is>
          <t>4회 이상 지시해야 수행 [B]</t>
        </is>
      </c>
      <c r="F19" s="19" t="n"/>
      <c r="G19" s="31" t="inlineStr">
        <is>
          <t>미수행 [B]</t>
        </is>
      </c>
      <c r="H19" s="29" t="inlineStr">
        <is>
          <t>훈련 수행(개)</t>
        </is>
      </c>
      <c r="I19" s="32" t="n"/>
      <c r="J19" s="21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  <c r="AA19" s="22" t="n"/>
      <c r="AB19" s="22" t="n"/>
      <c r="AC19" s="22" t="n"/>
      <c r="AD19" t="inlineStr">
        <is>
          <t>TRN</t>
        </is>
      </c>
      <c r="AE19">
        <f>IF($J19="","",IF(INDEX($C19:$G19,$J19)="","",$J19))</f>
        <v/>
      </c>
      <c r="AF19">
        <f>IF($K19="","",IF(INDEX($C19:$G19,$K19)="","",$K19))</f>
        <v/>
      </c>
      <c r="AG19">
        <f>IF($L19="","",IF(INDEX($C19:$G19,$L19)="","",$L19))</f>
        <v/>
      </c>
      <c r="AH19">
        <f>IF($M19="","",IF(INDEX($C19:$G19,$M19)="","",$M19))</f>
        <v/>
      </c>
      <c r="AI19">
        <f>IF($N19="","",IF(INDEX($C19:$G19,$N19)="","",$N19))</f>
        <v/>
      </c>
      <c r="AJ19">
        <f>IF($O19="","",IF(INDEX($C19:$G19,$O19)="","",$O19))</f>
        <v/>
      </c>
      <c r="AK19">
        <f>IF($P19="","",IF(INDEX($C19:$G19,$P19)="","",$P19))</f>
        <v/>
      </c>
      <c r="AL19">
        <f>IF($Q19="","",IF(INDEX($C19:$G19,$Q19)="","",$Q19))</f>
        <v/>
      </c>
      <c r="AM19">
        <f>IF($R19="","",IF(INDEX($C19:$G19,$R19)="","",$R19))</f>
        <v/>
      </c>
      <c r="AN19">
        <f>IF($S19="","",IF(INDEX($C19:$G19,$S19)="","",$S19))</f>
        <v/>
      </c>
      <c r="AO19">
        <f>IF($T19="","",IF(INDEX($C19:$G19,$T19)="","",$T19))</f>
        <v/>
      </c>
      <c r="AP19">
        <f>IF($U19="","",IF(INDEX($C19:$G19,$U19)="","",$U19))</f>
        <v/>
      </c>
      <c r="AQ19">
        <f>IF($V19="","",IF(INDEX($C19:$G19,$V19)="","",$V19))</f>
        <v/>
      </c>
      <c r="AR19">
        <f>IF($W19="","",IF(INDEX($C19:$G19,$W19)="","",$W19))</f>
        <v/>
      </c>
      <c r="AS19">
        <f>IF($X19="","",IF(INDEX($C19:$G19,$X19)="","",$X19))</f>
        <v/>
      </c>
      <c r="AT19">
        <f>IF($Y19="","",IF(INDEX($C19:$G19,$Y19)="","",$Y19))</f>
        <v/>
      </c>
      <c r="AU19">
        <f>IF($Z19="","",IF(INDEX($C19:$G19,$Z19)="","",$Z19))</f>
        <v/>
      </c>
      <c r="AV19">
        <f>IF($AA19="","",IF(INDEX($C19:$G19,$AA19)="","",$AA19))</f>
        <v/>
      </c>
      <c r="AW19">
        <f>IF($AB19="","",IF(INDEX($C19:$G19,$AB19)="","",$AB19))</f>
        <v/>
      </c>
      <c r="AX19">
        <f>IF($AC19="","",IF(INDEX($C19:$G19,$AC19)="","",$AC19))</f>
        <v/>
      </c>
      <c r="AY19">
        <f>IF($J19="","",IF(INDEX($C19:$G19,$J19)="","",IF(ISNUMBER(SEARCH("[A]",INDEX($C19:$G19,$J19))),"A",IF(ISNUMBER(SEARCH("[B]",INDEX($C19:$G19,$J19))),"B","-"))))</f>
        <v/>
      </c>
      <c r="AZ19">
        <f>IF($K19="","",IF(INDEX($C19:$G19,$K19)="","",IF(ISNUMBER(SEARCH("[A]",INDEX($C19:$G19,$K19))),"A",IF(ISNUMBER(SEARCH("[B]",INDEX($C19:$G19,$K19))),"B","-"))))</f>
        <v/>
      </c>
      <c r="BA19">
        <f>IF($L19="","",IF(INDEX($C19:$G19,$L19)="","",IF(ISNUMBER(SEARCH("[A]",INDEX($C19:$G19,$L19))),"A",IF(ISNUMBER(SEARCH("[B]",INDEX($C19:$G19,$L19))),"B","-"))))</f>
        <v/>
      </c>
      <c r="BB19">
        <f>IF($M19="","",IF(INDEX($C19:$G19,$M19)="","",IF(ISNUMBER(SEARCH("[A]",INDEX($C19:$G19,$M19))),"A",IF(ISNUMBER(SEARCH("[B]",INDEX($C19:$G19,$M19))),"B","-"))))</f>
        <v/>
      </c>
      <c r="BC19">
        <f>IF($N19="","",IF(INDEX($C19:$G19,$N19)="","",IF(ISNUMBER(SEARCH("[A]",INDEX($C19:$G19,$N19))),"A",IF(ISNUMBER(SEARCH("[B]",INDEX($C19:$G19,$N19))),"B","-"))))</f>
        <v/>
      </c>
      <c r="BD19">
        <f>IF($O19="","",IF(INDEX($C19:$G19,$O19)="","",IF(ISNUMBER(SEARCH("[A]",INDEX($C19:$G19,$O19))),"A",IF(ISNUMBER(SEARCH("[B]",INDEX($C19:$G19,$O19))),"B","-"))))</f>
        <v/>
      </c>
      <c r="BE19">
        <f>IF($P19="","",IF(INDEX($C19:$G19,$P19)="","",IF(ISNUMBER(SEARCH("[A]",INDEX($C19:$G19,$P19))),"A",IF(ISNUMBER(SEARCH("[B]",INDEX($C19:$G19,$P19))),"B","-"))))</f>
        <v/>
      </c>
      <c r="BF19">
        <f>IF($Q19="","",IF(INDEX($C19:$G19,$Q19)="","",IF(ISNUMBER(SEARCH("[A]",INDEX($C19:$G19,$Q19))),"A",IF(ISNUMBER(SEARCH("[B]",INDEX($C19:$G19,$Q19))),"B","-"))))</f>
        <v/>
      </c>
      <c r="BG19">
        <f>IF($R19="","",IF(INDEX($C19:$G19,$R19)="","",IF(ISNUMBER(SEARCH("[A]",INDEX($C19:$G19,$R19))),"A",IF(ISNUMBER(SEARCH("[B]",INDEX($C19:$G19,$R19))),"B","-"))))</f>
        <v/>
      </c>
      <c r="BH19">
        <f>IF($S19="","",IF(INDEX($C19:$G19,$S19)="","",IF(ISNUMBER(SEARCH("[A]",INDEX($C19:$G19,$S19))),"A",IF(ISNUMBER(SEARCH("[B]",INDEX($C19:$G19,$S19))),"B","-"))))</f>
        <v/>
      </c>
      <c r="BI19">
        <f>IF($T19="","",IF(INDEX($C19:$G19,$T19)="","",IF(ISNUMBER(SEARCH("[A]",INDEX($C19:$G19,$T19))),"A",IF(ISNUMBER(SEARCH("[B]",INDEX($C19:$G19,$T19))),"B","-"))))</f>
        <v/>
      </c>
      <c r="BJ19">
        <f>IF($U19="","",IF(INDEX($C19:$G19,$U19)="","",IF(ISNUMBER(SEARCH("[A]",INDEX($C19:$G19,$U19))),"A",IF(ISNUMBER(SEARCH("[B]",INDEX($C19:$G19,$U19))),"B","-"))))</f>
        <v/>
      </c>
      <c r="BK19">
        <f>IF($V19="","",IF(INDEX($C19:$G19,$V19)="","",IF(ISNUMBER(SEARCH("[A]",INDEX($C19:$G19,$V19))),"A",IF(ISNUMBER(SEARCH("[B]",INDEX($C19:$G19,$V19))),"B","-"))))</f>
        <v/>
      </c>
      <c r="BL19">
        <f>IF($W19="","",IF(INDEX($C19:$G19,$W19)="","",IF(ISNUMBER(SEARCH("[A]",INDEX($C19:$G19,$W19))),"A",IF(ISNUMBER(SEARCH("[B]",INDEX($C19:$G19,$W19))),"B","-"))))</f>
        <v/>
      </c>
      <c r="BM19">
        <f>IF($X19="","",IF(INDEX($C19:$G19,$X19)="","",IF(ISNUMBER(SEARCH("[A]",INDEX($C19:$G19,$X19))),"A",IF(ISNUMBER(SEARCH("[B]",INDEX($C19:$G19,$X19))),"B","-"))))</f>
        <v/>
      </c>
      <c r="BN19">
        <f>IF($Y19="","",IF(INDEX($C19:$G19,$Y19)="","",IF(ISNUMBER(SEARCH("[A]",INDEX($C19:$G19,$Y19))),"A",IF(ISNUMBER(SEARCH("[B]",INDEX($C19:$G19,$Y19))),"B","-"))))</f>
        <v/>
      </c>
      <c r="BO19">
        <f>IF($Z19="","",IF(INDEX($C19:$G19,$Z19)="","",IF(ISNUMBER(SEARCH("[A]",INDEX($C19:$G19,$Z19))),"A",IF(ISNUMBER(SEARCH("[B]",INDEX($C19:$G19,$Z19))),"B","-"))))</f>
        <v/>
      </c>
      <c r="BP19">
        <f>IF($AA19="","",IF(INDEX($C19:$G19,$AA19)="","",IF(ISNUMBER(SEARCH("[A]",INDEX($C19:$G19,$AA19))),"A",IF(ISNUMBER(SEARCH("[B]",INDEX($C19:$G19,$AA19))),"B","-"))))</f>
        <v/>
      </c>
      <c r="BQ19">
        <f>IF($AB19="","",IF(INDEX($C19:$G19,$AB19)="","",IF(ISNUMBER(SEARCH("[A]",INDEX($C19:$G19,$AB19))),"A",IF(ISNUMBER(SEARCH("[B]",INDEX($C19:$G19,$AB19))),"B","-"))))</f>
        <v/>
      </c>
      <c r="BR19">
        <f>IF($AC19="","",IF(INDEX($C19:$G19,$AC19)="","",IF(ISNUMBER(SEARCH("[A]",INDEX($C19:$G19,$AC19))),"A",IF(ISNUMBER(SEARCH("[B]",INDEX($C19:$G19,$AC19))),"B","-"))))</f>
        <v/>
      </c>
    </row>
    <row r="20" ht="30" customHeight="1" s="1">
      <c r="A20" s="29" t="inlineStr">
        <is>
          <t>훈련</t>
        </is>
      </c>
      <c r="B20" s="30" t="inlineStr">
        <is>
          <t>훈련 중 집중 상태</t>
        </is>
      </c>
      <c r="C20" s="33" t="inlineStr">
        <is>
          <t>보호자 방향 유지·차분히 기다림</t>
        </is>
      </c>
      <c r="D20" s="33" t="inlineStr">
        <is>
          <t>시선이 자주 다른 곳으로 [B]</t>
        </is>
      </c>
      <c r="E20" s="33" t="inlineStr">
        <is>
          <t>반응 없음·움직이지 않음 [B]</t>
        </is>
      </c>
      <c r="F20" s="19" t="inlineStr">
        <is>
          <t>흥분해 뛰어오름·돌아다님 [A]</t>
        </is>
      </c>
      <c r="G20" s="31" t="inlineStr">
        <is>
          <t>보호자에게서 멀어짐·피함 [B]</t>
        </is>
      </c>
      <c r="H20" s="29" t="inlineStr">
        <is>
          <t>훈련 수행(개)</t>
        </is>
      </c>
      <c r="I20" s="32" t="inlineStr">
        <is>
          <t>★</t>
        </is>
      </c>
      <c r="J20" s="21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  <c r="AA20" s="22" t="n"/>
      <c r="AB20" s="22" t="n"/>
      <c r="AC20" s="22" t="n"/>
      <c r="AD20" t="inlineStr">
        <is>
          <t>TRN</t>
        </is>
      </c>
      <c r="AE20">
        <f>IF($J20="","",IF(INDEX($C20:$G20,$J20)="","",$J20))</f>
        <v/>
      </c>
      <c r="AF20">
        <f>IF($K20="","",IF(INDEX($C20:$G20,$K20)="","",$K20))</f>
        <v/>
      </c>
      <c r="AG20">
        <f>IF($L20="","",IF(INDEX($C20:$G20,$L20)="","",$L20))</f>
        <v/>
      </c>
      <c r="AH20">
        <f>IF($M20="","",IF(INDEX($C20:$G20,$M20)="","",$M20))</f>
        <v/>
      </c>
      <c r="AI20">
        <f>IF($N20="","",IF(INDEX($C20:$G20,$N20)="","",$N20))</f>
        <v/>
      </c>
      <c r="AJ20">
        <f>IF($O20="","",IF(INDEX($C20:$G20,$O20)="","",$O20))</f>
        <v/>
      </c>
      <c r="AK20">
        <f>IF($P20="","",IF(INDEX($C20:$G20,$P20)="","",$P20))</f>
        <v/>
      </c>
      <c r="AL20">
        <f>IF($Q20="","",IF(INDEX($C20:$G20,$Q20)="","",$Q20))</f>
        <v/>
      </c>
      <c r="AM20">
        <f>IF($R20="","",IF(INDEX($C20:$G20,$R20)="","",$R20))</f>
        <v/>
      </c>
      <c r="AN20">
        <f>IF($S20="","",IF(INDEX($C20:$G20,$S20)="","",$S20))</f>
        <v/>
      </c>
      <c r="AO20">
        <f>IF($T20="","",IF(INDEX($C20:$G20,$T20)="","",$T20))</f>
        <v/>
      </c>
      <c r="AP20">
        <f>IF($U20="","",IF(INDEX($C20:$G20,$U20)="","",$U20))</f>
        <v/>
      </c>
      <c r="AQ20">
        <f>IF($V20="","",IF(INDEX($C20:$G20,$V20)="","",$V20))</f>
        <v/>
      </c>
      <c r="AR20">
        <f>IF($W20="","",IF(INDEX($C20:$G20,$W20)="","",$W20))</f>
        <v/>
      </c>
      <c r="AS20">
        <f>IF($X20="","",IF(INDEX($C20:$G20,$X20)="","",$X20))</f>
        <v/>
      </c>
      <c r="AT20">
        <f>IF($Y20="","",IF(INDEX($C20:$G20,$Y20)="","",$Y20))</f>
        <v/>
      </c>
      <c r="AU20">
        <f>IF($Z20="","",IF(INDEX($C20:$G20,$Z20)="","",$Z20))</f>
        <v/>
      </c>
      <c r="AV20">
        <f>IF($AA20="","",IF(INDEX($C20:$G20,$AA20)="","",$AA20))</f>
        <v/>
      </c>
      <c r="AW20">
        <f>IF($AB20="","",IF(INDEX($C20:$G20,$AB20)="","",$AB20))</f>
        <v/>
      </c>
      <c r="AX20">
        <f>IF($AC20="","",IF(INDEX($C20:$G20,$AC20)="","",$AC20))</f>
        <v/>
      </c>
      <c r="AY20">
        <f>IF($J20="","",IF(INDEX($C20:$G20,$J20)="","",IF(ISNUMBER(SEARCH("[A]",INDEX($C20:$G20,$J20))),"A",IF(ISNUMBER(SEARCH("[B]",INDEX($C20:$G20,$J20))),"B","-"))))</f>
        <v/>
      </c>
      <c r="AZ20">
        <f>IF($K20="","",IF(INDEX($C20:$G20,$K20)="","",IF(ISNUMBER(SEARCH("[A]",INDEX($C20:$G20,$K20))),"A",IF(ISNUMBER(SEARCH("[B]",INDEX($C20:$G20,$K20))),"B","-"))))</f>
        <v/>
      </c>
      <c r="BA20">
        <f>IF($L20="","",IF(INDEX($C20:$G20,$L20)="","",IF(ISNUMBER(SEARCH("[A]",INDEX($C20:$G20,$L20))),"A",IF(ISNUMBER(SEARCH("[B]",INDEX($C20:$G20,$L20))),"B","-"))))</f>
        <v/>
      </c>
      <c r="BB20">
        <f>IF($M20="","",IF(INDEX($C20:$G20,$M20)="","",IF(ISNUMBER(SEARCH("[A]",INDEX($C20:$G20,$M20))),"A",IF(ISNUMBER(SEARCH("[B]",INDEX($C20:$G20,$M20))),"B","-"))))</f>
        <v/>
      </c>
      <c r="BC20">
        <f>IF($N20="","",IF(INDEX($C20:$G20,$N20)="","",IF(ISNUMBER(SEARCH("[A]",INDEX($C20:$G20,$N20))),"A",IF(ISNUMBER(SEARCH("[B]",INDEX($C20:$G20,$N20))),"B","-"))))</f>
        <v/>
      </c>
      <c r="BD20">
        <f>IF($O20="","",IF(INDEX($C20:$G20,$O20)="","",IF(ISNUMBER(SEARCH("[A]",INDEX($C20:$G20,$O20))),"A",IF(ISNUMBER(SEARCH("[B]",INDEX($C20:$G20,$O20))),"B","-"))))</f>
        <v/>
      </c>
      <c r="BE20">
        <f>IF($P20="","",IF(INDEX($C20:$G20,$P20)="","",IF(ISNUMBER(SEARCH("[A]",INDEX($C20:$G20,$P20))),"A",IF(ISNUMBER(SEARCH("[B]",INDEX($C20:$G20,$P20))),"B","-"))))</f>
        <v/>
      </c>
      <c r="BF20">
        <f>IF($Q20="","",IF(INDEX($C20:$G20,$Q20)="","",IF(ISNUMBER(SEARCH("[A]",INDEX($C20:$G20,$Q20))),"A",IF(ISNUMBER(SEARCH("[B]",INDEX($C20:$G20,$Q20))),"B","-"))))</f>
        <v/>
      </c>
      <c r="BG20">
        <f>IF($R20="","",IF(INDEX($C20:$G20,$R20)="","",IF(ISNUMBER(SEARCH("[A]",INDEX($C20:$G20,$R20))),"A",IF(ISNUMBER(SEARCH("[B]",INDEX($C20:$G20,$R20))),"B","-"))))</f>
        <v/>
      </c>
      <c r="BH20">
        <f>IF($S20="","",IF(INDEX($C20:$G20,$S20)="","",IF(ISNUMBER(SEARCH("[A]",INDEX($C20:$G20,$S20))),"A",IF(ISNUMBER(SEARCH("[B]",INDEX($C20:$G20,$S20))),"B","-"))))</f>
        <v/>
      </c>
      <c r="BI20">
        <f>IF($T20="","",IF(INDEX($C20:$G20,$T20)="","",IF(ISNUMBER(SEARCH("[A]",INDEX($C20:$G20,$T20))),"A",IF(ISNUMBER(SEARCH("[B]",INDEX($C20:$G20,$T20))),"B","-"))))</f>
        <v/>
      </c>
      <c r="BJ20">
        <f>IF($U20="","",IF(INDEX($C20:$G20,$U20)="","",IF(ISNUMBER(SEARCH("[A]",INDEX($C20:$G20,$U20))),"A",IF(ISNUMBER(SEARCH("[B]",INDEX($C20:$G20,$U20))),"B","-"))))</f>
        <v/>
      </c>
      <c r="BK20">
        <f>IF($V20="","",IF(INDEX($C20:$G20,$V20)="","",IF(ISNUMBER(SEARCH("[A]",INDEX($C20:$G20,$V20))),"A",IF(ISNUMBER(SEARCH("[B]",INDEX($C20:$G20,$V20))),"B","-"))))</f>
        <v/>
      </c>
      <c r="BL20">
        <f>IF($W20="","",IF(INDEX($C20:$G20,$W20)="","",IF(ISNUMBER(SEARCH("[A]",INDEX($C20:$G20,$W20))),"A",IF(ISNUMBER(SEARCH("[B]",INDEX($C20:$G20,$W20))),"B","-"))))</f>
        <v/>
      </c>
      <c r="BM20">
        <f>IF($X20="","",IF(INDEX($C20:$G20,$X20)="","",IF(ISNUMBER(SEARCH("[A]",INDEX($C20:$G20,$X20))),"A",IF(ISNUMBER(SEARCH("[B]",INDEX($C20:$G20,$X20))),"B","-"))))</f>
        <v/>
      </c>
      <c r="BN20">
        <f>IF($Y20="","",IF(INDEX($C20:$G20,$Y20)="","",IF(ISNUMBER(SEARCH("[A]",INDEX($C20:$G20,$Y20))),"A",IF(ISNUMBER(SEARCH("[B]",INDEX($C20:$G20,$Y20))),"B","-"))))</f>
        <v/>
      </c>
      <c r="BO20">
        <f>IF($Z20="","",IF(INDEX($C20:$G20,$Z20)="","",IF(ISNUMBER(SEARCH("[A]",INDEX($C20:$G20,$Z20))),"A",IF(ISNUMBER(SEARCH("[B]",INDEX($C20:$G20,$Z20))),"B","-"))))</f>
        <v/>
      </c>
      <c r="BP20">
        <f>IF($AA20="","",IF(INDEX($C20:$G20,$AA20)="","",IF(ISNUMBER(SEARCH("[A]",INDEX($C20:$G20,$AA20))),"A",IF(ISNUMBER(SEARCH("[B]",INDEX($C20:$G20,$AA20))),"B","-"))))</f>
        <v/>
      </c>
      <c r="BQ20">
        <f>IF($AB20="","",IF(INDEX($C20:$G20,$AB20)="","",IF(ISNUMBER(SEARCH("[A]",INDEX($C20:$G20,$AB20))),"A",IF(ISNUMBER(SEARCH("[B]",INDEX($C20:$G20,$AB20))),"B","-"))))</f>
        <v/>
      </c>
      <c r="BR20">
        <f>IF($AC20="","",IF(INDEX($C20:$G20,$AC20)="","",IF(ISNUMBER(SEARCH("[A]",INDEX($C20:$G20,$AC20))),"A",IF(ISNUMBER(SEARCH("[B]",INDEX($C20:$G20,$AC20))),"B","-"))))</f>
        <v/>
      </c>
    </row>
    <row r="21" ht="30" customHeight="1" s="1">
      <c r="A21" s="29" t="inlineStr">
        <is>
          <t>훈련</t>
        </is>
      </c>
      <c r="B21" s="30" t="inlineStr">
        <is>
          <t>훈련성 흡수 (지시①→④ 변화)</t>
        </is>
      </c>
      <c r="C21" s="31" t="inlineStr">
        <is>
          <t>개선됨</t>
        </is>
      </c>
      <c r="D21" s="31" t="n"/>
      <c r="E21" s="31" t="inlineStr">
        <is>
          <t>동일 [B]</t>
        </is>
      </c>
      <c r="F21" s="31" t="n"/>
      <c r="G21" s="31" t="inlineStr">
        <is>
          <t>악화 [B]</t>
        </is>
      </c>
      <c r="H21" s="29" t="inlineStr">
        <is>
          <t>훈련 수행(개)</t>
        </is>
      </c>
      <c r="I21" s="32" t="inlineStr">
        <is>
          <t>★</t>
        </is>
      </c>
      <c r="J21" s="21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  <c r="AA21" s="22" t="n"/>
      <c r="AB21" s="22" t="n"/>
      <c r="AC21" s="22" t="n"/>
      <c r="AD21" t="inlineStr">
        <is>
          <t>TRN</t>
        </is>
      </c>
      <c r="AE21">
        <f>IF($J21="","",IF(INDEX($C21:$G21,$J21)="","",$J21))</f>
        <v/>
      </c>
      <c r="AF21">
        <f>IF($K21="","",IF(INDEX($C21:$G21,$K21)="","",$K21))</f>
        <v/>
      </c>
      <c r="AG21">
        <f>IF($L21="","",IF(INDEX($C21:$G21,$L21)="","",$L21))</f>
        <v/>
      </c>
      <c r="AH21">
        <f>IF($M21="","",IF(INDEX($C21:$G21,$M21)="","",$M21))</f>
        <v/>
      </c>
      <c r="AI21">
        <f>IF($N21="","",IF(INDEX($C21:$G21,$N21)="","",$N21))</f>
        <v/>
      </c>
      <c r="AJ21">
        <f>IF($O21="","",IF(INDEX($C21:$G21,$O21)="","",$O21))</f>
        <v/>
      </c>
      <c r="AK21">
        <f>IF($P21="","",IF(INDEX($C21:$G21,$P21)="","",$P21))</f>
        <v/>
      </c>
      <c r="AL21">
        <f>IF($Q21="","",IF(INDEX($C21:$G21,$Q21)="","",$Q21))</f>
        <v/>
      </c>
      <c r="AM21">
        <f>IF($R21="","",IF(INDEX($C21:$G21,$R21)="","",$R21))</f>
        <v/>
      </c>
      <c r="AN21">
        <f>IF($S21="","",IF(INDEX($C21:$G21,$S21)="","",$S21))</f>
        <v/>
      </c>
      <c r="AO21">
        <f>IF($T21="","",IF(INDEX($C21:$G21,$T21)="","",$T21))</f>
        <v/>
      </c>
      <c r="AP21">
        <f>IF($U21="","",IF(INDEX($C21:$G21,$U21)="","",$U21))</f>
        <v/>
      </c>
      <c r="AQ21">
        <f>IF($V21="","",IF(INDEX($C21:$G21,$V21)="","",$V21))</f>
        <v/>
      </c>
      <c r="AR21">
        <f>IF($W21="","",IF(INDEX($C21:$G21,$W21)="","",$W21))</f>
        <v/>
      </c>
      <c r="AS21">
        <f>IF($X21="","",IF(INDEX($C21:$G21,$X21)="","",$X21))</f>
        <v/>
      </c>
      <c r="AT21">
        <f>IF($Y21="","",IF(INDEX($C21:$G21,$Y21)="","",$Y21))</f>
        <v/>
      </c>
      <c r="AU21">
        <f>IF($Z21="","",IF(INDEX($C21:$G21,$Z21)="","",$Z21))</f>
        <v/>
      </c>
      <c r="AV21">
        <f>IF($AA21="","",IF(INDEX($C21:$G21,$AA21)="","",$AA21))</f>
        <v/>
      </c>
      <c r="AW21">
        <f>IF($AB21="","",IF(INDEX($C21:$G21,$AB21)="","",$AB21))</f>
        <v/>
      </c>
      <c r="AX21">
        <f>IF($AC21="","",IF(INDEX($C21:$G21,$AC21)="","",$AC21))</f>
        <v/>
      </c>
      <c r="AY21">
        <f>IF($J21="","",IF(INDEX($C21:$G21,$J21)="","",IF(ISNUMBER(SEARCH("[A]",INDEX($C21:$G21,$J21))),"A",IF(ISNUMBER(SEARCH("[B]",INDEX($C21:$G21,$J21))),"B","-"))))</f>
        <v/>
      </c>
      <c r="AZ21">
        <f>IF($K21="","",IF(INDEX($C21:$G21,$K21)="","",IF(ISNUMBER(SEARCH("[A]",INDEX($C21:$G21,$K21))),"A",IF(ISNUMBER(SEARCH("[B]",INDEX($C21:$G21,$K21))),"B","-"))))</f>
        <v/>
      </c>
      <c r="BA21">
        <f>IF($L21="","",IF(INDEX($C21:$G21,$L21)="","",IF(ISNUMBER(SEARCH("[A]",INDEX($C21:$G21,$L21))),"A",IF(ISNUMBER(SEARCH("[B]",INDEX($C21:$G21,$L21))),"B","-"))))</f>
        <v/>
      </c>
      <c r="BB21">
        <f>IF($M21="","",IF(INDEX($C21:$G21,$M21)="","",IF(ISNUMBER(SEARCH("[A]",INDEX($C21:$G21,$M21))),"A",IF(ISNUMBER(SEARCH("[B]",INDEX($C21:$G21,$M21))),"B","-"))))</f>
        <v/>
      </c>
      <c r="BC21">
        <f>IF($N21="","",IF(INDEX($C21:$G21,$N21)="","",IF(ISNUMBER(SEARCH("[A]",INDEX($C21:$G21,$N21))),"A",IF(ISNUMBER(SEARCH("[B]",INDEX($C21:$G21,$N21))),"B","-"))))</f>
        <v/>
      </c>
      <c r="BD21">
        <f>IF($O21="","",IF(INDEX($C21:$G21,$O21)="","",IF(ISNUMBER(SEARCH("[A]",INDEX($C21:$G21,$O21))),"A",IF(ISNUMBER(SEARCH("[B]",INDEX($C21:$G21,$O21))),"B","-"))))</f>
        <v/>
      </c>
      <c r="BE21">
        <f>IF($P21="","",IF(INDEX($C21:$G21,$P21)="","",IF(ISNUMBER(SEARCH("[A]",INDEX($C21:$G21,$P21))),"A",IF(ISNUMBER(SEARCH("[B]",INDEX($C21:$G21,$P21))),"B","-"))))</f>
        <v/>
      </c>
      <c r="BF21">
        <f>IF($Q21="","",IF(INDEX($C21:$G21,$Q21)="","",IF(ISNUMBER(SEARCH("[A]",INDEX($C21:$G21,$Q21))),"A",IF(ISNUMBER(SEARCH("[B]",INDEX($C21:$G21,$Q21))),"B","-"))))</f>
        <v/>
      </c>
      <c r="BG21">
        <f>IF($R21="","",IF(INDEX($C21:$G21,$R21)="","",IF(ISNUMBER(SEARCH("[A]",INDEX($C21:$G21,$R21))),"A",IF(ISNUMBER(SEARCH("[B]",INDEX($C21:$G21,$R21))),"B","-"))))</f>
        <v/>
      </c>
      <c r="BH21">
        <f>IF($S21="","",IF(INDEX($C21:$G21,$S21)="","",IF(ISNUMBER(SEARCH("[A]",INDEX($C21:$G21,$S21))),"A",IF(ISNUMBER(SEARCH("[B]",INDEX($C21:$G21,$S21))),"B","-"))))</f>
        <v/>
      </c>
      <c r="BI21">
        <f>IF($T21="","",IF(INDEX($C21:$G21,$T21)="","",IF(ISNUMBER(SEARCH("[A]",INDEX($C21:$G21,$T21))),"A",IF(ISNUMBER(SEARCH("[B]",INDEX($C21:$G21,$T21))),"B","-"))))</f>
        <v/>
      </c>
      <c r="BJ21">
        <f>IF($U21="","",IF(INDEX($C21:$G21,$U21)="","",IF(ISNUMBER(SEARCH("[A]",INDEX($C21:$G21,$U21))),"A",IF(ISNUMBER(SEARCH("[B]",INDEX($C21:$G21,$U21))),"B","-"))))</f>
        <v/>
      </c>
      <c r="BK21">
        <f>IF($V21="","",IF(INDEX($C21:$G21,$V21)="","",IF(ISNUMBER(SEARCH("[A]",INDEX($C21:$G21,$V21))),"A",IF(ISNUMBER(SEARCH("[B]",INDEX($C21:$G21,$V21))),"B","-"))))</f>
        <v/>
      </c>
      <c r="BL21">
        <f>IF($W21="","",IF(INDEX($C21:$G21,$W21)="","",IF(ISNUMBER(SEARCH("[A]",INDEX($C21:$G21,$W21))),"A",IF(ISNUMBER(SEARCH("[B]",INDEX($C21:$G21,$W21))),"B","-"))))</f>
        <v/>
      </c>
      <c r="BM21">
        <f>IF($X21="","",IF(INDEX($C21:$G21,$X21)="","",IF(ISNUMBER(SEARCH("[A]",INDEX($C21:$G21,$X21))),"A",IF(ISNUMBER(SEARCH("[B]",INDEX($C21:$G21,$X21))),"B","-"))))</f>
        <v/>
      </c>
      <c r="BN21">
        <f>IF($Y21="","",IF(INDEX($C21:$G21,$Y21)="","",IF(ISNUMBER(SEARCH("[A]",INDEX($C21:$G21,$Y21))),"A",IF(ISNUMBER(SEARCH("[B]",INDEX($C21:$G21,$Y21))),"B","-"))))</f>
        <v/>
      </c>
      <c r="BO21">
        <f>IF($Z21="","",IF(INDEX($C21:$G21,$Z21)="","",IF(ISNUMBER(SEARCH("[A]",INDEX($C21:$G21,$Z21))),"A",IF(ISNUMBER(SEARCH("[B]",INDEX($C21:$G21,$Z21))),"B","-"))))</f>
        <v/>
      </c>
      <c r="BP21">
        <f>IF($AA21="","",IF(INDEX($C21:$G21,$AA21)="","",IF(ISNUMBER(SEARCH("[A]",INDEX($C21:$G21,$AA21))),"A",IF(ISNUMBER(SEARCH("[B]",INDEX($C21:$G21,$AA21))),"B","-"))))</f>
        <v/>
      </c>
      <c r="BQ21">
        <f>IF($AB21="","",IF(INDEX($C21:$G21,$AB21)="","",IF(ISNUMBER(SEARCH("[A]",INDEX($C21:$G21,$AB21))),"A",IF(ISNUMBER(SEARCH("[B]",INDEX($C21:$G21,$AB21))),"B","-"))))</f>
        <v/>
      </c>
      <c r="BR21">
        <f>IF($AC21="","",IF(INDEX($C21:$G21,$AC21)="","",IF(ISNUMBER(SEARCH("[A]",INDEX($C21:$G21,$AC21))),"A",IF(ISNUMBER(SEARCH("[B]",INDEX($C21:$G21,$AC21))),"B","-"))))</f>
        <v/>
      </c>
    </row>
    <row r="22" ht="30" customHeight="1" s="1">
      <c r="A22" s="29" t="inlineStr">
        <is>
          <t>놀이</t>
        </is>
      </c>
      <c r="B22" s="30" t="inlineStr">
        <is>
          <t>놀이 개시 주체</t>
        </is>
      </c>
      <c r="C22" s="31" t="inlineStr">
        <is>
          <t>개가 먼저 요청 (플레이 바우 등)</t>
        </is>
      </c>
      <c r="D22" s="19" t="inlineStr">
        <is>
          <t>보호자가 먼저 시작하면 응함</t>
        </is>
      </c>
      <c r="E22" s="31" t="inlineStr">
        <is>
          <t>유도해야 겨우 응함 [B]</t>
        </is>
      </c>
      <c r="F22" s="19" t="n"/>
      <c r="G22" s="31" t="inlineStr">
        <is>
          <t>아무도 시작하지 못함 [B]</t>
        </is>
      </c>
      <c r="H22" s="29" t="inlineStr">
        <is>
          <t>친밀·애착</t>
        </is>
      </c>
      <c r="I22" s="32" t="inlineStr">
        <is>
          <t>★</t>
        </is>
      </c>
      <c r="J22" s="21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  <c r="AA22" s="22" t="n"/>
      <c r="AB22" s="22" t="n"/>
      <c r="AC22" s="22" t="n"/>
      <c r="AD22" t="inlineStr">
        <is>
          <t>ATT</t>
        </is>
      </c>
      <c r="AE22">
        <f>IF($J22="","",IF(INDEX($C22:$G22,$J22)="","",$J22))</f>
        <v/>
      </c>
      <c r="AF22">
        <f>IF($K22="","",IF(INDEX($C22:$G22,$K22)="","",$K22))</f>
        <v/>
      </c>
      <c r="AG22">
        <f>IF($L22="","",IF(INDEX($C22:$G22,$L22)="","",$L22))</f>
        <v/>
      </c>
      <c r="AH22">
        <f>IF($M22="","",IF(INDEX($C22:$G22,$M22)="","",$M22))</f>
        <v/>
      </c>
      <c r="AI22">
        <f>IF($N22="","",IF(INDEX($C22:$G22,$N22)="","",$N22))</f>
        <v/>
      </c>
      <c r="AJ22">
        <f>IF($O22="","",IF(INDEX($C22:$G22,$O22)="","",$O22))</f>
        <v/>
      </c>
      <c r="AK22">
        <f>IF($P22="","",IF(INDEX($C22:$G22,$P22)="","",$P22))</f>
        <v/>
      </c>
      <c r="AL22">
        <f>IF($Q22="","",IF(INDEX($C22:$G22,$Q22)="","",$Q22))</f>
        <v/>
      </c>
      <c r="AM22">
        <f>IF($R22="","",IF(INDEX($C22:$G22,$R22)="","",$R22))</f>
        <v/>
      </c>
      <c r="AN22">
        <f>IF($S22="","",IF(INDEX($C22:$G22,$S22)="","",$S22))</f>
        <v/>
      </c>
      <c r="AO22">
        <f>IF($T22="","",IF(INDEX($C22:$G22,$T22)="","",$T22))</f>
        <v/>
      </c>
      <c r="AP22">
        <f>IF($U22="","",IF(INDEX($C22:$G22,$U22)="","",$U22))</f>
        <v/>
      </c>
      <c r="AQ22">
        <f>IF($V22="","",IF(INDEX($C22:$G22,$V22)="","",$V22))</f>
        <v/>
      </c>
      <c r="AR22">
        <f>IF($W22="","",IF(INDEX($C22:$G22,$W22)="","",$W22))</f>
        <v/>
      </c>
      <c r="AS22">
        <f>IF($X22="","",IF(INDEX($C22:$G22,$X22)="","",$X22))</f>
        <v/>
      </c>
      <c r="AT22">
        <f>IF($Y22="","",IF(INDEX($C22:$G22,$Y22)="","",$Y22))</f>
        <v/>
      </c>
      <c r="AU22">
        <f>IF($Z22="","",IF(INDEX($C22:$G22,$Z22)="","",$Z22))</f>
        <v/>
      </c>
      <c r="AV22">
        <f>IF($AA22="","",IF(INDEX($C22:$G22,$AA22)="","",$AA22))</f>
        <v/>
      </c>
      <c r="AW22">
        <f>IF($AB22="","",IF(INDEX($C22:$G22,$AB22)="","",$AB22))</f>
        <v/>
      </c>
      <c r="AX22">
        <f>IF($AC22="","",IF(INDEX($C22:$G22,$AC22)="","",$AC22))</f>
        <v/>
      </c>
      <c r="AY22">
        <f>IF($J22="","",IF(INDEX($C22:$G22,$J22)="","",IF(ISNUMBER(SEARCH("[A]",INDEX($C22:$G22,$J22))),"A",IF(ISNUMBER(SEARCH("[B]",INDEX($C22:$G22,$J22))),"B","-"))))</f>
        <v/>
      </c>
      <c r="AZ22">
        <f>IF($K22="","",IF(INDEX($C22:$G22,$K22)="","",IF(ISNUMBER(SEARCH("[A]",INDEX($C22:$G22,$K22))),"A",IF(ISNUMBER(SEARCH("[B]",INDEX($C22:$G22,$K22))),"B","-"))))</f>
        <v/>
      </c>
      <c r="BA22">
        <f>IF($L22="","",IF(INDEX($C22:$G22,$L22)="","",IF(ISNUMBER(SEARCH("[A]",INDEX($C22:$G22,$L22))),"A",IF(ISNUMBER(SEARCH("[B]",INDEX($C22:$G22,$L22))),"B","-"))))</f>
        <v/>
      </c>
      <c r="BB22">
        <f>IF($M22="","",IF(INDEX($C22:$G22,$M22)="","",IF(ISNUMBER(SEARCH("[A]",INDEX($C22:$G22,$M22))),"A",IF(ISNUMBER(SEARCH("[B]",INDEX($C22:$G22,$M22))),"B","-"))))</f>
        <v/>
      </c>
      <c r="BC22">
        <f>IF($N22="","",IF(INDEX($C22:$G22,$N22)="","",IF(ISNUMBER(SEARCH("[A]",INDEX($C22:$G22,$N22))),"A",IF(ISNUMBER(SEARCH("[B]",INDEX($C22:$G22,$N22))),"B","-"))))</f>
        <v/>
      </c>
      <c r="BD22">
        <f>IF($O22="","",IF(INDEX($C22:$G22,$O22)="","",IF(ISNUMBER(SEARCH("[A]",INDEX($C22:$G22,$O22))),"A",IF(ISNUMBER(SEARCH("[B]",INDEX($C22:$G22,$O22))),"B","-"))))</f>
        <v/>
      </c>
      <c r="BE22">
        <f>IF($P22="","",IF(INDEX($C22:$G22,$P22)="","",IF(ISNUMBER(SEARCH("[A]",INDEX($C22:$G22,$P22))),"A",IF(ISNUMBER(SEARCH("[B]",INDEX($C22:$G22,$P22))),"B","-"))))</f>
        <v/>
      </c>
      <c r="BF22">
        <f>IF($Q22="","",IF(INDEX($C22:$G22,$Q22)="","",IF(ISNUMBER(SEARCH("[A]",INDEX($C22:$G22,$Q22))),"A",IF(ISNUMBER(SEARCH("[B]",INDEX($C22:$G22,$Q22))),"B","-"))))</f>
        <v/>
      </c>
      <c r="BG22">
        <f>IF($R22="","",IF(INDEX($C22:$G22,$R22)="","",IF(ISNUMBER(SEARCH("[A]",INDEX($C22:$G22,$R22))),"A",IF(ISNUMBER(SEARCH("[B]",INDEX($C22:$G22,$R22))),"B","-"))))</f>
        <v/>
      </c>
      <c r="BH22">
        <f>IF($S22="","",IF(INDEX($C22:$G22,$S22)="","",IF(ISNUMBER(SEARCH("[A]",INDEX($C22:$G22,$S22))),"A",IF(ISNUMBER(SEARCH("[B]",INDEX($C22:$G22,$S22))),"B","-"))))</f>
        <v/>
      </c>
      <c r="BI22">
        <f>IF($T22="","",IF(INDEX($C22:$G22,$T22)="","",IF(ISNUMBER(SEARCH("[A]",INDEX($C22:$G22,$T22))),"A",IF(ISNUMBER(SEARCH("[B]",INDEX($C22:$G22,$T22))),"B","-"))))</f>
        <v/>
      </c>
      <c r="BJ22">
        <f>IF($U22="","",IF(INDEX($C22:$G22,$U22)="","",IF(ISNUMBER(SEARCH("[A]",INDEX($C22:$G22,$U22))),"A",IF(ISNUMBER(SEARCH("[B]",INDEX($C22:$G22,$U22))),"B","-"))))</f>
        <v/>
      </c>
      <c r="BK22">
        <f>IF($V22="","",IF(INDEX($C22:$G22,$V22)="","",IF(ISNUMBER(SEARCH("[A]",INDEX($C22:$G22,$V22))),"A",IF(ISNUMBER(SEARCH("[B]",INDEX($C22:$G22,$V22))),"B","-"))))</f>
        <v/>
      </c>
      <c r="BL22">
        <f>IF($W22="","",IF(INDEX($C22:$G22,$W22)="","",IF(ISNUMBER(SEARCH("[A]",INDEX($C22:$G22,$W22))),"A",IF(ISNUMBER(SEARCH("[B]",INDEX($C22:$G22,$W22))),"B","-"))))</f>
        <v/>
      </c>
      <c r="BM22">
        <f>IF($X22="","",IF(INDEX($C22:$G22,$X22)="","",IF(ISNUMBER(SEARCH("[A]",INDEX($C22:$G22,$X22))),"A",IF(ISNUMBER(SEARCH("[B]",INDEX($C22:$G22,$X22))),"B","-"))))</f>
        <v/>
      </c>
      <c r="BN22">
        <f>IF($Y22="","",IF(INDEX($C22:$G22,$Y22)="","",IF(ISNUMBER(SEARCH("[A]",INDEX($C22:$G22,$Y22))),"A",IF(ISNUMBER(SEARCH("[B]",INDEX($C22:$G22,$Y22))),"B","-"))))</f>
        <v/>
      </c>
      <c r="BO22">
        <f>IF($Z22="","",IF(INDEX($C22:$G22,$Z22)="","",IF(ISNUMBER(SEARCH("[A]",INDEX($C22:$G22,$Z22))),"A",IF(ISNUMBER(SEARCH("[B]",INDEX($C22:$G22,$Z22))),"B","-"))))</f>
        <v/>
      </c>
      <c r="BP22">
        <f>IF($AA22="","",IF(INDEX($C22:$G22,$AA22)="","",IF(ISNUMBER(SEARCH("[A]",INDEX($C22:$G22,$AA22))),"A",IF(ISNUMBER(SEARCH("[B]",INDEX($C22:$G22,$AA22))),"B","-"))))</f>
        <v/>
      </c>
      <c r="BQ22">
        <f>IF($AB22="","",IF(INDEX($C22:$G22,$AB22)="","",IF(ISNUMBER(SEARCH("[A]",INDEX($C22:$G22,$AB22))),"A",IF(ISNUMBER(SEARCH("[B]",INDEX($C22:$G22,$AB22))),"B","-"))))</f>
        <v/>
      </c>
      <c r="BR22">
        <f>IF($AC22="","",IF(INDEX($C22:$G22,$AC22)="","",IF(ISNUMBER(SEARCH("[A]",INDEX($C22:$G22,$AC22))),"A",IF(ISNUMBER(SEARCH("[B]",INDEX($C22:$G22,$AC22))),"B","-"))))</f>
        <v/>
      </c>
    </row>
    <row r="23" ht="30" customHeight="1" s="1">
      <c r="A23" s="34" t="inlineStr">
        <is>
          <t>놀이</t>
        </is>
      </c>
      <c r="B23" s="35" t="inlineStr">
        <is>
          <t>주고받기 흐름</t>
        </is>
      </c>
      <c r="C23" s="36" t="inlineStr">
        <is>
          <t>3회 이상 왕복</t>
        </is>
      </c>
      <c r="D23" s="36" t="inlineStr">
        <is>
          <t>1~2회 왕복 [B]</t>
        </is>
      </c>
      <c r="E23" s="36" t="inlineStr">
        <is>
          <t>일방적 (한쪽만) [B]</t>
        </is>
      </c>
      <c r="F23" s="19" t="n"/>
      <c r="G23" s="36" t="inlineStr">
        <is>
          <t>상호작용 없음 [B]</t>
        </is>
      </c>
      <c r="H23" s="34" t="inlineStr">
        <is>
          <t>친밀·애착</t>
        </is>
      </c>
      <c r="I23" s="37" t="inlineStr">
        <is>
          <t>★</t>
        </is>
      </c>
      <c r="J23" s="21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  <c r="AA23" s="22" t="n"/>
      <c r="AB23" s="22" t="n"/>
      <c r="AC23" s="22" t="n"/>
      <c r="AD23" t="inlineStr">
        <is>
          <t>ATT</t>
        </is>
      </c>
      <c r="AE23">
        <f>IF($J23="","",IF(INDEX($C23:$G23,$J23)="","",$J23))</f>
        <v/>
      </c>
      <c r="AF23">
        <f>IF($K23="","",IF(INDEX($C23:$G23,$K23)="","",$K23))</f>
        <v/>
      </c>
      <c r="AG23">
        <f>IF($L23="","",IF(INDEX($C23:$G23,$L23)="","",$L23))</f>
        <v/>
      </c>
      <c r="AH23">
        <f>IF($M23="","",IF(INDEX($C23:$G23,$M23)="","",$M23))</f>
        <v/>
      </c>
      <c r="AI23">
        <f>IF($N23="","",IF(INDEX($C23:$G23,$N23)="","",$N23))</f>
        <v/>
      </c>
      <c r="AJ23">
        <f>IF($O23="","",IF(INDEX($C23:$G23,$O23)="","",$O23))</f>
        <v/>
      </c>
      <c r="AK23">
        <f>IF($P23="","",IF(INDEX($C23:$G23,$P23)="","",$P23))</f>
        <v/>
      </c>
      <c r="AL23">
        <f>IF($Q23="","",IF(INDEX($C23:$G23,$Q23)="","",$Q23))</f>
        <v/>
      </c>
      <c r="AM23">
        <f>IF($R23="","",IF(INDEX($C23:$G23,$R23)="","",$R23))</f>
        <v/>
      </c>
      <c r="AN23">
        <f>IF($S23="","",IF(INDEX($C23:$G23,$S23)="","",$S23))</f>
        <v/>
      </c>
      <c r="AO23">
        <f>IF($T23="","",IF(INDEX($C23:$G23,$T23)="","",$T23))</f>
        <v/>
      </c>
      <c r="AP23">
        <f>IF($U23="","",IF(INDEX($C23:$G23,$U23)="","",$U23))</f>
        <v/>
      </c>
      <c r="AQ23">
        <f>IF($V23="","",IF(INDEX($C23:$G23,$V23)="","",$V23))</f>
        <v/>
      </c>
      <c r="AR23">
        <f>IF($W23="","",IF(INDEX($C23:$G23,$W23)="","",$W23))</f>
        <v/>
      </c>
      <c r="AS23">
        <f>IF($X23="","",IF(INDEX($C23:$G23,$X23)="","",$X23))</f>
        <v/>
      </c>
      <c r="AT23">
        <f>IF($Y23="","",IF(INDEX($C23:$G23,$Y23)="","",$Y23))</f>
        <v/>
      </c>
      <c r="AU23">
        <f>IF($Z23="","",IF(INDEX($C23:$G23,$Z23)="","",$Z23))</f>
        <v/>
      </c>
      <c r="AV23">
        <f>IF($AA23="","",IF(INDEX($C23:$G23,$AA23)="","",$AA23))</f>
        <v/>
      </c>
      <c r="AW23">
        <f>IF($AB23="","",IF(INDEX($C23:$G23,$AB23)="","",$AB23))</f>
        <v/>
      </c>
      <c r="AX23">
        <f>IF($AC23="","",IF(INDEX($C23:$G23,$AC23)="","",$AC23))</f>
        <v/>
      </c>
      <c r="AY23">
        <f>IF($J23="","",IF(INDEX($C23:$G23,$J23)="","",IF(ISNUMBER(SEARCH("[A]",INDEX($C23:$G23,$J23))),"A",IF(ISNUMBER(SEARCH("[B]",INDEX($C23:$G23,$J23))),"B","-"))))</f>
        <v/>
      </c>
      <c r="AZ23">
        <f>IF($K23="","",IF(INDEX($C23:$G23,$K23)="","",IF(ISNUMBER(SEARCH("[A]",INDEX($C23:$G23,$K23))),"A",IF(ISNUMBER(SEARCH("[B]",INDEX($C23:$G23,$K23))),"B","-"))))</f>
        <v/>
      </c>
      <c r="BA23">
        <f>IF($L23="","",IF(INDEX($C23:$G23,$L23)="","",IF(ISNUMBER(SEARCH("[A]",INDEX($C23:$G23,$L23))),"A",IF(ISNUMBER(SEARCH("[B]",INDEX($C23:$G23,$L23))),"B","-"))))</f>
        <v/>
      </c>
      <c r="BB23">
        <f>IF($M23="","",IF(INDEX($C23:$G23,$M23)="","",IF(ISNUMBER(SEARCH("[A]",INDEX($C23:$G23,$M23))),"A",IF(ISNUMBER(SEARCH("[B]",INDEX($C23:$G23,$M23))),"B","-"))))</f>
        <v/>
      </c>
      <c r="BC23">
        <f>IF($N23="","",IF(INDEX($C23:$G23,$N23)="","",IF(ISNUMBER(SEARCH("[A]",INDEX($C23:$G23,$N23))),"A",IF(ISNUMBER(SEARCH("[B]",INDEX($C23:$G23,$N23))),"B","-"))))</f>
        <v/>
      </c>
      <c r="BD23">
        <f>IF($O23="","",IF(INDEX($C23:$G23,$O23)="","",IF(ISNUMBER(SEARCH("[A]",INDEX($C23:$G23,$O23))),"A",IF(ISNUMBER(SEARCH("[B]",INDEX($C23:$G23,$O23))),"B","-"))))</f>
        <v/>
      </c>
      <c r="BE23">
        <f>IF($P23="","",IF(INDEX($C23:$G23,$P23)="","",IF(ISNUMBER(SEARCH("[A]",INDEX($C23:$G23,$P23))),"A",IF(ISNUMBER(SEARCH("[B]",INDEX($C23:$G23,$P23))),"B","-"))))</f>
        <v/>
      </c>
      <c r="BF23">
        <f>IF($Q23="","",IF(INDEX($C23:$G23,$Q23)="","",IF(ISNUMBER(SEARCH("[A]",INDEX($C23:$G23,$Q23))),"A",IF(ISNUMBER(SEARCH("[B]",INDEX($C23:$G23,$Q23))),"B","-"))))</f>
        <v/>
      </c>
      <c r="BG23">
        <f>IF($R23="","",IF(INDEX($C23:$G23,$R23)="","",IF(ISNUMBER(SEARCH("[A]",INDEX($C23:$G23,$R23))),"A",IF(ISNUMBER(SEARCH("[B]",INDEX($C23:$G23,$R23))),"B","-"))))</f>
        <v/>
      </c>
      <c r="BH23">
        <f>IF($S23="","",IF(INDEX($C23:$G23,$S23)="","",IF(ISNUMBER(SEARCH("[A]",INDEX($C23:$G23,$S23))),"A",IF(ISNUMBER(SEARCH("[B]",INDEX($C23:$G23,$S23))),"B","-"))))</f>
        <v/>
      </c>
      <c r="BI23">
        <f>IF($T23="","",IF(INDEX($C23:$G23,$T23)="","",IF(ISNUMBER(SEARCH("[A]",INDEX($C23:$G23,$T23))),"A",IF(ISNUMBER(SEARCH("[B]",INDEX($C23:$G23,$T23))),"B","-"))))</f>
        <v/>
      </c>
      <c r="BJ23">
        <f>IF($U23="","",IF(INDEX($C23:$G23,$U23)="","",IF(ISNUMBER(SEARCH("[A]",INDEX($C23:$G23,$U23))),"A",IF(ISNUMBER(SEARCH("[B]",INDEX($C23:$G23,$U23))),"B","-"))))</f>
        <v/>
      </c>
      <c r="BK23">
        <f>IF($V23="","",IF(INDEX($C23:$G23,$V23)="","",IF(ISNUMBER(SEARCH("[A]",INDEX($C23:$G23,$V23))),"A",IF(ISNUMBER(SEARCH("[B]",INDEX($C23:$G23,$V23))),"B","-"))))</f>
        <v/>
      </c>
      <c r="BL23">
        <f>IF($W23="","",IF(INDEX($C23:$G23,$W23)="","",IF(ISNUMBER(SEARCH("[A]",INDEX($C23:$G23,$W23))),"A",IF(ISNUMBER(SEARCH("[B]",INDEX($C23:$G23,$W23))),"B","-"))))</f>
        <v/>
      </c>
      <c r="BM23">
        <f>IF($X23="","",IF(INDEX($C23:$G23,$X23)="","",IF(ISNUMBER(SEARCH("[A]",INDEX($C23:$G23,$X23))),"A",IF(ISNUMBER(SEARCH("[B]",INDEX($C23:$G23,$X23))),"B","-"))))</f>
        <v/>
      </c>
      <c r="BN23">
        <f>IF($Y23="","",IF(INDEX($C23:$G23,$Y23)="","",IF(ISNUMBER(SEARCH("[A]",INDEX($C23:$G23,$Y23))),"A",IF(ISNUMBER(SEARCH("[B]",INDEX($C23:$G23,$Y23))),"B","-"))))</f>
        <v/>
      </c>
      <c r="BO23">
        <f>IF($Z23="","",IF(INDEX($C23:$G23,$Z23)="","",IF(ISNUMBER(SEARCH("[A]",INDEX($C23:$G23,$Z23))),"A",IF(ISNUMBER(SEARCH("[B]",INDEX($C23:$G23,$Z23))),"B","-"))))</f>
        <v/>
      </c>
      <c r="BP23">
        <f>IF($AA23="","",IF(INDEX($C23:$G23,$AA23)="","",IF(ISNUMBER(SEARCH("[A]",INDEX($C23:$G23,$AA23))),"A",IF(ISNUMBER(SEARCH("[B]",INDEX($C23:$G23,$AA23))),"B","-"))))</f>
        <v/>
      </c>
      <c r="BQ23">
        <f>IF($AB23="","",IF(INDEX($C23:$G23,$AB23)="","",IF(ISNUMBER(SEARCH("[A]",INDEX($C23:$G23,$AB23))),"A",IF(ISNUMBER(SEARCH("[B]",INDEX($C23:$G23,$AB23))),"B","-"))))</f>
        <v/>
      </c>
      <c r="BR23">
        <f>IF($AC23="","",IF(INDEX($C23:$G23,$AC23)="","",IF(ISNUMBER(SEARCH("[A]",INDEX($C23:$G23,$AC23))),"A",IF(ISNUMBER(SEARCH("[B]",INDEX($C23:$G23,$AC23))),"B","-"))))</f>
        <v/>
      </c>
    </row>
    <row r="24" ht="30" customHeight="1" s="1">
      <c r="A24" s="34" t="inlineStr">
        <is>
          <t>놀이</t>
        </is>
      </c>
      <c r="B24" s="35" t="inlineStr">
        <is>
          <t>흥분 조절</t>
        </is>
      </c>
      <c r="C24" s="38" t="inlineStr">
        <is>
          <t>신나되 보호자를 의식함</t>
        </is>
      </c>
      <c r="D24" s="38" t="inlineStr">
        <is>
          <t>짧게 놀다 흥미 잃음 [B]</t>
        </is>
      </c>
      <c r="E24" s="36" t="inlineStr">
        <is>
          <t>놀이에 관심 없음·구석으로 감 [B]</t>
        </is>
      </c>
      <c r="F24" s="19" t="inlineStr">
        <is>
          <t>과흥분 통제 안 됨·보호자 무시 [A]</t>
        </is>
      </c>
      <c r="G24" s="36" t="inlineStr">
        <is>
          <t>으르렁 지킴·마구 물어뜯음 [A]</t>
        </is>
      </c>
      <c r="H24" s="34" t="inlineStr">
        <is>
          <t>친밀·애착</t>
        </is>
      </c>
      <c r="I24" s="37" t="n"/>
      <c r="J24" s="21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  <c r="AA24" s="22" t="n"/>
      <c r="AB24" s="22" t="n"/>
      <c r="AC24" s="22" t="n"/>
      <c r="AD24" t="inlineStr">
        <is>
          <t>ATT</t>
        </is>
      </c>
      <c r="AE24">
        <f>IF($J24="","",IF(INDEX($C24:$G24,$J24)="","",$J24))</f>
        <v/>
      </c>
      <c r="AF24">
        <f>IF($K24="","",IF(INDEX($C24:$G24,$K24)="","",$K24))</f>
        <v/>
      </c>
      <c r="AG24">
        <f>IF($L24="","",IF(INDEX($C24:$G24,$L24)="","",$L24))</f>
        <v/>
      </c>
      <c r="AH24">
        <f>IF($M24="","",IF(INDEX($C24:$G24,$M24)="","",$M24))</f>
        <v/>
      </c>
      <c r="AI24">
        <f>IF($N24="","",IF(INDEX($C24:$G24,$N24)="","",$N24))</f>
        <v/>
      </c>
      <c r="AJ24">
        <f>IF($O24="","",IF(INDEX($C24:$G24,$O24)="","",$O24))</f>
        <v/>
      </c>
      <c r="AK24">
        <f>IF($P24="","",IF(INDEX($C24:$G24,$P24)="","",$P24))</f>
        <v/>
      </c>
      <c r="AL24">
        <f>IF($Q24="","",IF(INDEX($C24:$G24,$Q24)="","",$Q24))</f>
        <v/>
      </c>
      <c r="AM24">
        <f>IF($R24="","",IF(INDEX($C24:$G24,$R24)="","",$R24))</f>
        <v/>
      </c>
      <c r="AN24">
        <f>IF($S24="","",IF(INDEX($C24:$G24,$S24)="","",$S24))</f>
        <v/>
      </c>
      <c r="AO24">
        <f>IF($T24="","",IF(INDEX($C24:$G24,$T24)="","",$T24))</f>
        <v/>
      </c>
      <c r="AP24">
        <f>IF($U24="","",IF(INDEX($C24:$G24,$U24)="","",$U24))</f>
        <v/>
      </c>
      <c r="AQ24">
        <f>IF($V24="","",IF(INDEX($C24:$G24,$V24)="","",$V24))</f>
        <v/>
      </c>
      <c r="AR24">
        <f>IF($W24="","",IF(INDEX($C24:$G24,$W24)="","",$W24))</f>
        <v/>
      </c>
      <c r="AS24">
        <f>IF($X24="","",IF(INDEX($C24:$G24,$X24)="","",$X24))</f>
        <v/>
      </c>
      <c r="AT24">
        <f>IF($Y24="","",IF(INDEX($C24:$G24,$Y24)="","",$Y24))</f>
        <v/>
      </c>
      <c r="AU24">
        <f>IF($Z24="","",IF(INDEX($C24:$G24,$Z24)="","",$Z24))</f>
        <v/>
      </c>
      <c r="AV24">
        <f>IF($AA24="","",IF(INDEX($C24:$G24,$AA24)="","",$AA24))</f>
        <v/>
      </c>
      <c r="AW24">
        <f>IF($AB24="","",IF(INDEX($C24:$G24,$AB24)="","",$AB24))</f>
        <v/>
      </c>
      <c r="AX24">
        <f>IF($AC24="","",IF(INDEX($C24:$G24,$AC24)="","",$AC24))</f>
        <v/>
      </c>
      <c r="AY24">
        <f>IF($J24="","",IF(INDEX($C24:$G24,$J24)="","",IF(ISNUMBER(SEARCH("[A]",INDEX($C24:$G24,$J24))),"A",IF(ISNUMBER(SEARCH("[B]",INDEX($C24:$G24,$J24))),"B","-"))))</f>
        <v/>
      </c>
      <c r="AZ24">
        <f>IF($K24="","",IF(INDEX($C24:$G24,$K24)="","",IF(ISNUMBER(SEARCH("[A]",INDEX($C24:$G24,$K24))),"A",IF(ISNUMBER(SEARCH("[B]",INDEX($C24:$G24,$K24))),"B","-"))))</f>
        <v/>
      </c>
      <c r="BA24">
        <f>IF($L24="","",IF(INDEX($C24:$G24,$L24)="","",IF(ISNUMBER(SEARCH("[A]",INDEX($C24:$G24,$L24))),"A",IF(ISNUMBER(SEARCH("[B]",INDEX($C24:$G24,$L24))),"B","-"))))</f>
        <v/>
      </c>
      <c r="BB24">
        <f>IF($M24="","",IF(INDEX($C24:$G24,$M24)="","",IF(ISNUMBER(SEARCH("[A]",INDEX($C24:$G24,$M24))),"A",IF(ISNUMBER(SEARCH("[B]",INDEX($C24:$G24,$M24))),"B","-"))))</f>
        <v/>
      </c>
      <c r="BC24">
        <f>IF($N24="","",IF(INDEX($C24:$G24,$N24)="","",IF(ISNUMBER(SEARCH("[A]",INDEX($C24:$G24,$N24))),"A",IF(ISNUMBER(SEARCH("[B]",INDEX($C24:$G24,$N24))),"B","-"))))</f>
        <v/>
      </c>
      <c r="BD24">
        <f>IF($O24="","",IF(INDEX($C24:$G24,$O24)="","",IF(ISNUMBER(SEARCH("[A]",INDEX($C24:$G24,$O24))),"A",IF(ISNUMBER(SEARCH("[B]",INDEX($C24:$G24,$O24))),"B","-"))))</f>
        <v/>
      </c>
      <c r="BE24">
        <f>IF($P24="","",IF(INDEX($C24:$G24,$P24)="","",IF(ISNUMBER(SEARCH("[A]",INDEX($C24:$G24,$P24))),"A",IF(ISNUMBER(SEARCH("[B]",INDEX($C24:$G24,$P24))),"B","-"))))</f>
        <v/>
      </c>
      <c r="BF24">
        <f>IF($Q24="","",IF(INDEX($C24:$G24,$Q24)="","",IF(ISNUMBER(SEARCH("[A]",INDEX($C24:$G24,$Q24))),"A",IF(ISNUMBER(SEARCH("[B]",INDEX($C24:$G24,$Q24))),"B","-"))))</f>
        <v/>
      </c>
      <c r="BG24">
        <f>IF($R24="","",IF(INDEX($C24:$G24,$R24)="","",IF(ISNUMBER(SEARCH("[A]",INDEX($C24:$G24,$R24))),"A",IF(ISNUMBER(SEARCH("[B]",INDEX($C24:$G24,$R24))),"B","-"))))</f>
        <v/>
      </c>
      <c r="BH24">
        <f>IF($S24="","",IF(INDEX($C24:$G24,$S24)="","",IF(ISNUMBER(SEARCH("[A]",INDEX($C24:$G24,$S24))),"A",IF(ISNUMBER(SEARCH("[B]",INDEX($C24:$G24,$S24))),"B","-"))))</f>
        <v/>
      </c>
      <c r="BI24">
        <f>IF($T24="","",IF(INDEX($C24:$G24,$T24)="","",IF(ISNUMBER(SEARCH("[A]",INDEX($C24:$G24,$T24))),"A",IF(ISNUMBER(SEARCH("[B]",INDEX($C24:$G24,$T24))),"B","-"))))</f>
        <v/>
      </c>
      <c r="BJ24">
        <f>IF($U24="","",IF(INDEX($C24:$G24,$U24)="","",IF(ISNUMBER(SEARCH("[A]",INDEX($C24:$G24,$U24))),"A",IF(ISNUMBER(SEARCH("[B]",INDEX($C24:$G24,$U24))),"B","-"))))</f>
        <v/>
      </c>
      <c r="BK24">
        <f>IF($V24="","",IF(INDEX($C24:$G24,$V24)="","",IF(ISNUMBER(SEARCH("[A]",INDEX($C24:$G24,$V24))),"A",IF(ISNUMBER(SEARCH("[B]",INDEX($C24:$G24,$V24))),"B","-"))))</f>
        <v/>
      </c>
      <c r="BL24">
        <f>IF($W24="","",IF(INDEX($C24:$G24,$W24)="","",IF(ISNUMBER(SEARCH("[A]",INDEX($C24:$G24,$W24))),"A",IF(ISNUMBER(SEARCH("[B]",INDEX($C24:$G24,$W24))),"B","-"))))</f>
        <v/>
      </c>
      <c r="BM24">
        <f>IF($X24="","",IF(INDEX($C24:$G24,$X24)="","",IF(ISNUMBER(SEARCH("[A]",INDEX($C24:$G24,$X24))),"A",IF(ISNUMBER(SEARCH("[B]",INDEX($C24:$G24,$X24))),"B","-"))))</f>
        <v/>
      </c>
      <c r="BN24">
        <f>IF($Y24="","",IF(INDEX($C24:$G24,$Y24)="","",IF(ISNUMBER(SEARCH("[A]",INDEX($C24:$G24,$Y24))),"A",IF(ISNUMBER(SEARCH("[B]",INDEX($C24:$G24,$Y24))),"B","-"))))</f>
        <v/>
      </c>
      <c r="BO24">
        <f>IF($Z24="","",IF(INDEX($C24:$G24,$Z24)="","",IF(ISNUMBER(SEARCH("[A]",INDEX($C24:$G24,$Z24))),"A",IF(ISNUMBER(SEARCH("[B]",INDEX($C24:$G24,$Z24))),"B","-"))))</f>
        <v/>
      </c>
      <c r="BP24">
        <f>IF($AA24="","",IF(INDEX($C24:$G24,$AA24)="","",IF(ISNUMBER(SEARCH("[A]",INDEX($C24:$G24,$AA24))),"A",IF(ISNUMBER(SEARCH("[B]",INDEX($C24:$G24,$AA24))),"B","-"))))</f>
        <v/>
      </c>
      <c r="BQ24">
        <f>IF($AB24="","",IF(INDEX($C24:$G24,$AB24)="","",IF(ISNUMBER(SEARCH("[A]",INDEX($C24:$G24,$AB24))),"A",IF(ISNUMBER(SEARCH("[B]",INDEX($C24:$G24,$AB24))),"B","-"))))</f>
        <v/>
      </c>
      <c r="BR24">
        <f>IF($AC24="","",IF(INDEX($C24:$G24,$AC24)="","",IF(ISNUMBER(SEARCH("[A]",INDEX($C24:$G24,$AC24))),"A",IF(ISNUMBER(SEARCH("[B]",INDEX($C24:$G24,$AC24))),"B","-"))))</f>
        <v/>
      </c>
    </row>
    <row r="25" ht="30" customHeight="1" s="1">
      <c r="A25" s="34" t="n"/>
      <c r="B25" s="35" t="n"/>
      <c r="C25" s="36" t="n"/>
      <c r="D25" s="19" t="n"/>
      <c r="E25" s="36" t="n"/>
      <c r="F25" s="19" t="n"/>
      <c r="G25" s="36" t="n"/>
      <c r="H25" s="34" t="n"/>
      <c r="I25" s="37" t="n"/>
      <c r="J25" s="21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  <c r="AA25" s="22" t="n"/>
      <c r="AB25" s="22" t="n"/>
      <c r="AC25" s="22" t="n"/>
    </row>
    <row r="26" ht="30" customHeight="1" s="1">
      <c r="A26" s="34" t="n"/>
      <c r="B26" s="35" t="n"/>
      <c r="C26" s="36" t="n"/>
      <c r="D26" s="36" t="n"/>
      <c r="E26" s="36" t="n"/>
      <c r="F26" s="36" t="n"/>
      <c r="G26" s="36" t="n"/>
      <c r="H26" s="34" t="n"/>
      <c r="I26" s="37" t="n"/>
      <c r="J26" s="21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  <c r="AA26" s="22" t="n"/>
      <c r="AB26" s="22" t="n"/>
      <c r="AC26" s="22" t="n"/>
    </row>
  </sheetData>
  <dataValidations count="1">
    <dataValidation sqref="J5:AC26" showDropDown="0" showInputMessage="0" showErrorMessage="1" allowBlank="1" errorTitle="1~5만 입력" error="점수는 1~5 중 하나입니다. 1=양호, 5=확실한 강한 문제." type="whole">
      <formula1>1</formula1>
      <formula2>5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R35"/>
  <sheetViews>
    <sheetView zoomScaleNormal="100" workbookViewId="0">
      <pane xSplit="9" ySplit="4" topLeftCell="J5" activePane="bottomRight" state="frozen"/>
      <selection pane="topRight" activeCell="J1" sqref="J1"/>
      <selection pane="bottomLeft" activeCell="A5" sqref="A5"/>
      <selection pane="bottomRight" activeCell="A1" sqref="A1"/>
    </sheetView>
  </sheetViews>
  <sheetFormatPr baseColWidth="8" defaultColWidth="8.7109375" defaultRowHeight="15"/>
  <cols>
    <col width="8" customWidth="1" style="1" min="1" max="1"/>
    <col width="30" customWidth="1" style="1" min="2" max="2"/>
    <col width="24" customWidth="1" style="1" min="3" max="7"/>
    <col width="12" customWidth="1" style="1" min="8" max="8"/>
    <col width="5" customWidth="1" style="1" min="9" max="9"/>
    <col width="5.140625" customWidth="1" style="1" min="10" max="29"/>
    <col hidden="1" width="13" customWidth="1" style="1" min="30" max="70"/>
  </cols>
  <sheetData>
    <row r="1" ht="17.45" customHeight="1" s="1">
      <c r="A1" s="7" t="inlineStr">
        <is>
          <t>보호자행동</t>
        </is>
      </c>
    </row>
    <row r="2" ht="15" customHeight="1" s="1">
      <c r="A2" s="8" t="inlineStr">
        <is>
          <t>보호자가 개를 다루는 방식. 훈련 구간은 교육태도로, 나머지 구간은 보호자 행동 일관성으로 집계됩니다.</t>
        </is>
      </c>
    </row>
    <row r="3" ht="15" customHeight="1" s="1">
      <c r="A3" s="9" t="inlineStr">
        <is>
          <t>J열부터 오른쪽으로 1번~20번 강아지 칸입니다. 각 칸에 1~5 중 하나를 입력하면 그 숫자가 곧 점수입니다. 1=양호, 5=확실한 강한 문제. 회색 빈 칸은 아직 정하지 않은 단계이니 직접 채워 넣으면 바로 반영됩니다.</t>
        </is>
      </c>
    </row>
    <row r="4" ht="31.5" customHeight="1" s="1">
      <c r="A4" s="10" t="inlineStr">
        <is>
          <t>구간</t>
        </is>
      </c>
      <c r="B4" s="10" t="inlineStr">
        <is>
          <t>관찰 항목</t>
        </is>
      </c>
      <c r="C4" s="11" t="inlineStr">
        <is>
          <t>1점 (양호)</t>
        </is>
      </c>
      <c r="D4" s="11" t="inlineStr">
        <is>
          <t>2점</t>
        </is>
      </c>
      <c r="E4" s="11" t="inlineStr">
        <is>
          <t>3점 (중간)</t>
        </is>
      </c>
      <c r="F4" s="11" t="inlineStr">
        <is>
          <t>4점</t>
        </is>
      </c>
      <c r="G4" s="11" t="inlineStr">
        <is>
          <t>5점 (강한 문제)</t>
        </is>
      </c>
      <c r="H4" s="10" t="inlineStr">
        <is>
          <t>영역</t>
        </is>
      </c>
      <c r="I4" s="10" t="inlineStr">
        <is>
          <t>핵심</t>
        </is>
      </c>
      <c r="J4" s="12" t="inlineStr">
        <is>
          <t>1번</t>
        </is>
      </c>
      <c r="K4" s="13" t="inlineStr">
        <is>
          <t>2번</t>
        </is>
      </c>
      <c r="L4" s="13" t="inlineStr">
        <is>
          <t>3번</t>
        </is>
      </c>
      <c r="M4" s="13" t="inlineStr">
        <is>
          <t>4번</t>
        </is>
      </c>
      <c r="N4" s="13" t="inlineStr">
        <is>
          <t>5번</t>
        </is>
      </c>
      <c r="O4" s="13" t="inlineStr">
        <is>
          <t>6번</t>
        </is>
      </c>
      <c r="P4" s="13" t="inlineStr">
        <is>
          <t>7번</t>
        </is>
      </c>
      <c r="Q4" s="13" t="inlineStr">
        <is>
          <t>8번</t>
        </is>
      </c>
      <c r="R4" s="13" t="inlineStr">
        <is>
          <t>9번</t>
        </is>
      </c>
      <c r="S4" s="13" t="inlineStr">
        <is>
          <t>10번</t>
        </is>
      </c>
      <c r="T4" s="13" t="inlineStr">
        <is>
          <t>11번</t>
        </is>
      </c>
      <c r="U4" s="13" t="inlineStr">
        <is>
          <t>12번</t>
        </is>
      </c>
      <c r="V4" s="13" t="inlineStr">
        <is>
          <t>13번</t>
        </is>
      </c>
      <c r="W4" s="13" t="inlineStr">
        <is>
          <t>14번</t>
        </is>
      </c>
      <c r="X4" s="13" t="inlineStr">
        <is>
          <t>15번</t>
        </is>
      </c>
      <c r="Y4" s="13" t="inlineStr">
        <is>
          <t>16번</t>
        </is>
      </c>
      <c r="Z4" s="13" t="inlineStr">
        <is>
          <t>17번</t>
        </is>
      </c>
      <c r="AA4" s="13" t="inlineStr">
        <is>
          <t>18번</t>
        </is>
      </c>
      <c r="AB4" s="13" t="inlineStr">
        <is>
          <t>19번</t>
        </is>
      </c>
      <c r="AC4" s="13" t="inlineStr">
        <is>
          <t>20번</t>
        </is>
      </c>
      <c r="AD4" s="14" t="inlineStr">
        <is>
          <t>영역코드</t>
        </is>
      </c>
      <c r="AE4" s="15" t="inlineStr">
        <is>
          <t>점수1</t>
        </is>
      </c>
      <c r="AF4" s="15" t="inlineStr">
        <is>
          <t>점수2</t>
        </is>
      </c>
      <c r="AG4" s="15" t="inlineStr">
        <is>
          <t>점수3</t>
        </is>
      </c>
      <c r="AH4" s="15" t="inlineStr">
        <is>
          <t>점수4</t>
        </is>
      </c>
      <c r="AI4" s="15" t="inlineStr">
        <is>
          <t>점수5</t>
        </is>
      </c>
      <c r="AJ4" s="15" t="inlineStr">
        <is>
          <t>점수6</t>
        </is>
      </c>
      <c r="AK4" s="15" t="inlineStr">
        <is>
          <t>점수7</t>
        </is>
      </c>
      <c r="AL4" s="15" t="inlineStr">
        <is>
          <t>점수8</t>
        </is>
      </c>
      <c r="AM4" s="15" t="inlineStr">
        <is>
          <t>점수9</t>
        </is>
      </c>
      <c r="AN4" s="15" t="inlineStr">
        <is>
          <t>점수10</t>
        </is>
      </c>
      <c r="AO4" s="15" t="inlineStr">
        <is>
          <t>점수11</t>
        </is>
      </c>
      <c r="AP4" s="15" t="inlineStr">
        <is>
          <t>점수12</t>
        </is>
      </c>
      <c r="AQ4" s="15" t="inlineStr">
        <is>
          <t>점수13</t>
        </is>
      </c>
      <c r="AR4" s="15" t="inlineStr">
        <is>
          <t>점수14</t>
        </is>
      </c>
      <c r="AS4" s="15" t="inlineStr">
        <is>
          <t>점수15</t>
        </is>
      </c>
      <c r="AT4" s="15" t="inlineStr">
        <is>
          <t>점수16</t>
        </is>
      </c>
      <c r="AU4" s="15" t="inlineStr">
        <is>
          <t>점수17</t>
        </is>
      </c>
      <c r="AV4" s="15" t="inlineStr">
        <is>
          <t>점수18</t>
        </is>
      </c>
      <c r="AW4" s="15" t="inlineStr">
        <is>
          <t>점수19</t>
        </is>
      </c>
      <c r="AX4" s="15" t="inlineStr">
        <is>
          <t>점수20</t>
        </is>
      </c>
      <c r="AY4" s="15" t="inlineStr">
        <is>
          <t>방향1</t>
        </is>
      </c>
      <c r="AZ4" s="15" t="inlineStr">
        <is>
          <t>방향2</t>
        </is>
      </c>
      <c r="BA4" s="15" t="inlineStr">
        <is>
          <t>방향3</t>
        </is>
      </c>
      <c r="BB4" s="15" t="inlineStr">
        <is>
          <t>방향4</t>
        </is>
      </c>
      <c r="BC4" s="15" t="inlineStr">
        <is>
          <t>방향5</t>
        </is>
      </c>
      <c r="BD4" s="15" t="inlineStr">
        <is>
          <t>방향6</t>
        </is>
      </c>
      <c r="BE4" s="15" t="inlineStr">
        <is>
          <t>방향7</t>
        </is>
      </c>
      <c r="BF4" s="15" t="inlineStr">
        <is>
          <t>방향8</t>
        </is>
      </c>
      <c r="BG4" s="15" t="inlineStr">
        <is>
          <t>방향9</t>
        </is>
      </c>
      <c r="BH4" s="15" t="inlineStr">
        <is>
          <t>방향10</t>
        </is>
      </c>
      <c r="BI4" s="15" t="inlineStr">
        <is>
          <t>방향11</t>
        </is>
      </c>
      <c r="BJ4" s="15" t="inlineStr">
        <is>
          <t>방향12</t>
        </is>
      </c>
      <c r="BK4" s="15" t="inlineStr">
        <is>
          <t>방향13</t>
        </is>
      </c>
      <c r="BL4" s="15" t="inlineStr">
        <is>
          <t>방향14</t>
        </is>
      </c>
      <c r="BM4" s="15" t="inlineStr">
        <is>
          <t>방향15</t>
        </is>
      </c>
      <c r="BN4" s="15" t="inlineStr">
        <is>
          <t>방향16</t>
        </is>
      </c>
      <c r="BO4" s="15" t="inlineStr">
        <is>
          <t>방향17</t>
        </is>
      </c>
      <c r="BP4" s="15" t="inlineStr">
        <is>
          <t>방향18</t>
        </is>
      </c>
      <c r="BQ4" s="15" t="inlineStr">
        <is>
          <t>방향19</t>
        </is>
      </c>
      <c r="BR4" s="15" t="inlineStr">
        <is>
          <t>방향20</t>
        </is>
      </c>
    </row>
    <row r="5" ht="30" customHeight="1" s="1">
      <c r="A5" s="16" t="inlineStr">
        <is>
          <t>입장</t>
        </is>
      </c>
      <c r="B5" s="17" t="inlineStr">
        <is>
          <t>목소리 ※톤만 (말 없으면 빈칸)</t>
        </is>
      </c>
      <c r="C5" s="18" t="inlineStr">
        <is>
          <t>평이하고 낮은 톤</t>
        </is>
      </c>
      <c r="D5" s="18" t="n"/>
      <c r="E5" s="18" t="inlineStr">
        <is>
          <t>높고 빠름 [A]</t>
        </is>
      </c>
      <c r="F5" s="19" t="n"/>
      <c r="G5" s="18" t="inlineStr">
        <is>
          <t>커지거나 날카로움·꾸짖음 [A]</t>
        </is>
      </c>
      <c r="H5" s="16" t="inlineStr">
        <is>
          <t>보호자 행동 일관성</t>
        </is>
      </c>
      <c r="I5" s="20" t="inlineStr">
        <is>
          <t>★</t>
        </is>
      </c>
      <c r="J5" s="21" t="n"/>
      <c r="K5" s="22" t="n"/>
      <c r="L5" s="22" t="n"/>
      <c r="M5" s="22" t="n"/>
      <c r="N5" s="22" t="n"/>
      <c r="O5" s="22" t="n"/>
      <c r="P5" s="22" t="n"/>
      <c r="Q5" s="22" t="n"/>
      <c r="R5" s="22" t="n"/>
      <c r="S5" s="22" t="n"/>
      <c r="T5" s="22" t="n"/>
      <c r="U5" s="22" t="n"/>
      <c r="V5" s="22" t="n"/>
      <c r="W5" s="22" t="n"/>
      <c r="X5" s="22" t="n"/>
      <c r="Y5" s="22" t="n"/>
      <c r="Z5" s="22" t="n"/>
      <c r="AA5" s="22" t="n"/>
      <c r="AB5" s="22" t="n"/>
      <c r="AC5" s="22" t="n"/>
      <c r="AD5" t="inlineStr">
        <is>
          <t>CON</t>
        </is>
      </c>
      <c r="AE5">
        <f>IF($J5="","",IF(INDEX($C5:$G5,$J5)="","",$J5))</f>
        <v/>
      </c>
      <c r="AF5">
        <f>IF($K5="","",IF(INDEX($C5:$G5,$K5)="","",$K5))</f>
        <v/>
      </c>
      <c r="AG5">
        <f>IF($L5="","",IF(INDEX($C5:$G5,$L5)="","",$L5))</f>
        <v/>
      </c>
      <c r="AH5">
        <f>IF($M5="","",IF(INDEX($C5:$G5,$M5)="","",$M5))</f>
        <v/>
      </c>
      <c r="AI5">
        <f>IF($N5="","",IF(INDEX($C5:$G5,$N5)="","",$N5))</f>
        <v/>
      </c>
      <c r="AJ5">
        <f>IF($O5="","",IF(INDEX($C5:$G5,$O5)="","",$O5))</f>
        <v/>
      </c>
      <c r="AK5">
        <f>IF($P5="","",IF(INDEX($C5:$G5,$P5)="","",$P5))</f>
        <v/>
      </c>
      <c r="AL5">
        <f>IF($Q5="","",IF(INDEX($C5:$G5,$Q5)="","",$Q5))</f>
        <v/>
      </c>
      <c r="AM5">
        <f>IF($R5="","",IF(INDEX($C5:$G5,$R5)="","",$R5))</f>
        <v/>
      </c>
      <c r="AN5">
        <f>IF($S5="","",IF(INDEX($C5:$G5,$S5)="","",$S5))</f>
        <v/>
      </c>
      <c r="AO5">
        <f>IF($T5="","",IF(INDEX($C5:$G5,$T5)="","",$T5))</f>
        <v/>
      </c>
      <c r="AP5">
        <f>IF($U5="","",IF(INDEX($C5:$G5,$U5)="","",$U5))</f>
        <v/>
      </c>
      <c r="AQ5">
        <f>IF($V5="","",IF(INDEX($C5:$G5,$V5)="","",$V5))</f>
        <v/>
      </c>
      <c r="AR5">
        <f>IF($W5="","",IF(INDEX($C5:$G5,$W5)="","",$W5))</f>
        <v/>
      </c>
      <c r="AS5">
        <f>IF($X5="","",IF(INDEX($C5:$G5,$X5)="","",$X5))</f>
        <v/>
      </c>
      <c r="AT5">
        <f>IF($Y5="","",IF(INDEX($C5:$G5,$Y5)="","",$Y5))</f>
        <v/>
      </c>
      <c r="AU5">
        <f>IF($Z5="","",IF(INDEX($C5:$G5,$Z5)="","",$Z5))</f>
        <v/>
      </c>
      <c r="AV5">
        <f>IF($AA5="","",IF(INDEX($C5:$G5,$AA5)="","",$AA5))</f>
        <v/>
      </c>
      <c r="AW5">
        <f>IF($AB5="","",IF(INDEX($C5:$G5,$AB5)="","",$AB5))</f>
        <v/>
      </c>
      <c r="AX5">
        <f>IF($AC5="","",IF(INDEX($C5:$G5,$AC5)="","",$AC5))</f>
        <v/>
      </c>
      <c r="AY5">
        <f>IF($J5="","",IF(INDEX($C5:$G5,$J5)="","",IF(ISNUMBER(SEARCH("[A]",INDEX($C5:$G5,$J5))),"A",IF(ISNUMBER(SEARCH("[B]",INDEX($C5:$G5,$J5))),"B","-"))))</f>
        <v/>
      </c>
      <c r="AZ5">
        <f>IF($K5="","",IF(INDEX($C5:$G5,$K5)="","",IF(ISNUMBER(SEARCH("[A]",INDEX($C5:$G5,$K5))),"A",IF(ISNUMBER(SEARCH("[B]",INDEX($C5:$G5,$K5))),"B","-"))))</f>
        <v/>
      </c>
      <c r="BA5">
        <f>IF($L5="","",IF(INDEX($C5:$G5,$L5)="","",IF(ISNUMBER(SEARCH("[A]",INDEX($C5:$G5,$L5))),"A",IF(ISNUMBER(SEARCH("[B]",INDEX($C5:$G5,$L5))),"B","-"))))</f>
        <v/>
      </c>
      <c r="BB5">
        <f>IF($M5="","",IF(INDEX($C5:$G5,$M5)="","",IF(ISNUMBER(SEARCH("[A]",INDEX($C5:$G5,$M5))),"A",IF(ISNUMBER(SEARCH("[B]",INDEX($C5:$G5,$M5))),"B","-"))))</f>
        <v/>
      </c>
      <c r="BC5">
        <f>IF($N5="","",IF(INDEX($C5:$G5,$N5)="","",IF(ISNUMBER(SEARCH("[A]",INDEX($C5:$G5,$N5))),"A",IF(ISNUMBER(SEARCH("[B]",INDEX($C5:$G5,$N5))),"B","-"))))</f>
        <v/>
      </c>
      <c r="BD5">
        <f>IF($O5="","",IF(INDEX($C5:$G5,$O5)="","",IF(ISNUMBER(SEARCH("[A]",INDEX($C5:$G5,$O5))),"A",IF(ISNUMBER(SEARCH("[B]",INDEX($C5:$G5,$O5))),"B","-"))))</f>
        <v/>
      </c>
      <c r="BE5">
        <f>IF($P5="","",IF(INDEX($C5:$G5,$P5)="","",IF(ISNUMBER(SEARCH("[A]",INDEX($C5:$G5,$P5))),"A",IF(ISNUMBER(SEARCH("[B]",INDEX($C5:$G5,$P5))),"B","-"))))</f>
        <v/>
      </c>
      <c r="BF5">
        <f>IF($Q5="","",IF(INDEX($C5:$G5,$Q5)="","",IF(ISNUMBER(SEARCH("[A]",INDEX($C5:$G5,$Q5))),"A",IF(ISNUMBER(SEARCH("[B]",INDEX($C5:$G5,$Q5))),"B","-"))))</f>
        <v/>
      </c>
      <c r="BG5">
        <f>IF($R5="","",IF(INDEX($C5:$G5,$R5)="","",IF(ISNUMBER(SEARCH("[A]",INDEX($C5:$G5,$R5))),"A",IF(ISNUMBER(SEARCH("[B]",INDEX($C5:$G5,$R5))),"B","-"))))</f>
        <v/>
      </c>
      <c r="BH5">
        <f>IF($S5="","",IF(INDEX($C5:$G5,$S5)="","",IF(ISNUMBER(SEARCH("[A]",INDEX($C5:$G5,$S5))),"A",IF(ISNUMBER(SEARCH("[B]",INDEX($C5:$G5,$S5))),"B","-"))))</f>
        <v/>
      </c>
      <c r="BI5">
        <f>IF($T5="","",IF(INDEX($C5:$G5,$T5)="","",IF(ISNUMBER(SEARCH("[A]",INDEX($C5:$G5,$T5))),"A",IF(ISNUMBER(SEARCH("[B]",INDEX($C5:$G5,$T5))),"B","-"))))</f>
        <v/>
      </c>
      <c r="BJ5">
        <f>IF($U5="","",IF(INDEX($C5:$G5,$U5)="","",IF(ISNUMBER(SEARCH("[A]",INDEX($C5:$G5,$U5))),"A",IF(ISNUMBER(SEARCH("[B]",INDEX($C5:$G5,$U5))),"B","-"))))</f>
        <v/>
      </c>
      <c r="BK5">
        <f>IF($V5="","",IF(INDEX($C5:$G5,$V5)="","",IF(ISNUMBER(SEARCH("[A]",INDEX($C5:$G5,$V5))),"A",IF(ISNUMBER(SEARCH("[B]",INDEX($C5:$G5,$V5))),"B","-"))))</f>
        <v/>
      </c>
      <c r="BL5">
        <f>IF($W5="","",IF(INDEX($C5:$G5,$W5)="","",IF(ISNUMBER(SEARCH("[A]",INDEX($C5:$G5,$W5))),"A",IF(ISNUMBER(SEARCH("[B]",INDEX($C5:$G5,$W5))),"B","-"))))</f>
        <v/>
      </c>
      <c r="BM5">
        <f>IF($X5="","",IF(INDEX($C5:$G5,$X5)="","",IF(ISNUMBER(SEARCH("[A]",INDEX($C5:$G5,$X5))),"A",IF(ISNUMBER(SEARCH("[B]",INDEX($C5:$G5,$X5))),"B","-"))))</f>
        <v/>
      </c>
      <c r="BN5">
        <f>IF($Y5="","",IF(INDEX($C5:$G5,$Y5)="","",IF(ISNUMBER(SEARCH("[A]",INDEX($C5:$G5,$Y5))),"A",IF(ISNUMBER(SEARCH("[B]",INDEX($C5:$G5,$Y5))),"B","-"))))</f>
        <v/>
      </c>
      <c r="BO5">
        <f>IF($Z5="","",IF(INDEX($C5:$G5,$Z5)="","",IF(ISNUMBER(SEARCH("[A]",INDEX($C5:$G5,$Z5))),"A",IF(ISNUMBER(SEARCH("[B]",INDEX($C5:$G5,$Z5))),"B","-"))))</f>
        <v/>
      </c>
      <c r="BP5">
        <f>IF($AA5="","",IF(INDEX($C5:$G5,$AA5)="","",IF(ISNUMBER(SEARCH("[A]",INDEX($C5:$G5,$AA5))),"A",IF(ISNUMBER(SEARCH("[B]",INDEX($C5:$G5,$AA5))),"B","-"))))</f>
        <v/>
      </c>
      <c r="BQ5">
        <f>IF($AB5="","",IF(INDEX($C5:$G5,$AB5)="","",IF(ISNUMBER(SEARCH("[A]",INDEX($C5:$G5,$AB5))),"A",IF(ISNUMBER(SEARCH("[B]",INDEX($C5:$G5,$AB5))),"B","-"))))</f>
        <v/>
      </c>
      <c r="BR5">
        <f>IF($AC5="","",IF(INDEX($C5:$G5,$AC5)="","",IF(ISNUMBER(SEARCH("[A]",INDEX($C5:$G5,$AC5))),"A",IF(ISNUMBER(SEARCH("[B]",INDEX($C5:$G5,$AC5))),"B","-"))))</f>
        <v/>
      </c>
    </row>
    <row r="6" ht="30" customHeight="1" s="1">
      <c r="A6" s="16" t="inlineStr">
        <is>
          <t>입장</t>
        </is>
      </c>
      <c r="B6" s="17" t="inlineStr">
        <is>
          <t>리드줄</t>
        </is>
      </c>
      <c r="C6" s="18" t="inlineStr">
        <is>
          <t>느슨함 (U자 유지)</t>
        </is>
      </c>
      <c r="D6" s="19" t="n"/>
      <c r="E6" s="18" t="inlineStr">
        <is>
          <t>간헐적으로 팽팽해짐 [A]</t>
        </is>
      </c>
      <c r="F6" s="18" t="inlineStr">
        <is>
          <t>방치 (개가 시야 밖으로 가도 무반응) [B]</t>
        </is>
      </c>
      <c r="G6" s="18" t="inlineStr">
        <is>
          <t>지속적으로 팽팽·끌어당김 [A]</t>
        </is>
      </c>
      <c r="H6" s="16" t="inlineStr">
        <is>
          <t>보호자 행동 일관성</t>
        </is>
      </c>
      <c r="I6" s="20" t="n"/>
      <c r="J6" s="21" t="n"/>
      <c r="K6" s="22" t="n"/>
      <c r="L6" s="22" t="n"/>
      <c r="M6" s="22" t="n"/>
      <c r="N6" s="22" t="n"/>
      <c r="O6" s="22" t="n"/>
      <c r="P6" s="22" t="n"/>
      <c r="Q6" s="22" t="n"/>
      <c r="R6" s="22" t="n"/>
      <c r="S6" s="22" t="n"/>
      <c r="T6" s="22" t="n"/>
      <c r="U6" s="22" t="n"/>
      <c r="V6" s="22" t="n"/>
      <c r="W6" s="22" t="n"/>
      <c r="X6" s="22" t="n"/>
      <c r="Y6" s="22" t="n"/>
      <c r="Z6" s="22" t="n"/>
      <c r="AA6" s="22" t="n"/>
      <c r="AB6" s="22" t="n"/>
      <c r="AC6" s="22" t="n"/>
      <c r="AD6" t="inlineStr">
        <is>
          <t>CON</t>
        </is>
      </c>
      <c r="AE6">
        <f>IF($J6="","",IF(INDEX($C6:$G6,$J6)="","",$J6))</f>
        <v/>
      </c>
      <c r="AF6">
        <f>IF($K6="","",IF(INDEX($C6:$G6,$K6)="","",$K6))</f>
        <v/>
      </c>
      <c r="AG6">
        <f>IF($L6="","",IF(INDEX($C6:$G6,$L6)="","",$L6))</f>
        <v/>
      </c>
      <c r="AH6">
        <f>IF($M6="","",IF(INDEX($C6:$G6,$M6)="","",$M6))</f>
        <v/>
      </c>
      <c r="AI6">
        <f>IF($N6="","",IF(INDEX($C6:$G6,$N6)="","",$N6))</f>
        <v/>
      </c>
      <c r="AJ6">
        <f>IF($O6="","",IF(INDEX($C6:$G6,$O6)="","",$O6))</f>
        <v/>
      </c>
      <c r="AK6">
        <f>IF($P6="","",IF(INDEX($C6:$G6,$P6)="","",$P6))</f>
        <v/>
      </c>
      <c r="AL6">
        <f>IF($Q6="","",IF(INDEX($C6:$G6,$Q6)="","",$Q6))</f>
        <v/>
      </c>
      <c r="AM6">
        <f>IF($R6="","",IF(INDEX($C6:$G6,$R6)="","",$R6))</f>
        <v/>
      </c>
      <c r="AN6">
        <f>IF($S6="","",IF(INDEX($C6:$G6,$S6)="","",$S6))</f>
        <v/>
      </c>
      <c r="AO6">
        <f>IF($T6="","",IF(INDEX($C6:$G6,$T6)="","",$T6))</f>
        <v/>
      </c>
      <c r="AP6">
        <f>IF($U6="","",IF(INDEX($C6:$G6,$U6)="","",$U6))</f>
        <v/>
      </c>
      <c r="AQ6">
        <f>IF($V6="","",IF(INDEX($C6:$G6,$V6)="","",$V6))</f>
        <v/>
      </c>
      <c r="AR6">
        <f>IF($W6="","",IF(INDEX($C6:$G6,$W6)="","",$W6))</f>
        <v/>
      </c>
      <c r="AS6">
        <f>IF($X6="","",IF(INDEX($C6:$G6,$X6)="","",$X6))</f>
        <v/>
      </c>
      <c r="AT6">
        <f>IF($Y6="","",IF(INDEX($C6:$G6,$Y6)="","",$Y6))</f>
        <v/>
      </c>
      <c r="AU6">
        <f>IF($Z6="","",IF(INDEX($C6:$G6,$Z6)="","",$Z6))</f>
        <v/>
      </c>
      <c r="AV6">
        <f>IF($AA6="","",IF(INDEX($C6:$G6,$AA6)="","",$AA6))</f>
        <v/>
      </c>
      <c r="AW6">
        <f>IF($AB6="","",IF(INDEX($C6:$G6,$AB6)="","",$AB6))</f>
        <v/>
      </c>
      <c r="AX6">
        <f>IF($AC6="","",IF(INDEX($C6:$G6,$AC6)="","",$AC6))</f>
        <v/>
      </c>
      <c r="AY6">
        <f>IF($J6="","",IF(INDEX($C6:$G6,$J6)="","",IF(ISNUMBER(SEARCH("[A]",INDEX($C6:$G6,$J6))),"A",IF(ISNUMBER(SEARCH("[B]",INDEX($C6:$G6,$J6))),"B","-"))))</f>
        <v/>
      </c>
      <c r="AZ6">
        <f>IF($K6="","",IF(INDEX($C6:$G6,$K6)="","",IF(ISNUMBER(SEARCH("[A]",INDEX($C6:$G6,$K6))),"A",IF(ISNUMBER(SEARCH("[B]",INDEX($C6:$G6,$K6))),"B","-"))))</f>
        <v/>
      </c>
      <c r="BA6">
        <f>IF($L6="","",IF(INDEX($C6:$G6,$L6)="","",IF(ISNUMBER(SEARCH("[A]",INDEX($C6:$G6,$L6))),"A",IF(ISNUMBER(SEARCH("[B]",INDEX($C6:$G6,$L6))),"B","-"))))</f>
        <v/>
      </c>
      <c r="BB6">
        <f>IF($M6="","",IF(INDEX($C6:$G6,$M6)="","",IF(ISNUMBER(SEARCH("[A]",INDEX($C6:$G6,$M6))),"A",IF(ISNUMBER(SEARCH("[B]",INDEX($C6:$G6,$M6))),"B","-"))))</f>
        <v/>
      </c>
      <c r="BC6">
        <f>IF($N6="","",IF(INDEX($C6:$G6,$N6)="","",IF(ISNUMBER(SEARCH("[A]",INDEX($C6:$G6,$N6))),"A",IF(ISNUMBER(SEARCH("[B]",INDEX($C6:$G6,$N6))),"B","-"))))</f>
        <v/>
      </c>
      <c r="BD6">
        <f>IF($O6="","",IF(INDEX($C6:$G6,$O6)="","",IF(ISNUMBER(SEARCH("[A]",INDEX($C6:$G6,$O6))),"A",IF(ISNUMBER(SEARCH("[B]",INDEX($C6:$G6,$O6))),"B","-"))))</f>
        <v/>
      </c>
      <c r="BE6">
        <f>IF($P6="","",IF(INDEX($C6:$G6,$P6)="","",IF(ISNUMBER(SEARCH("[A]",INDEX($C6:$G6,$P6))),"A",IF(ISNUMBER(SEARCH("[B]",INDEX($C6:$G6,$P6))),"B","-"))))</f>
        <v/>
      </c>
      <c r="BF6">
        <f>IF($Q6="","",IF(INDEX($C6:$G6,$Q6)="","",IF(ISNUMBER(SEARCH("[A]",INDEX($C6:$G6,$Q6))),"A",IF(ISNUMBER(SEARCH("[B]",INDEX($C6:$G6,$Q6))),"B","-"))))</f>
        <v/>
      </c>
      <c r="BG6">
        <f>IF($R6="","",IF(INDEX($C6:$G6,$R6)="","",IF(ISNUMBER(SEARCH("[A]",INDEX($C6:$G6,$R6))),"A",IF(ISNUMBER(SEARCH("[B]",INDEX($C6:$G6,$R6))),"B","-"))))</f>
        <v/>
      </c>
      <c r="BH6">
        <f>IF($S6="","",IF(INDEX($C6:$G6,$S6)="","",IF(ISNUMBER(SEARCH("[A]",INDEX($C6:$G6,$S6))),"A",IF(ISNUMBER(SEARCH("[B]",INDEX($C6:$G6,$S6))),"B","-"))))</f>
        <v/>
      </c>
      <c r="BI6">
        <f>IF($T6="","",IF(INDEX($C6:$G6,$T6)="","",IF(ISNUMBER(SEARCH("[A]",INDEX($C6:$G6,$T6))),"A",IF(ISNUMBER(SEARCH("[B]",INDEX($C6:$G6,$T6))),"B","-"))))</f>
        <v/>
      </c>
      <c r="BJ6">
        <f>IF($U6="","",IF(INDEX($C6:$G6,$U6)="","",IF(ISNUMBER(SEARCH("[A]",INDEX($C6:$G6,$U6))),"A",IF(ISNUMBER(SEARCH("[B]",INDEX($C6:$G6,$U6))),"B","-"))))</f>
        <v/>
      </c>
      <c r="BK6">
        <f>IF($V6="","",IF(INDEX($C6:$G6,$V6)="","",IF(ISNUMBER(SEARCH("[A]",INDEX($C6:$G6,$V6))),"A",IF(ISNUMBER(SEARCH("[B]",INDEX($C6:$G6,$V6))),"B","-"))))</f>
        <v/>
      </c>
      <c r="BL6">
        <f>IF($W6="","",IF(INDEX($C6:$G6,$W6)="","",IF(ISNUMBER(SEARCH("[A]",INDEX($C6:$G6,$W6))),"A",IF(ISNUMBER(SEARCH("[B]",INDEX($C6:$G6,$W6))),"B","-"))))</f>
        <v/>
      </c>
      <c r="BM6">
        <f>IF($X6="","",IF(INDEX($C6:$G6,$X6)="","",IF(ISNUMBER(SEARCH("[A]",INDEX($C6:$G6,$X6))),"A",IF(ISNUMBER(SEARCH("[B]",INDEX($C6:$G6,$X6))),"B","-"))))</f>
        <v/>
      </c>
      <c r="BN6">
        <f>IF($Y6="","",IF(INDEX($C6:$G6,$Y6)="","",IF(ISNUMBER(SEARCH("[A]",INDEX($C6:$G6,$Y6))),"A",IF(ISNUMBER(SEARCH("[B]",INDEX($C6:$G6,$Y6))),"B","-"))))</f>
        <v/>
      </c>
      <c r="BO6">
        <f>IF($Z6="","",IF(INDEX($C6:$G6,$Z6)="","",IF(ISNUMBER(SEARCH("[A]",INDEX($C6:$G6,$Z6))),"A",IF(ISNUMBER(SEARCH("[B]",INDEX($C6:$G6,$Z6))),"B","-"))))</f>
        <v/>
      </c>
      <c r="BP6">
        <f>IF($AA6="","",IF(INDEX($C6:$G6,$AA6)="","",IF(ISNUMBER(SEARCH("[A]",INDEX($C6:$G6,$AA6))),"A",IF(ISNUMBER(SEARCH("[B]",INDEX($C6:$G6,$AA6))),"B","-"))))</f>
        <v/>
      </c>
      <c r="BQ6">
        <f>IF($AB6="","",IF(INDEX($C6:$G6,$AB6)="","",IF(ISNUMBER(SEARCH("[A]",INDEX($C6:$G6,$AB6))),"A",IF(ISNUMBER(SEARCH("[B]",INDEX($C6:$G6,$AB6))),"B","-"))))</f>
        <v/>
      </c>
      <c r="BR6">
        <f>IF($AC6="","",IF(INDEX($C6:$G6,$AC6)="","",IF(ISNUMBER(SEARCH("[A]",INDEX($C6:$G6,$AC6))),"A",IF(ISNUMBER(SEARCH("[B]",INDEX($C6:$G6,$AC6))),"B","-"))))</f>
        <v/>
      </c>
    </row>
    <row r="7" ht="30" customHeight="1" s="1">
      <c r="A7" s="16" t="inlineStr">
        <is>
          <t>입장</t>
        </is>
      </c>
      <c r="B7" s="17" t="inlineStr">
        <is>
          <t>지시·말 반복</t>
        </is>
      </c>
      <c r="C7" s="18" t="inlineStr">
        <is>
          <t>1회만 말하고 기다림</t>
        </is>
      </c>
      <c r="D7" s="19" t="inlineStr">
        <is>
          <t>2~3회 반복 [A]</t>
        </is>
      </c>
      <c r="E7" s="18" t="inlineStr">
        <is>
          <t>4회 이상·지시어 뒤섞임 [A]</t>
        </is>
      </c>
      <c r="F7" s="19" t="inlineStr">
        <is>
          <t>말 없음·방치 [B]</t>
        </is>
      </c>
      <c r="G7" s="18" t="inlineStr">
        <is>
          <t>쉼 없이 연발·개가 반응할 틈이 없음 [A]</t>
        </is>
      </c>
      <c r="H7" s="16" t="inlineStr">
        <is>
          <t>보호자 행동 일관성</t>
        </is>
      </c>
      <c r="I7" s="20" t="n"/>
      <c r="J7" s="21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t="inlineStr">
        <is>
          <t>CON</t>
        </is>
      </c>
      <c r="AE7">
        <f>IF($J7="","",IF(INDEX($C7:$G7,$J7)="","",$J7))</f>
        <v/>
      </c>
      <c r="AF7">
        <f>IF($K7="","",IF(INDEX($C7:$G7,$K7)="","",$K7))</f>
        <v/>
      </c>
      <c r="AG7">
        <f>IF($L7="","",IF(INDEX($C7:$G7,$L7)="","",$L7))</f>
        <v/>
      </c>
      <c r="AH7">
        <f>IF($M7="","",IF(INDEX($C7:$G7,$M7)="","",$M7))</f>
        <v/>
      </c>
      <c r="AI7">
        <f>IF($N7="","",IF(INDEX($C7:$G7,$N7)="","",$N7))</f>
        <v/>
      </c>
      <c r="AJ7">
        <f>IF($O7="","",IF(INDEX($C7:$G7,$O7)="","",$O7))</f>
        <v/>
      </c>
      <c r="AK7">
        <f>IF($P7="","",IF(INDEX($C7:$G7,$P7)="","",$P7))</f>
        <v/>
      </c>
      <c r="AL7">
        <f>IF($Q7="","",IF(INDEX($C7:$G7,$Q7)="","",$Q7))</f>
        <v/>
      </c>
      <c r="AM7">
        <f>IF($R7="","",IF(INDEX($C7:$G7,$R7)="","",$R7))</f>
        <v/>
      </c>
      <c r="AN7">
        <f>IF($S7="","",IF(INDEX($C7:$G7,$S7)="","",$S7))</f>
        <v/>
      </c>
      <c r="AO7">
        <f>IF($T7="","",IF(INDEX($C7:$G7,$T7)="","",$T7))</f>
        <v/>
      </c>
      <c r="AP7">
        <f>IF($U7="","",IF(INDEX($C7:$G7,$U7)="","",$U7))</f>
        <v/>
      </c>
      <c r="AQ7">
        <f>IF($V7="","",IF(INDEX($C7:$G7,$V7)="","",$V7))</f>
        <v/>
      </c>
      <c r="AR7">
        <f>IF($W7="","",IF(INDEX($C7:$G7,$W7)="","",$W7))</f>
        <v/>
      </c>
      <c r="AS7">
        <f>IF($X7="","",IF(INDEX($C7:$G7,$X7)="","",$X7))</f>
        <v/>
      </c>
      <c r="AT7">
        <f>IF($Y7="","",IF(INDEX($C7:$G7,$Y7)="","",$Y7))</f>
        <v/>
      </c>
      <c r="AU7">
        <f>IF($Z7="","",IF(INDEX($C7:$G7,$Z7)="","",$Z7))</f>
        <v/>
      </c>
      <c r="AV7">
        <f>IF($AA7="","",IF(INDEX($C7:$G7,$AA7)="","",$AA7))</f>
        <v/>
      </c>
      <c r="AW7">
        <f>IF($AB7="","",IF(INDEX($C7:$G7,$AB7)="","",$AB7))</f>
        <v/>
      </c>
      <c r="AX7">
        <f>IF($AC7="","",IF(INDEX($C7:$G7,$AC7)="","",$AC7))</f>
        <v/>
      </c>
      <c r="AY7">
        <f>IF($J7="","",IF(INDEX($C7:$G7,$J7)="","",IF(ISNUMBER(SEARCH("[A]",INDEX($C7:$G7,$J7))),"A",IF(ISNUMBER(SEARCH("[B]",INDEX($C7:$G7,$J7))),"B","-"))))</f>
        <v/>
      </c>
      <c r="AZ7">
        <f>IF($K7="","",IF(INDEX($C7:$G7,$K7)="","",IF(ISNUMBER(SEARCH("[A]",INDEX($C7:$G7,$K7))),"A",IF(ISNUMBER(SEARCH("[B]",INDEX($C7:$G7,$K7))),"B","-"))))</f>
        <v/>
      </c>
      <c r="BA7">
        <f>IF($L7="","",IF(INDEX($C7:$G7,$L7)="","",IF(ISNUMBER(SEARCH("[A]",INDEX($C7:$G7,$L7))),"A",IF(ISNUMBER(SEARCH("[B]",INDEX($C7:$G7,$L7))),"B","-"))))</f>
        <v/>
      </c>
      <c r="BB7">
        <f>IF($M7="","",IF(INDEX($C7:$G7,$M7)="","",IF(ISNUMBER(SEARCH("[A]",INDEX($C7:$G7,$M7))),"A",IF(ISNUMBER(SEARCH("[B]",INDEX($C7:$G7,$M7))),"B","-"))))</f>
        <v/>
      </c>
      <c r="BC7">
        <f>IF($N7="","",IF(INDEX($C7:$G7,$N7)="","",IF(ISNUMBER(SEARCH("[A]",INDEX($C7:$G7,$N7))),"A",IF(ISNUMBER(SEARCH("[B]",INDEX($C7:$G7,$N7))),"B","-"))))</f>
        <v/>
      </c>
      <c r="BD7">
        <f>IF($O7="","",IF(INDEX($C7:$G7,$O7)="","",IF(ISNUMBER(SEARCH("[A]",INDEX($C7:$G7,$O7))),"A",IF(ISNUMBER(SEARCH("[B]",INDEX($C7:$G7,$O7))),"B","-"))))</f>
        <v/>
      </c>
      <c r="BE7">
        <f>IF($P7="","",IF(INDEX($C7:$G7,$P7)="","",IF(ISNUMBER(SEARCH("[A]",INDEX($C7:$G7,$P7))),"A",IF(ISNUMBER(SEARCH("[B]",INDEX($C7:$G7,$P7))),"B","-"))))</f>
        <v/>
      </c>
      <c r="BF7">
        <f>IF($Q7="","",IF(INDEX($C7:$G7,$Q7)="","",IF(ISNUMBER(SEARCH("[A]",INDEX($C7:$G7,$Q7))),"A",IF(ISNUMBER(SEARCH("[B]",INDEX($C7:$G7,$Q7))),"B","-"))))</f>
        <v/>
      </c>
      <c r="BG7">
        <f>IF($R7="","",IF(INDEX($C7:$G7,$R7)="","",IF(ISNUMBER(SEARCH("[A]",INDEX($C7:$G7,$R7))),"A",IF(ISNUMBER(SEARCH("[B]",INDEX($C7:$G7,$R7))),"B","-"))))</f>
        <v/>
      </c>
      <c r="BH7">
        <f>IF($S7="","",IF(INDEX($C7:$G7,$S7)="","",IF(ISNUMBER(SEARCH("[A]",INDEX($C7:$G7,$S7))),"A",IF(ISNUMBER(SEARCH("[B]",INDEX($C7:$G7,$S7))),"B","-"))))</f>
        <v/>
      </c>
      <c r="BI7">
        <f>IF($T7="","",IF(INDEX($C7:$G7,$T7)="","",IF(ISNUMBER(SEARCH("[A]",INDEX($C7:$G7,$T7))),"A",IF(ISNUMBER(SEARCH("[B]",INDEX($C7:$G7,$T7))),"B","-"))))</f>
        <v/>
      </c>
      <c r="BJ7">
        <f>IF($U7="","",IF(INDEX($C7:$G7,$U7)="","",IF(ISNUMBER(SEARCH("[A]",INDEX($C7:$G7,$U7))),"A",IF(ISNUMBER(SEARCH("[B]",INDEX($C7:$G7,$U7))),"B","-"))))</f>
        <v/>
      </c>
      <c r="BK7">
        <f>IF($V7="","",IF(INDEX($C7:$G7,$V7)="","",IF(ISNUMBER(SEARCH("[A]",INDEX($C7:$G7,$V7))),"A",IF(ISNUMBER(SEARCH("[B]",INDEX($C7:$G7,$V7))),"B","-"))))</f>
        <v/>
      </c>
      <c r="BL7">
        <f>IF($W7="","",IF(INDEX($C7:$G7,$W7)="","",IF(ISNUMBER(SEARCH("[A]",INDEX($C7:$G7,$W7))),"A",IF(ISNUMBER(SEARCH("[B]",INDEX($C7:$G7,$W7))),"B","-"))))</f>
        <v/>
      </c>
      <c r="BM7">
        <f>IF($X7="","",IF(INDEX($C7:$G7,$X7)="","",IF(ISNUMBER(SEARCH("[A]",INDEX($C7:$G7,$X7))),"A",IF(ISNUMBER(SEARCH("[B]",INDEX($C7:$G7,$X7))),"B","-"))))</f>
        <v/>
      </c>
      <c r="BN7">
        <f>IF($Y7="","",IF(INDEX($C7:$G7,$Y7)="","",IF(ISNUMBER(SEARCH("[A]",INDEX($C7:$G7,$Y7))),"A",IF(ISNUMBER(SEARCH("[B]",INDEX($C7:$G7,$Y7))),"B","-"))))</f>
        <v/>
      </c>
      <c r="BO7">
        <f>IF($Z7="","",IF(INDEX($C7:$G7,$Z7)="","",IF(ISNUMBER(SEARCH("[A]",INDEX($C7:$G7,$Z7))),"A",IF(ISNUMBER(SEARCH("[B]",INDEX($C7:$G7,$Z7))),"B","-"))))</f>
        <v/>
      </c>
      <c r="BP7">
        <f>IF($AA7="","",IF(INDEX($C7:$G7,$AA7)="","",IF(ISNUMBER(SEARCH("[A]",INDEX($C7:$G7,$AA7))),"A",IF(ISNUMBER(SEARCH("[B]",INDEX($C7:$G7,$AA7))),"B","-"))))</f>
        <v/>
      </c>
      <c r="BQ7">
        <f>IF($AB7="","",IF(INDEX($C7:$G7,$AB7)="","",IF(ISNUMBER(SEARCH("[A]",INDEX($C7:$G7,$AB7))),"A",IF(ISNUMBER(SEARCH("[B]",INDEX($C7:$G7,$AB7))),"B","-"))))</f>
        <v/>
      </c>
      <c r="BR7">
        <f>IF($AC7="","",IF(INDEX($C7:$G7,$AC7)="","",IF(ISNUMBER(SEARCH("[A]",INDEX($C7:$G7,$AC7))),"A",IF(ISNUMBER(SEARCH("[B]",INDEX($C7:$G7,$AC7))),"B","-"))))</f>
        <v/>
      </c>
    </row>
    <row r="8" ht="30" customHeight="1" s="1">
      <c r="A8" s="16" t="inlineStr">
        <is>
          <t>입장</t>
        </is>
      </c>
      <c r="B8" s="17" t="inlineStr">
        <is>
          <t>개와의 거리</t>
        </is>
      </c>
      <c r="C8" s="23" t="inlineStr">
        <is>
          <t>적정 거리에서 주의 유지</t>
        </is>
      </c>
      <c r="D8" s="23" t="n"/>
      <c r="E8" s="23" t="inlineStr">
        <is>
          <t>거리 유지·개에 관심 없음 [B]</t>
        </is>
      </c>
      <c r="F8" s="18" t="inlineStr">
        <is>
          <t>계속 붙어 만짐·안아 올림 [A]</t>
        </is>
      </c>
      <c r="G8" s="18" t="inlineStr">
        <is>
          <t>개를 완전히 놓침·다른 데 가 있음 [B]</t>
        </is>
      </c>
      <c r="H8" s="16" t="inlineStr">
        <is>
          <t>보호자 행동 일관성</t>
        </is>
      </c>
      <c r="I8" s="20" t="n"/>
      <c r="J8" s="21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  <c r="V8" s="22" t="n"/>
      <c r="W8" s="22" t="n"/>
      <c r="X8" s="22" t="n"/>
      <c r="Y8" s="22" t="n"/>
      <c r="Z8" s="22" t="n"/>
      <c r="AA8" s="22" t="n"/>
      <c r="AB8" s="22" t="n"/>
      <c r="AC8" s="22" t="n"/>
      <c r="AD8" t="inlineStr">
        <is>
          <t>CON</t>
        </is>
      </c>
      <c r="AE8">
        <f>IF($J8="","",IF(INDEX($C8:$G8,$J8)="","",$J8))</f>
        <v/>
      </c>
      <c r="AF8">
        <f>IF($K8="","",IF(INDEX($C8:$G8,$K8)="","",$K8))</f>
        <v/>
      </c>
      <c r="AG8">
        <f>IF($L8="","",IF(INDEX($C8:$G8,$L8)="","",$L8))</f>
        <v/>
      </c>
      <c r="AH8">
        <f>IF($M8="","",IF(INDEX($C8:$G8,$M8)="","",$M8))</f>
        <v/>
      </c>
      <c r="AI8">
        <f>IF($N8="","",IF(INDEX($C8:$G8,$N8)="","",$N8))</f>
        <v/>
      </c>
      <c r="AJ8">
        <f>IF($O8="","",IF(INDEX($C8:$G8,$O8)="","",$O8))</f>
        <v/>
      </c>
      <c r="AK8">
        <f>IF($P8="","",IF(INDEX($C8:$G8,$P8)="","",$P8))</f>
        <v/>
      </c>
      <c r="AL8">
        <f>IF($Q8="","",IF(INDEX($C8:$G8,$Q8)="","",$Q8))</f>
        <v/>
      </c>
      <c r="AM8">
        <f>IF($R8="","",IF(INDEX($C8:$G8,$R8)="","",$R8))</f>
        <v/>
      </c>
      <c r="AN8">
        <f>IF($S8="","",IF(INDEX($C8:$G8,$S8)="","",$S8))</f>
        <v/>
      </c>
      <c r="AO8">
        <f>IF($T8="","",IF(INDEX($C8:$G8,$T8)="","",$T8))</f>
        <v/>
      </c>
      <c r="AP8">
        <f>IF($U8="","",IF(INDEX($C8:$G8,$U8)="","",$U8))</f>
        <v/>
      </c>
      <c r="AQ8">
        <f>IF($V8="","",IF(INDEX($C8:$G8,$V8)="","",$V8))</f>
        <v/>
      </c>
      <c r="AR8">
        <f>IF($W8="","",IF(INDEX($C8:$G8,$W8)="","",$W8))</f>
        <v/>
      </c>
      <c r="AS8">
        <f>IF($X8="","",IF(INDEX($C8:$G8,$X8)="","",$X8))</f>
        <v/>
      </c>
      <c r="AT8">
        <f>IF($Y8="","",IF(INDEX($C8:$G8,$Y8)="","",$Y8))</f>
        <v/>
      </c>
      <c r="AU8">
        <f>IF($Z8="","",IF(INDEX($C8:$G8,$Z8)="","",$Z8))</f>
        <v/>
      </c>
      <c r="AV8">
        <f>IF($AA8="","",IF(INDEX($C8:$G8,$AA8)="","",$AA8))</f>
        <v/>
      </c>
      <c r="AW8">
        <f>IF($AB8="","",IF(INDEX($C8:$G8,$AB8)="","",$AB8))</f>
        <v/>
      </c>
      <c r="AX8">
        <f>IF($AC8="","",IF(INDEX($C8:$G8,$AC8)="","",$AC8))</f>
        <v/>
      </c>
      <c r="AY8">
        <f>IF($J8="","",IF(INDEX($C8:$G8,$J8)="","",IF(ISNUMBER(SEARCH("[A]",INDEX($C8:$G8,$J8))),"A",IF(ISNUMBER(SEARCH("[B]",INDEX($C8:$G8,$J8))),"B","-"))))</f>
        <v/>
      </c>
      <c r="AZ8">
        <f>IF($K8="","",IF(INDEX($C8:$G8,$K8)="","",IF(ISNUMBER(SEARCH("[A]",INDEX($C8:$G8,$K8))),"A",IF(ISNUMBER(SEARCH("[B]",INDEX($C8:$G8,$K8))),"B","-"))))</f>
        <v/>
      </c>
      <c r="BA8">
        <f>IF($L8="","",IF(INDEX($C8:$G8,$L8)="","",IF(ISNUMBER(SEARCH("[A]",INDEX($C8:$G8,$L8))),"A",IF(ISNUMBER(SEARCH("[B]",INDEX($C8:$G8,$L8))),"B","-"))))</f>
        <v/>
      </c>
      <c r="BB8">
        <f>IF($M8="","",IF(INDEX($C8:$G8,$M8)="","",IF(ISNUMBER(SEARCH("[A]",INDEX($C8:$G8,$M8))),"A",IF(ISNUMBER(SEARCH("[B]",INDEX($C8:$G8,$M8))),"B","-"))))</f>
        <v/>
      </c>
      <c r="BC8">
        <f>IF($N8="","",IF(INDEX($C8:$G8,$N8)="","",IF(ISNUMBER(SEARCH("[A]",INDEX($C8:$G8,$N8))),"A",IF(ISNUMBER(SEARCH("[B]",INDEX($C8:$G8,$N8))),"B","-"))))</f>
        <v/>
      </c>
      <c r="BD8">
        <f>IF($O8="","",IF(INDEX($C8:$G8,$O8)="","",IF(ISNUMBER(SEARCH("[A]",INDEX($C8:$G8,$O8))),"A",IF(ISNUMBER(SEARCH("[B]",INDEX($C8:$G8,$O8))),"B","-"))))</f>
        <v/>
      </c>
      <c r="BE8">
        <f>IF($P8="","",IF(INDEX($C8:$G8,$P8)="","",IF(ISNUMBER(SEARCH("[A]",INDEX($C8:$G8,$P8))),"A",IF(ISNUMBER(SEARCH("[B]",INDEX($C8:$G8,$P8))),"B","-"))))</f>
        <v/>
      </c>
      <c r="BF8">
        <f>IF($Q8="","",IF(INDEX($C8:$G8,$Q8)="","",IF(ISNUMBER(SEARCH("[A]",INDEX($C8:$G8,$Q8))),"A",IF(ISNUMBER(SEARCH("[B]",INDEX($C8:$G8,$Q8))),"B","-"))))</f>
        <v/>
      </c>
      <c r="BG8">
        <f>IF($R8="","",IF(INDEX($C8:$G8,$R8)="","",IF(ISNUMBER(SEARCH("[A]",INDEX($C8:$G8,$R8))),"A",IF(ISNUMBER(SEARCH("[B]",INDEX($C8:$G8,$R8))),"B","-"))))</f>
        <v/>
      </c>
      <c r="BH8">
        <f>IF($S8="","",IF(INDEX($C8:$G8,$S8)="","",IF(ISNUMBER(SEARCH("[A]",INDEX($C8:$G8,$S8))),"A",IF(ISNUMBER(SEARCH("[B]",INDEX($C8:$G8,$S8))),"B","-"))))</f>
        <v/>
      </c>
      <c r="BI8">
        <f>IF($T8="","",IF(INDEX($C8:$G8,$T8)="","",IF(ISNUMBER(SEARCH("[A]",INDEX($C8:$G8,$T8))),"A",IF(ISNUMBER(SEARCH("[B]",INDEX($C8:$G8,$T8))),"B","-"))))</f>
        <v/>
      </c>
      <c r="BJ8">
        <f>IF($U8="","",IF(INDEX($C8:$G8,$U8)="","",IF(ISNUMBER(SEARCH("[A]",INDEX($C8:$G8,$U8))),"A",IF(ISNUMBER(SEARCH("[B]",INDEX($C8:$G8,$U8))),"B","-"))))</f>
        <v/>
      </c>
      <c r="BK8">
        <f>IF($V8="","",IF(INDEX($C8:$G8,$V8)="","",IF(ISNUMBER(SEARCH("[A]",INDEX($C8:$G8,$V8))),"A",IF(ISNUMBER(SEARCH("[B]",INDEX($C8:$G8,$V8))),"B","-"))))</f>
        <v/>
      </c>
      <c r="BL8">
        <f>IF($W8="","",IF(INDEX($C8:$G8,$W8)="","",IF(ISNUMBER(SEARCH("[A]",INDEX($C8:$G8,$W8))),"A",IF(ISNUMBER(SEARCH("[B]",INDEX($C8:$G8,$W8))),"B","-"))))</f>
        <v/>
      </c>
      <c r="BM8">
        <f>IF($X8="","",IF(INDEX($C8:$G8,$X8)="","",IF(ISNUMBER(SEARCH("[A]",INDEX($C8:$G8,$X8))),"A",IF(ISNUMBER(SEARCH("[B]",INDEX($C8:$G8,$X8))),"B","-"))))</f>
        <v/>
      </c>
      <c r="BN8">
        <f>IF($Y8="","",IF(INDEX($C8:$G8,$Y8)="","",IF(ISNUMBER(SEARCH("[A]",INDEX($C8:$G8,$Y8))),"A",IF(ISNUMBER(SEARCH("[B]",INDEX($C8:$G8,$Y8))),"B","-"))))</f>
        <v/>
      </c>
      <c r="BO8">
        <f>IF($Z8="","",IF(INDEX($C8:$G8,$Z8)="","",IF(ISNUMBER(SEARCH("[A]",INDEX($C8:$G8,$Z8))),"A",IF(ISNUMBER(SEARCH("[B]",INDEX($C8:$G8,$Z8))),"B","-"))))</f>
        <v/>
      </c>
      <c r="BP8">
        <f>IF($AA8="","",IF(INDEX($C8:$G8,$AA8)="","",IF(ISNUMBER(SEARCH("[A]",INDEX($C8:$G8,$AA8))),"A",IF(ISNUMBER(SEARCH("[B]",INDEX($C8:$G8,$AA8))),"B","-"))))</f>
        <v/>
      </c>
      <c r="BQ8">
        <f>IF($AB8="","",IF(INDEX($C8:$G8,$AB8)="","",IF(ISNUMBER(SEARCH("[A]",INDEX($C8:$G8,$AB8))),"A",IF(ISNUMBER(SEARCH("[B]",INDEX($C8:$G8,$AB8))),"B","-"))))</f>
        <v/>
      </c>
      <c r="BR8">
        <f>IF($AC8="","",IF(INDEX($C8:$G8,$AC8)="","",IF(ISNUMBER(SEARCH("[A]",INDEX($C8:$G8,$AC8))),"A",IF(ISNUMBER(SEARCH("[B]",INDEX($C8:$G8,$AC8))),"B","-"))))</f>
        <v/>
      </c>
    </row>
    <row r="9" ht="30" customHeight="1" s="1">
      <c r="A9" s="16" t="inlineStr">
        <is>
          <t>입장</t>
        </is>
      </c>
      <c r="B9" s="17" t="inlineStr">
        <is>
          <t>시선</t>
        </is>
      </c>
      <c r="C9" s="18" t="inlineStr">
        <is>
          <t>개를 보고 있음</t>
        </is>
      </c>
      <c r="D9" s="19" t="inlineStr">
        <is>
          <t>가끔 다른 곳을 봄 [B]</t>
        </is>
      </c>
      <c r="E9" s="18" t="inlineStr">
        <is>
          <t>휴대폰·타인·딴 곳 응시 [B]</t>
        </is>
      </c>
      <c r="F9" s="18" t="n"/>
      <c r="G9" s="18" t="inlineStr">
        <is>
          <t>촬영 내내 개를 보지 않음 [B]</t>
        </is>
      </c>
      <c r="H9" s="16" t="inlineStr">
        <is>
          <t>보호자 행동 일관성</t>
        </is>
      </c>
      <c r="I9" s="20" t="inlineStr">
        <is>
          <t>★</t>
        </is>
      </c>
      <c r="J9" s="21" t="n"/>
      <c r="K9" s="22" t="n"/>
      <c r="L9" s="22" t="n"/>
      <c r="M9" s="22" t="n"/>
      <c r="N9" s="22" t="n"/>
      <c r="O9" s="22" t="n"/>
      <c r="P9" s="22" t="n"/>
      <c r="Q9" s="22" t="n"/>
      <c r="R9" s="22" t="n"/>
      <c r="S9" s="22" t="n"/>
      <c r="T9" s="22" t="n"/>
      <c r="U9" s="22" t="n"/>
      <c r="V9" s="22" t="n"/>
      <c r="W9" s="22" t="n"/>
      <c r="X9" s="22" t="n"/>
      <c r="Y9" s="22" t="n"/>
      <c r="Z9" s="22" t="n"/>
      <c r="AA9" s="22" t="n"/>
      <c r="AB9" s="22" t="n"/>
      <c r="AC9" s="22" t="n"/>
      <c r="AD9" t="inlineStr">
        <is>
          <t>CON</t>
        </is>
      </c>
      <c r="AE9">
        <f>IF($J9="","",IF(INDEX($C9:$G9,$J9)="","",$J9))</f>
        <v/>
      </c>
      <c r="AF9">
        <f>IF($K9="","",IF(INDEX($C9:$G9,$K9)="","",$K9))</f>
        <v/>
      </c>
      <c r="AG9">
        <f>IF($L9="","",IF(INDEX($C9:$G9,$L9)="","",$L9))</f>
        <v/>
      </c>
      <c r="AH9">
        <f>IF($M9="","",IF(INDEX($C9:$G9,$M9)="","",$M9))</f>
        <v/>
      </c>
      <c r="AI9">
        <f>IF($N9="","",IF(INDEX($C9:$G9,$N9)="","",$N9))</f>
        <v/>
      </c>
      <c r="AJ9">
        <f>IF($O9="","",IF(INDEX($C9:$G9,$O9)="","",$O9))</f>
        <v/>
      </c>
      <c r="AK9">
        <f>IF($P9="","",IF(INDEX($C9:$G9,$P9)="","",$P9))</f>
        <v/>
      </c>
      <c r="AL9">
        <f>IF($Q9="","",IF(INDEX($C9:$G9,$Q9)="","",$Q9))</f>
        <v/>
      </c>
      <c r="AM9">
        <f>IF($R9="","",IF(INDEX($C9:$G9,$R9)="","",$R9))</f>
        <v/>
      </c>
      <c r="AN9">
        <f>IF($S9="","",IF(INDEX($C9:$G9,$S9)="","",$S9))</f>
        <v/>
      </c>
      <c r="AO9">
        <f>IF($T9="","",IF(INDEX($C9:$G9,$T9)="","",$T9))</f>
        <v/>
      </c>
      <c r="AP9">
        <f>IF($U9="","",IF(INDEX($C9:$G9,$U9)="","",$U9))</f>
        <v/>
      </c>
      <c r="AQ9">
        <f>IF($V9="","",IF(INDEX($C9:$G9,$V9)="","",$V9))</f>
        <v/>
      </c>
      <c r="AR9">
        <f>IF($W9="","",IF(INDEX($C9:$G9,$W9)="","",$W9))</f>
        <v/>
      </c>
      <c r="AS9">
        <f>IF($X9="","",IF(INDEX($C9:$G9,$X9)="","",$X9))</f>
        <v/>
      </c>
      <c r="AT9">
        <f>IF($Y9="","",IF(INDEX($C9:$G9,$Y9)="","",$Y9))</f>
        <v/>
      </c>
      <c r="AU9">
        <f>IF($Z9="","",IF(INDEX($C9:$G9,$Z9)="","",$Z9))</f>
        <v/>
      </c>
      <c r="AV9">
        <f>IF($AA9="","",IF(INDEX($C9:$G9,$AA9)="","",$AA9))</f>
        <v/>
      </c>
      <c r="AW9">
        <f>IF($AB9="","",IF(INDEX($C9:$G9,$AB9)="","",$AB9))</f>
        <v/>
      </c>
      <c r="AX9">
        <f>IF($AC9="","",IF(INDEX($C9:$G9,$AC9)="","",$AC9))</f>
        <v/>
      </c>
      <c r="AY9">
        <f>IF($J9="","",IF(INDEX($C9:$G9,$J9)="","",IF(ISNUMBER(SEARCH("[A]",INDEX($C9:$G9,$J9))),"A",IF(ISNUMBER(SEARCH("[B]",INDEX($C9:$G9,$J9))),"B","-"))))</f>
        <v/>
      </c>
      <c r="AZ9">
        <f>IF($K9="","",IF(INDEX($C9:$G9,$K9)="","",IF(ISNUMBER(SEARCH("[A]",INDEX($C9:$G9,$K9))),"A",IF(ISNUMBER(SEARCH("[B]",INDEX($C9:$G9,$K9))),"B","-"))))</f>
        <v/>
      </c>
      <c r="BA9">
        <f>IF($L9="","",IF(INDEX($C9:$G9,$L9)="","",IF(ISNUMBER(SEARCH("[A]",INDEX($C9:$G9,$L9))),"A",IF(ISNUMBER(SEARCH("[B]",INDEX($C9:$G9,$L9))),"B","-"))))</f>
        <v/>
      </c>
      <c r="BB9">
        <f>IF($M9="","",IF(INDEX($C9:$G9,$M9)="","",IF(ISNUMBER(SEARCH("[A]",INDEX($C9:$G9,$M9))),"A",IF(ISNUMBER(SEARCH("[B]",INDEX($C9:$G9,$M9))),"B","-"))))</f>
        <v/>
      </c>
      <c r="BC9">
        <f>IF($N9="","",IF(INDEX($C9:$G9,$N9)="","",IF(ISNUMBER(SEARCH("[A]",INDEX($C9:$G9,$N9))),"A",IF(ISNUMBER(SEARCH("[B]",INDEX($C9:$G9,$N9))),"B","-"))))</f>
        <v/>
      </c>
      <c r="BD9">
        <f>IF($O9="","",IF(INDEX($C9:$G9,$O9)="","",IF(ISNUMBER(SEARCH("[A]",INDEX($C9:$G9,$O9))),"A",IF(ISNUMBER(SEARCH("[B]",INDEX($C9:$G9,$O9))),"B","-"))))</f>
        <v/>
      </c>
      <c r="BE9">
        <f>IF($P9="","",IF(INDEX($C9:$G9,$P9)="","",IF(ISNUMBER(SEARCH("[A]",INDEX($C9:$G9,$P9))),"A",IF(ISNUMBER(SEARCH("[B]",INDEX($C9:$G9,$P9))),"B","-"))))</f>
        <v/>
      </c>
      <c r="BF9">
        <f>IF($Q9="","",IF(INDEX($C9:$G9,$Q9)="","",IF(ISNUMBER(SEARCH("[A]",INDEX($C9:$G9,$Q9))),"A",IF(ISNUMBER(SEARCH("[B]",INDEX($C9:$G9,$Q9))),"B","-"))))</f>
        <v/>
      </c>
      <c r="BG9">
        <f>IF($R9="","",IF(INDEX($C9:$G9,$R9)="","",IF(ISNUMBER(SEARCH("[A]",INDEX($C9:$G9,$R9))),"A",IF(ISNUMBER(SEARCH("[B]",INDEX($C9:$G9,$R9))),"B","-"))))</f>
        <v/>
      </c>
      <c r="BH9">
        <f>IF($S9="","",IF(INDEX($C9:$G9,$S9)="","",IF(ISNUMBER(SEARCH("[A]",INDEX($C9:$G9,$S9))),"A",IF(ISNUMBER(SEARCH("[B]",INDEX($C9:$G9,$S9))),"B","-"))))</f>
        <v/>
      </c>
      <c r="BI9">
        <f>IF($T9="","",IF(INDEX($C9:$G9,$T9)="","",IF(ISNUMBER(SEARCH("[A]",INDEX($C9:$G9,$T9))),"A",IF(ISNUMBER(SEARCH("[B]",INDEX($C9:$G9,$T9))),"B","-"))))</f>
        <v/>
      </c>
      <c r="BJ9">
        <f>IF($U9="","",IF(INDEX($C9:$G9,$U9)="","",IF(ISNUMBER(SEARCH("[A]",INDEX($C9:$G9,$U9))),"A",IF(ISNUMBER(SEARCH("[B]",INDEX($C9:$G9,$U9))),"B","-"))))</f>
        <v/>
      </c>
      <c r="BK9">
        <f>IF($V9="","",IF(INDEX($C9:$G9,$V9)="","",IF(ISNUMBER(SEARCH("[A]",INDEX($C9:$G9,$V9))),"A",IF(ISNUMBER(SEARCH("[B]",INDEX($C9:$G9,$V9))),"B","-"))))</f>
        <v/>
      </c>
      <c r="BL9">
        <f>IF($W9="","",IF(INDEX($C9:$G9,$W9)="","",IF(ISNUMBER(SEARCH("[A]",INDEX($C9:$G9,$W9))),"A",IF(ISNUMBER(SEARCH("[B]",INDEX($C9:$G9,$W9))),"B","-"))))</f>
        <v/>
      </c>
      <c r="BM9">
        <f>IF($X9="","",IF(INDEX($C9:$G9,$X9)="","",IF(ISNUMBER(SEARCH("[A]",INDEX($C9:$G9,$X9))),"A",IF(ISNUMBER(SEARCH("[B]",INDEX($C9:$G9,$X9))),"B","-"))))</f>
        <v/>
      </c>
      <c r="BN9">
        <f>IF($Y9="","",IF(INDEX($C9:$G9,$Y9)="","",IF(ISNUMBER(SEARCH("[A]",INDEX($C9:$G9,$Y9))),"A",IF(ISNUMBER(SEARCH("[B]",INDEX($C9:$G9,$Y9))),"B","-"))))</f>
        <v/>
      </c>
      <c r="BO9">
        <f>IF($Z9="","",IF(INDEX($C9:$G9,$Z9)="","",IF(ISNUMBER(SEARCH("[A]",INDEX($C9:$G9,$Z9))),"A",IF(ISNUMBER(SEARCH("[B]",INDEX($C9:$G9,$Z9))),"B","-"))))</f>
        <v/>
      </c>
      <c r="BP9">
        <f>IF($AA9="","",IF(INDEX($C9:$G9,$AA9)="","",IF(ISNUMBER(SEARCH("[A]",INDEX($C9:$G9,$AA9))),"A",IF(ISNUMBER(SEARCH("[B]",INDEX($C9:$G9,$AA9))),"B","-"))))</f>
        <v/>
      </c>
      <c r="BQ9">
        <f>IF($AB9="","",IF(INDEX($C9:$G9,$AB9)="","",IF(ISNUMBER(SEARCH("[A]",INDEX($C9:$G9,$AB9))),"A",IF(ISNUMBER(SEARCH("[B]",INDEX($C9:$G9,$AB9))),"B","-"))))</f>
        <v/>
      </c>
      <c r="BR9">
        <f>IF($AC9="","",IF(INDEX($C9:$G9,$AC9)="","",IF(ISNUMBER(SEARCH("[A]",INDEX($C9:$G9,$AC9))),"A",IF(ISNUMBER(SEARCH("[B]",INDEX($C9:$G9,$AC9))),"B","-"))))</f>
        <v/>
      </c>
    </row>
    <row r="10" ht="30" customHeight="1" s="1">
      <c r="A10" s="16" t="inlineStr">
        <is>
          <t>입장</t>
        </is>
      </c>
      <c r="B10" s="17" t="inlineStr">
        <is>
          <t>[입장] 유도 방식</t>
        </is>
      </c>
      <c r="C10" s="18" t="inlineStr">
        <is>
          <t>기다려주고 부드럽게 격려·먹이나 장난감으로 유도</t>
        </is>
      </c>
      <c r="D10" s="18" t="inlineStr">
        <is>
          <t>가볍게 재촉·리드줄 살짝 당김 [A]</t>
        </is>
      </c>
      <c r="E10" s="18" t="inlineStr">
        <is>
          <t>큰 소리로 재촉 [A]</t>
        </is>
      </c>
      <c r="F10" s="19" t="inlineStr">
        <is>
          <t>개 두고 먼저 감·방치 [B]</t>
        </is>
      </c>
      <c r="G10" s="18" t="inlineStr">
        <is>
          <t>리드줄 확 잡아챔·몸으로 밀어 넣음 [A]</t>
        </is>
      </c>
      <c r="H10" s="16" t="inlineStr">
        <is>
          <t>보호자 행동 일관성</t>
        </is>
      </c>
      <c r="I10" s="20" t="inlineStr">
        <is>
          <t>★</t>
        </is>
      </c>
      <c r="J10" s="21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  <c r="T10" s="22" t="n"/>
      <c r="U10" s="22" t="n"/>
      <c r="V10" s="22" t="n"/>
      <c r="W10" s="22" t="n"/>
      <c r="X10" s="22" t="n"/>
      <c r="Y10" s="22" t="n"/>
      <c r="Z10" s="22" t="n"/>
      <c r="AA10" s="22" t="n"/>
      <c r="AB10" s="22" t="n"/>
      <c r="AC10" s="22" t="n"/>
      <c r="AD10" t="inlineStr">
        <is>
          <t>CON</t>
        </is>
      </c>
      <c r="AE10">
        <f>IF($J10="","",IF(INDEX($C10:$G10,$J10)="","",$J10))</f>
        <v/>
      </c>
      <c r="AF10">
        <f>IF($K10="","",IF(INDEX($C10:$G10,$K10)="","",$K10))</f>
        <v/>
      </c>
      <c r="AG10">
        <f>IF($L10="","",IF(INDEX($C10:$G10,$L10)="","",$L10))</f>
        <v/>
      </c>
      <c r="AH10">
        <f>IF($M10="","",IF(INDEX($C10:$G10,$M10)="","",$M10))</f>
        <v/>
      </c>
      <c r="AI10">
        <f>IF($N10="","",IF(INDEX($C10:$G10,$N10)="","",$N10))</f>
        <v/>
      </c>
      <c r="AJ10">
        <f>IF($O10="","",IF(INDEX($C10:$G10,$O10)="","",$O10))</f>
        <v/>
      </c>
      <c r="AK10">
        <f>IF($P10="","",IF(INDEX($C10:$G10,$P10)="","",$P10))</f>
        <v/>
      </c>
      <c r="AL10">
        <f>IF($Q10="","",IF(INDEX($C10:$G10,$Q10)="","",$Q10))</f>
        <v/>
      </c>
      <c r="AM10">
        <f>IF($R10="","",IF(INDEX($C10:$G10,$R10)="","",$R10))</f>
        <v/>
      </c>
      <c r="AN10">
        <f>IF($S10="","",IF(INDEX($C10:$G10,$S10)="","",$S10))</f>
        <v/>
      </c>
      <c r="AO10">
        <f>IF($T10="","",IF(INDEX($C10:$G10,$T10)="","",$T10))</f>
        <v/>
      </c>
      <c r="AP10">
        <f>IF($U10="","",IF(INDEX($C10:$G10,$U10)="","",$U10))</f>
        <v/>
      </c>
      <c r="AQ10">
        <f>IF($V10="","",IF(INDEX($C10:$G10,$V10)="","",$V10))</f>
        <v/>
      </c>
      <c r="AR10">
        <f>IF($W10="","",IF(INDEX($C10:$G10,$W10)="","",$W10))</f>
        <v/>
      </c>
      <c r="AS10">
        <f>IF($X10="","",IF(INDEX($C10:$G10,$X10)="","",$X10))</f>
        <v/>
      </c>
      <c r="AT10">
        <f>IF($Y10="","",IF(INDEX($C10:$G10,$Y10)="","",$Y10))</f>
        <v/>
      </c>
      <c r="AU10">
        <f>IF($Z10="","",IF(INDEX($C10:$G10,$Z10)="","",$Z10))</f>
        <v/>
      </c>
      <c r="AV10">
        <f>IF($AA10="","",IF(INDEX($C10:$G10,$AA10)="","",$AA10))</f>
        <v/>
      </c>
      <c r="AW10">
        <f>IF($AB10="","",IF(INDEX($C10:$G10,$AB10)="","",$AB10))</f>
        <v/>
      </c>
      <c r="AX10">
        <f>IF($AC10="","",IF(INDEX($C10:$G10,$AC10)="","",$AC10))</f>
        <v/>
      </c>
      <c r="AY10">
        <f>IF($J10="","",IF(INDEX($C10:$G10,$J10)="","",IF(ISNUMBER(SEARCH("[A]",INDEX($C10:$G10,$J10))),"A",IF(ISNUMBER(SEARCH("[B]",INDEX($C10:$G10,$J10))),"B","-"))))</f>
        <v/>
      </c>
      <c r="AZ10">
        <f>IF($K10="","",IF(INDEX($C10:$G10,$K10)="","",IF(ISNUMBER(SEARCH("[A]",INDEX($C10:$G10,$K10))),"A",IF(ISNUMBER(SEARCH("[B]",INDEX($C10:$G10,$K10))),"B","-"))))</f>
        <v/>
      </c>
      <c r="BA10">
        <f>IF($L10="","",IF(INDEX($C10:$G10,$L10)="","",IF(ISNUMBER(SEARCH("[A]",INDEX($C10:$G10,$L10))),"A",IF(ISNUMBER(SEARCH("[B]",INDEX($C10:$G10,$L10))),"B","-"))))</f>
        <v/>
      </c>
      <c r="BB10">
        <f>IF($M10="","",IF(INDEX($C10:$G10,$M10)="","",IF(ISNUMBER(SEARCH("[A]",INDEX($C10:$G10,$M10))),"A",IF(ISNUMBER(SEARCH("[B]",INDEX($C10:$G10,$M10))),"B","-"))))</f>
        <v/>
      </c>
      <c r="BC10">
        <f>IF($N10="","",IF(INDEX($C10:$G10,$N10)="","",IF(ISNUMBER(SEARCH("[A]",INDEX($C10:$G10,$N10))),"A",IF(ISNUMBER(SEARCH("[B]",INDEX($C10:$G10,$N10))),"B","-"))))</f>
        <v/>
      </c>
      <c r="BD10">
        <f>IF($O10="","",IF(INDEX($C10:$G10,$O10)="","",IF(ISNUMBER(SEARCH("[A]",INDEX($C10:$G10,$O10))),"A",IF(ISNUMBER(SEARCH("[B]",INDEX($C10:$G10,$O10))),"B","-"))))</f>
        <v/>
      </c>
      <c r="BE10">
        <f>IF($P10="","",IF(INDEX($C10:$G10,$P10)="","",IF(ISNUMBER(SEARCH("[A]",INDEX($C10:$G10,$P10))),"A",IF(ISNUMBER(SEARCH("[B]",INDEX($C10:$G10,$P10))),"B","-"))))</f>
        <v/>
      </c>
      <c r="BF10">
        <f>IF($Q10="","",IF(INDEX($C10:$G10,$Q10)="","",IF(ISNUMBER(SEARCH("[A]",INDEX($C10:$G10,$Q10))),"A",IF(ISNUMBER(SEARCH("[B]",INDEX($C10:$G10,$Q10))),"B","-"))))</f>
        <v/>
      </c>
      <c r="BG10">
        <f>IF($R10="","",IF(INDEX($C10:$G10,$R10)="","",IF(ISNUMBER(SEARCH("[A]",INDEX($C10:$G10,$R10))),"A",IF(ISNUMBER(SEARCH("[B]",INDEX($C10:$G10,$R10))),"B","-"))))</f>
        <v/>
      </c>
      <c r="BH10">
        <f>IF($S10="","",IF(INDEX($C10:$G10,$S10)="","",IF(ISNUMBER(SEARCH("[A]",INDEX($C10:$G10,$S10))),"A",IF(ISNUMBER(SEARCH("[B]",INDEX($C10:$G10,$S10))),"B","-"))))</f>
        <v/>
      </c>
      <c r="BI10">
        <f>IF($T10="","",IF(INDEX($C10:$G10,$T10)="","",IF(ISNUMBER(SEARCH("[A]",INDEX($C10:$G10,$T10))),"A",IF(ISNUMBER(SEARCH("[B]",INDEX($C10:$G10,$T10))),"B","-"))))</f>
        <v/>
      </c>
      <c r="BJ10">
        <f>IF($U10="","",IF(INDEX($C10:$G10,$U10)="","",IF(ISNUMBER(SEARCH("[A]",INDEX($C10:$G10,$U10))),"A",IF(ISNUMBER(SEARCH("[B]",INDEX($C10:$G10,$U10))),"B","-"))))</f>
        <v/>
      </c>
      <c r="BK10">
        <f>IF($V10="","",IF(INDEX($C10:$G10,$V10)="","",IF(ISNUMBER(SEARCH("[A]",INDEX($C10:$G10,$V10))),"A",IF(ISNUMBER(SEARCH("[B]",INDEX($C10:$G10,$V10))),"B","-"))))</f>
        <v/>
      </c>
      <c r="BL10">
        <f>IF($W10="","",IF(INDEX($C10:$G10,$W10)="","",IF(ISNUMBER(SEARCH("[A]",INDEX($C10:$G10,$W10))),"A",IF(ISNUMBER(SEARCH("[B]",INDEX($C10:$G10,$W10))),"B","-"))))</f>
        <v/>
      </c>
      <c r="BM10">
        <f>IF($X10="","",IF(INDEX($C10:$G10,$X10)="","",IF(ISNUMBER(SEARCH("[A]",INDEX($C10:$G10,$X10))),"A",IF(ISNUMBER(SEARCH("[B]",INDEX($C10:$G10,$X10))),"B","-"))))</f>
        <v/>
      </c>
      <c r="BN10">
        <f>IF($Y10="","",IF(INDEX($C10:$G10,$Y10)="","",IF(ISNUMBER(SEARCH("[A]",INDEX($C10:$G10,$Y10))),"A",IF(ISNUMBER(SEARCH("[B]",INDEX($C10:$G10,$Y10))),"B","-"))))</f>
        <v/>
      </c>
      <c r="BO10">
        <f>IF($Z10="","",IF(INDEX($C10:$G10,$Z10)="","",IF(ISNUMBER(SEARCH("[A]",INDEX($C10:$G10,$Z10))),"A",IF(ISNUMBER(SEARCH("[B]",INDEX($C10:$G10,$Z10))),"B","-"))))</f>
        <v/>
      </c>
      <c r="BP10">
        <f>IF($AA10="","",IF(INDEX($C10:$G10,$AA10)="","",IF(ISNUMBER(SEARCH("[A]",INDEX($C10:$G10,$AA10))),"A",IF(ISNUMBER(SEARCH("[B]",INDEX($C10:$G10,$AA10))),"B","-"))))</f>
        <v/>
      </c>
      <c r="BQ10">
        <f>IF($AB10="","",IF(INDEX($C10:$G10,$AB10)="","",IF(ISNUMBER(SEARCH("[A]",INDEX($C10:$G10,$AB10))),"A",IF(ISNUMBER(SEARCH("[B]",INDEX($C10:$G10,$AB10))),"B","-"))))</f>
        <v/>
      </c>
      <c r="BR10">
        <f>IF($AC10="","",IF(INDEX($C10:$G10,$AC10)="","",IF(ISNUMBER(SEARCH("[A]",INDEX($C10:$G10,$AC10))),"A",IF(ISNUMBER(SEARCH("[B]",INDEX($C10:$G10,$AC10))),"B","-"))))</f>
        <v/>
      </c>
    </row>
    <row r="11" ht="30" customHeight="1" s="1">
      <c r="A11" s="16" t="inlineStr">
        <is>
          <t>분리</t>
        </is>
      </c>
      <c r="B11" s="41" t="inlineStr">
        <is>
          <t>[분리] 퇴장 방식</t>
        </is>
      </c>
      <c r="C11" s="18" t="inlineStr">
        <is>
          <t>차분히 나감</t>
        </is>
      </c>
      <c r="D11" s="18" t="inlineStr">
        <is>
          <t>몰래 급히 나감 [A]</t>
        </is>
      </c>
      <c r="E11" s="18" t="inlineStr">
        <is>
          <t>과하게 인사하고 나감 [A]</t>
        </is>
      </c>
      <c r="F11" s="18" t="n"/>
      <c r="G11" s="18" t="inlineStr">
        <is>
          <t>개를 달래다 못 나감·여러 번 되돌아옴 [A]</t>
        </is>
      </c>
      <c r="H11" s="16" t="inlineStr">
        <is>
          <t>보호자 행동 일관성</t>
        </is>
      </c>
      <c r="I11" s="20" t="n"/>
      <c r="J11" s="21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22" t="n"/>
      <c r="V11" s="22" t="n"/>
      <c r="W11" s="22" t="n"/>
      <c r="X11" s="22" t="n"/>
      <c r="Y11" s="22" t="n"/>
      <c r="Z11" s="22" t="n"/>
      <c r="AA11" s="22" t="n"/>
      <c r="AB11" s="22" t="n"/>
      <c r="AC11" s="22" t="n"/>
      <c r="AD11" t="inlineStr">
        <is>
          <t>CON</t>
        </is>
      </c>
      <c r="AE11">
        <f>IF($J11="","",IF(INDEX($C11:$G11,$J11)="","",$J11))</f>
        <v/>
      </c>
      <c r="AF11">
        <f>IF($K11="","",IF(INDEX($C11:$G11,$K11)="","",$K11))</f>
        <v/>
      </c>
      <c r="AG11">
        <f>IF($L11="","",IF(INDEX($C11:$G11,$L11)="","",$L11))</f>
        <v/>
      </c>
      <c r="AH11">
        <f>IF($M11="","",IF(INDEX($C11:$G11,$M11)="","",$M11))</f>
        <v/>
      </c>
      <c r="AI11">
        <f>IF($N11="","",IF(INDEX($C11:$G11,$N11)="","",$N11))</f>
        <v/>
      </c>
      <c r="AJ11">
        <f>IF($O11="","",IF(INDEX($C11:$G11,$O11)="","",$O11))</f>
        <v/>
      </c>
      <c r="AK11">
        <f>IF($P11="","",IF(INDEX($C11:$G11,$P11)="","",$P11))</f>
        <v/>
      </c>
      <c r="AL11">
        <f>IF($Q11="","",IF(INDEX($C11:$G11,$Q11)="","",$Q11))</f>
        <v/>
      </c>
      <c r="AM11">
        <f>IF($R11="","",IF(INDEX($C11:$G11,$R11)="","",$R11))</f>
        <v/>
      </c>
      <c r="AN11">
        <f>IF($S11="","",IF(INDEX($C11:$G11,$S11)="","",$S11))</f>
        <v/>
      </c>
      <c r="AO11">
        <f>IF($T11="","",IF(INDEX($C11:$G11,$T11)="","",$T11))</f>
        <v/>
      </c>
      <c r="AP11">
        <f>IF($U11="","",IF(INDEX($C11:$G11,$U11)="","",$U11))</f>
        <v/>
      </c>
      <c r="AQ11">
        <f>IF($V11="","",IF(INDEX($C11:$G11,$V11)="","",$V11))</f>
        <v/>
      </c>
      <c r="AR11">
        <f>IF($W11="","",IF(INDEX($C11:$G11,$W11)="","",$W11))</f>
        <v/>
      </c>
      <c r="AS11">
        <f>IF($X11="","",IF(INDEX($C11:$G11,$X11)="","",$X11))</f>
        <v/>
      </c>
      <c r="AT11">
        <f>IF($Y11="","",IF(INDEX($C11:$G11,$Y11)="","",$Y11))</f>
        <v/>
      </c>
      <c r="AU11">
        <f>IF($Z11="","",IF(INDEX($C11:$G11,$Z11)="","",$Z11))</f>
        <v/>
      </c>
      <c r="AV11">
        <f>IF($AA11="","",IF(INDEX($C11:$G11,$AA11)="","",$AA11))</f>
        <v/>
      </c>
      <c r="AW11">
        <f>IF($AB11="","",IF(INDEX($C11:$G11,$AB11)="","",$AB11))</f>
        <v/>
      </c>
      <c r="AX11">
        <f>IF($AC11="","",IF(INDEX($C11:$G11,$AC11)="","",$AC11))</f>
        <v/>
      </c>
      <c r="AY11">
        <f>IF($J11="","",IF(INDEX($C11:$G11,$J11)="","",IF(ISNUMBER(SEARCH("[A]",INDEX($C11:$G11,$J11))),"A",IF(ISNUMBER(SEARCH("[B]",INDEX($C11:$G11,$J11))),"B","-"))))</f>
        <v/>
      </c>
      <c r="AZ11">
        <f>IF($K11="","",IF(INDEX($C11:$G11,$K11)="","",IF(ISNUMBER(SEARCH("[A]",INDEX($C11:$G11,$K11))),"A",IF(ISNUMBER(SEARCH("[B]",INDEX($C11:$G11,$K11))),"B","-"))))</f>
        <v/>
      </c>
      <c r="BA11">
        <f>IF($L11="","",IF(INDEX($C11:$G11,$L11)="","",IF(ISNUMBER(SEARCH("[A]",INDEX($C11:$G11,$L11))),"A",IF(ISNUMBER(SEARCH("[B]",INDEX($C11:$G11,$L11))),"B","-"))))</f>
        <v/>
      </c>
      <c r="BB11">
        <f>IF($M11="","",IF(INDEX($C11:$G11,$M11)="","",IF(ISNUMBER(SEARCH("[A]",INDEX($C11:$G11,$M11))),"A",IF(ISNUMBER(SEARCH("[B]",INDEX($C11:$G11,$M11))),"B","-"))))</f>
        <v/>
      </c>
      <c r="BC11">
        <f>IF($N11="","",IF(INDEX($C11:$G11,$N11)="","",IF(ISNUMBER(SEARCH("[A]",INDEX($C11:$G11,$N11))),"A",IF(ISNUMBER(SEARCH("[B]",INDEX($C11:$G11,$N11))),"B","-"))))</f>
        <v/>
      </c>
      <c r="BD11">
        <f>IF($O11="","",IF(INDEX($C11:$G11,$O11)="","",IF(ISNUMBER(SEARCH("[A]",INDEX($C11:$G11,$O11))),"A",IF(ISNUMBER(SEARCH("[B]",INDEX($C11:$G11,$O11))),"B","-"))))</f>
        <v/>
      </c>
      <c r="BE11">
        <f>IF($P11="","",IF(INDEX($C11:$G11,$P11)="","",IF(ISNUMBER(SEARCH("[A]",INDEX($C11:$G11,$P11))),"A",IF(ISNUMBER(SEARCH("[B]",INDEX($C11:$G11,$P11))),"B","-"))))</f>
        <v/>
      </c>
      <c r="BF11">
        <f>IF($Q11="","",IF(INDEX($C11:$G11,$Q11)="","",IF(ISNUMBER(SEARCH("[A]",INDEX($C11:$G11,$Q11))),"A",IF(ISNUMBER(SEARCH("[B]",INDEX($C11:$G11,$Q11))),"B","-"))))</f>
        <v/>
      </c>
      <c r="BG11">
        <f>IF($R11="","",IF(INDEX($C11:$G11,$R11)="","",IF(ISNUMBER(SEARCH("[A]",INDEX($C11:$G11,$R11))),"A",IF(ISNUMBER(SEARCH("[B]",INDEX($C11:$G11,$R11))),"B","-"))))</f>
        <v/>
      </c>
      <c r="BH11">
        <f>IF($S11="","",IF(INDEX($C11:$G11,$S11)="","",IF(ISNUMBER(SEARCH("[A]",INDEX($C11:$G11,$S11))),"A",IF(ISNUMBER(SEARCH("[B]",INDEX($C11:$G11,$S11))),"B","-"))))</f>
        <v/>
      </c>
      <c r="BI11">
        <f>IF($T11="","",IF(INDEX($C11:$G11,$T11)="","",IF(ISNUMBER(SEARCH("[A]",INDEX($C11:$G11,$T11))),"A",IF(ISNUMBER(SEARCH("[B]",INDEX($C11:$G11,$T11))),"B","-"))))</f>
        <v/>
      </c>
      <c r="BJ11">
        <f>IF($U11="","",IF(INDEX($C11:$G11,$U11)="","",IF(ISNUMBER(SEARCH("[A]",INDEX($C11:$G11,$U11))),"A",IF(ISNUMBER(SEARCH("[B]",INDEX($C11:$G11,$U11))),"B","-"))))</f>
        <v/>
      </c>
      <c r="BK11">
        <f>IF($V11="","",IF(INDEX($C11:$G11,$V11)="","",IF(ISNUMBER(SEARCH("[A]",INDEX($C11:$G11,$V11))),"A",IF(ISNUMBER(SEARCH("[B]",INDEX($C11:$G11,$V11))),"B","-"))))</f>
        <v/>
      </c>
      <c r="BL11">
        <f>IF($W11="","",IF(INDEX($C11:$G11,$W11)="","",IF(ISNUMBER(SEARCH("[A]",INDEX($C11:$G11,$W11))),"A",IF(ISNUMBER(SEARCH("[B]",INDEX($C11:$G11,$W11))),"B","-"))))</f>
        <v/>
      </c>
      <c r="BM11">
        <f>IF($X11="","",IF(INDEX($C11:$G11,$X11)="","",IF(ISNUMBER(SEARCH("[A]",INDEX($C11:$G11,$X11))),"A",IF(ISNUMBER(SEARCH("[B]",INDEX($C11:$G11,$X11))),"B","-"))))</f>
        <v/>
      </c>
      <c r="BN11">
        <f>IF($Y11="","",IF(INDEX($C11:$G11,$Y11)="","",IF(ISNUMBER(SEARCH("[A]",INDEX($C11:$G11,$Y11))),"A",IF(ISNUMBER(SEARCH("[B]",INDEX($C11:$G11,$Y11))),"B","-"))))</f>
        <v/>
      </c>
      <c r="BO11">
        <f>IF($Z11="","",IF(INDEX($C11:$G11,$Z11)="","",IF(ISNUMBER(SEARCH("[A]",INDEX($C11:$G11,$Z11))),"A",IF(ISNUMBER(SEARCH("[B]",INDEX($C11:$G11,$Z11))),"B","-"))))</f>
        <v/>
      </c>
      <c r="BP11">
        <f>IF($AA11="","",IF(INDEX($C11:$G11,$AA11)="","",IF(ISNUMBER(SEARCH("[A]",INDEX($C11:$G11,$AA11))),"A",IF(ISNUMBER(SEARCH("[B]",INDEX($C11:$G11,$AA11))),"B","-"))))</f>
        <v/>
      </c>
      <c r="BQ11">
        <f>IF($AB11="","",IF(INDEX($C11:$G11,$AB11)="","",IF(ISNUMBER(SEARCH("[A]",INDEX($C11:$G11,$AB11))),"A",IF(ISNUMBER(SEARCH("[B]",INDEX($C11:$G11,$AB11))),"B","-"))))</f>
        <v/>
      </c>
      <c r="BR11">
        <f>IF($AC11="","",IF(INDEX($C11:$G11,$AC11)="","",IF(ISNUMBER(SEARCH("[A]",INDEX($C11:$G11,$AC11))),"A",IF(ISNUMBER(SEARCH("[B]",INDEX($C11:$G11,$AC11))),"B","-"))))</f>
        <v/>
      </c>
    </row>
    <row r="12" ht="30" customHeight="1" s="1">
      <c r="A12" s="24" t="inlineStr">
        <is>
          <t>분리</t>
        </is>
      </c>
      <c r="B12" s="25" t="inlineStr">
        <is>
          <t>[재회] 반응</t>
        </is>
      </c>
      <c r="C12" s="26" t="inlineStr">
        <is>
          <t>담담히 앉아 개가 진정하도록 여유를 줌</t>
        </is>
      </c>
      <c r="D12" s="26" t="inlineStr">
        <is>
          <t>가볍게 인사·약간 서두름 [A]</t>
        </is>
      </c>
      <c r="E12" s="26" t="inlineStr">
        <is>
          <t>미안해하며 과하게 달램 [A]</t>
        </is>
      </c>
      <c r="F12" s="19" t="inlineStr">
        <is>
          <t>나가고 들어옴에 무심·개를 안 봄 [B]</t>
        </is>
      </c>
      <c r="G12" s="26" t="inlineStr">
        <is>
          <t>크게 호들갑·개를 흥분시킴 [A]</t>
        </is>
      </c>
      <c r="H12" s="24" t="inlineStr">
        <is>
          <t>보호자 행동 일관성</t>
        </is>
      </c>
      <c r="I12" s="27" t="inlineStr">
        <is>
          <t>★</t>
        </is>
      </c>
      <c r="J12" s="21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  <c r="W12" s="22" t="n"/>
      <c r="X12" s="22" t="n"/>
      <c r="Y12" s="22" t="n"/>
      <c r="Z12" s="22" t="n"/>
      <c r="AA12" s="22" t="n"/>
      <c r="AB12" s="22" t="n"/>
      <c r="AC12" s="22" t="n"/>
      <c r="AD12" t="inlineStr">
        <is>
          <t>CON</t>
        </is>
      </c>
      <c r="AE12">
        <f>IF($J12="","",IF(INDEX($C12:$G12,$J12)="","",$J12))</f>
        <v/>
      </c>
      <c r="AF12">
        <f>IF($K12="","",IF(INDEX($C12:$G12,$K12)="","",$K12))</f>
        <v/>
      </c>
      <c r="AG12">
        <f>IF($L12="","",IF(INDEX($C12:$G12,$L12)="","",$L12))</f>
        <v/>
      </c>
      <c r="AH12">
        <f>IF($M12="","",IF(INDEX($C12:$G12,$M12)="","",$M12))</f>
        <v/>
      </c>
      <c r="AI12">
        <f>IF($N12="","",IF(INDEX($C12:$G12,$N12)="","",$N12))</f>
        <v/>
      </c>
      <c r="AJ12">
        <f>IF($O12="","",IF(INDEX($C12:$G12,$O12)="","",$O12))</f>
        <v/>
      </c>
      <c r="AK12">
        <f>IF($P12="","",IF(INDEX($C12:$G12,$P12)="","",$P12))</f>
        <v/>
      </c>
      <c r="AL12">
        <f>IF($Q12="","",IF(INDEX($C12:$G12,$Q12)="","",$Q12))</f>
        <v/>
      </c>
      <c r="AM12">
        <f>IF($R12="","",IF(INDEX($C12:$G12,$R12)="","",$R12))</f>
        <v/>
      </c>
      <c r="AN12">
        <f>IF($S12="","",IF(INDEX($C12:$G12,$S12)="","",$S12))</f>
        <v/>
      </c>
      <c r="AO12">
        <f>IF($T12="","",IF(INDEX($C12:$G12,$T12)="","",$T12))</f>
        <v/>
      </c>
      <c r="AP12">
        <f>IF($U12="","",IF(INDEX($C12:$G12,$U12)="","",$U12))</f>
        <v/>
      </c>
      <c r="AQ12">
        <f>IF($V12="","",IF(INDEX($C12:$G12,$V12)="","",$V12))</f>
        <v/>
      </c>
      <c r="AR12">
        <f>IF($W12="","",IF(INDEX($C12:$G12,$W12)="","",$W12))</f>
        <v/>
      </c>
      <c r="AS12">
        <f>IF($X12="","",IF(INDEX($C12:$G12,$X12)="","",$X12))</f>
        <v/>
      </c>
      <c r="AT12">
        <f>IF($Y12="","",IF(INDEX($C12:$G12,$Y12)="","",$Y12))</f>
        <v/>
      </c>
      <c r="AU12">
        <f>IF($Z12="","",IF(INDEX($C12:$G12,$Z12)="","",$Z12))</f>
        <v/>
      </c>
      <c r="AV12">
        <f>IF($AA12="","",IF(INDEX($C12:$G12,$AA12)="","",$AA12))</f>
        <v/>
      </c>
      <c r="AW12">
        <f>IF($AB12="","",IF(INDEX($C12:$G12,$AB12)="","",$AB12))</f>
        <v/>
      </c>
      <c r="AX12">
        <f>IF($AC12="","",IF(INDEX($C12:$G12,$AC12)="","",$AC12))</f>
        <v/>
      </c>
      <c r="AY12">
        <f>IF($J12="","",IF(INDEX($C12:$G12,$J12)="","",IF(ISNUMBER(SEARCH("[A]",INDEX($C12:$G12,$J12))),"A",IF(ISNUMBER(SEARCH("[B]",INDEX($C12:$G12,$J12))),"B","-"))))</f>
        <v/>
      </c>
      <c r="AZ12">
        <f>IF($K12="","",IF(INDEX($C12:$G12,$K12)="","",IF(ISNUMBER(SEARCH("[A]",INDEX($C12:$G12,$K12))),"A",IF(ISNUMBER(SEARCH("[B]",INDEX($C12:$G12,$K12))),"B","-"))))</f>
        <v/>
      </c>
      <c r="BA12">
        <f>IF($L12="","",IF(INDEX($C12:$G12,$L12)="","",IF(ISNUMBER(SEARCH("[A]",INDEX($C12:$G12,$L12))),"A",IF(ISNUMBER(SEARCH("[B]",INDEX($C12:$G12,$L12))),"B","-"))))</f>
        <v/>
      </c>
      <c r="BB12">
        <f>IF($M12="","",IF(INDEX($C12:$G12,$M12)="","",IF(ISNUMBER(SEARCH("[A]",INDEX($C12:$G12,$M12))),"A",IF(ISNUMBER(SEARCH("[B]",INDEX($C12:$G12,$M12))),"B","-"))))</f>
        <v/>
      </c>
      <c r="BC12">
        <f>IF($N12="","",IF(INDEX($C12:$G12,$N12)="","",IF(ISNUMBER(SEARCH("[A]",INDEX($C12:$G12,$N12))),"A",IF(ISNUMBER(SEARCH("[B]",INDEX($C12:$G12,$N12))),"B","-"))))</f>
        <v/>
      </c>
      <c r="BD12">
        <f>IF($O12="","",IF(INDEX($C12:$G12,$O12)="","",IF(ISNUMBER(SEARCH("[A]",INDEX($C12:$G12,$O12))),"A",IF(ISNUMBER(SEARCH("[B]",INDEX($C12:$G12,$O12))),"B","-"))))</f>
        <v/>
      </c>
      <c r="BE12">
        <f>IF($P12="","",IF(INDEX($C12:$G12,$P12)="","",IF(ISNUMBER(SEARCH("[A]",INDEX($C12:$G12,$P12))),"A",IF(ISNUMBER(SEARCH("[B]",INDEX($C12:$G12,$P12))),"B","-"))))</f>
        <v/>
      </c>
      <c r="BF12">
        <f>IF($Q12="","",IF(INDEX($C12:$G12,$Q12)="","",IF(ISNUMBER(SEARCH("[A]",INDEX($C12:$G12,$Q12))),"A",IF(ISNUMBER(SEARCH("[B]",INDEX($C12:$G12,$Q12))),"B","-"))))</f>
        <v/>
      </c>
      <c r="BG12">
        <f>IF($R12="","",IF(INDEX($C12:$G12,$R12)="","",IF(ISNUMBER(SEARCH("[A]",INDEX($C12:$G12,$R12))),"A",IF(ISNUMBER(SEARCH("[B]",INDEX($C12:$G12,$R12))),"B","-"))))</f>
        <v/>
      </c>
      <c r="BH12">
        <f>IF($S12="","",IF(INDEX($C12:$G12,$S12)="","",IF(ISNUMBER(SEARCH("[A]",INDEX($C12:$G12,$S12))),"A",IF(ISNUMBER(SEARCH("[B]",INDEX($C12:$G12,$S12))),"B","-"))))</f>
        <v/>
      </c>
      <c r="BI12">
        <f>IF($T12="","",IF(INDEX($C12:$G12,$T12)="","",IF(ISNUMBER(SEARCH("[A]",INDEX($C12:$G12,$T12))),"A",IF(ISNUMBER(SEARCH("[B]",INDEX($C12:$G12,$T12))),"B","-"))))</f>
        <v/>
      </c>
      <c r="BJ12">
        <f>IF($U12="","",IF(INDEX($C12:$G12,$U12)="","",IF(ISNUMBER(SEARCH("[A]",INDEX($C12:$G12,$U12))),"A",IF(ISNUMBER(SEARCH("[B]",INDEX($C12:$G12,$U12))),"B","-"))))</f>
        <v/>
      </c>
      <c r="BK12">
        <f>IF($V12="","",IF(INDEX($C12:$G12,$V12)="","",IF(ISNUMBER(SEARCH("[A]",INDEX($C12:$G12,$V12))),"A",IF(ISNUMBER(SEARCH("[B]",INDEX($C12:$G12,$V12))),"B","-"))))</f>
        <v/>
      </c>
      <c r="BL12">
        <f>IF($W12="","",IF(INDEX($C12:$G12,$W12)="","",IF(ISNUMBER(SEARCH("[A]",INDEX($C12:$G12,$W12))),"A",IF(ISNUMBER(SEARCH("[B]",INDEX($C12:$G12,$W12))),"B","-"))))</f>
        <v/>
      </c>
      <c r="BM12">
        <f>IF($X12="","",IF(INDEX($C12:$G12,$X12)="","",IF(ISNUMBER(SEARCH("[A]",INDEX($C12:$G12,$X12))),"A",IF(ISNUMBER(SEARCH("[B]",INDEX($C12:$G12,$X12))),"B","-"))))</f>
        <v/>
      </c>
      <c r="BN12">
        <f>IF($Y12="","",IF(INDEX($C12:$G12,$Y12)="","",IF(ISNUMBER(SEARCH("[A]",INDEX($C12:$G12,$Y12))),"A",IF(ISNUMBER(SEARCH("[B]",INDEX($C12:$G12,$Y12))),"B","-"))))</f>
        <v/>
      </c>
      <c r="BO12">
        <f>IF($Z12="","",IF(INDEX($C12:$G12,$Z12)="","",IF(ISNUMBER(SEARCH("[A]",INDEX($C12:$G12,$Z12))),"A",IF(ISNUMBER(SEARCH("[B]",INDEX($C12:$G12,$Z12))),"B","-"))))</f>
        <v/>
      </c>
      <c r="BP12">
        <f>IF($AA12="","",IF(INDEX($C12:$G12,$AA12)="","",IF(ISNUMBER(SEARCH("[A]",INDEX($C12:$G12,$AA12))),"A",IF(ISNUMBER(SEARCH("[B]",INDEX($C12:$G12,$AA12))),"B","-"))))</f>
        <v/>
      </c>
      <c r="BQ12">
        <f>IF($AB12="","",IF(INDEX($C12:$G12,$AB12)="","",IF(ISNUMBER(SEARCH("[A]",INDEX($C12:$G12,$AB12))),"A",IF(ISNUMBER(SEARCH("[B]",INDEX($C12:$G12,$AB12))),"B","-"))))</f>
        <v/>
      </c>
      <c r="BR12">
        <f>IF($AC12="","",IF(INDEX($C12:$G12,$AC12)="","",IF(ISNUMBER(SEARCH("[A]",INDEX($C12:$G12,$AC12))),"A",IF(ISNUMBER(SEARCH("[B]",INDEX($C12:$G12,$AC12))),"B","-"))))</f>
        <v/>
      </c>
    </row>
    <row r="13" ht="30" customHeight="1" s="1">
      <c r="A13" s="24" t="inlineStr">
        <is>
          <t>훈련</t>
        </is>
      </c>
      <c r="B13" s="25" t="inlineStr">
        <is>
          <t>목소리</t>
        </is>
      </c>
      <c r="C13" s="26" t="inlineStr">
        <is>
          <t>평이하고 낮은 톤</t>
        </is>
      </c>
      <c r="D13" s="19" t="inlineStr">
        <is>
          <t>거의 말이 없음·반응 없음 [B]</t>
        </is>
      </c>
      <c r="E13" s="26" t="inlineStr">
        <is>
          <t>높고 빠름 [A]</t>
        </is>
      </c>
      <c r="F13" s="26" t="n"/>
      <c r="G13" s="26" t="inlineStr">
        <is>
          <t>커지거나 날카로움·꾸짖음 [A]</t>
        </is>
      </c>
      <c r="H13" s="24" t="inlineStr">
        <is>
          <t>교육태도</t>
        </is>
      </c>
      <c r="I13" s="27" t="inlineStr">
        <is>
          <t>★</t>
        </is>
      </c>
      <c r="J13" s="21" t="n"/>
      <c r="K13" s="22" t="n"/>
      <c r="L13" s="22" t="n"/>
      <c r="M13" s="22" t="n"/>
      <c r="N13" s="22" t="n"/>
      <c r="O13" s="22" t="n"/>
      <c r="P13" s="22" t="n"/>
      <c r="Q13" s="22" t="n"/>
      <c r="R13" s="22" t="n"/>
      <c r="S13" s="22" t="n"/>
      <c r="T13" s="22" t="n"/>
      <c r="U13" s="22" t="n"/>
      <c r="V13" s="22" t="n"/>
      <c r="W13" s="22" t="n"/>
      <c r="X13" s="22" t="n"/>
      <c r="Y13" s="22" t="n"/>
      <c r="Z13" s="22" t="n"/>
      <c r="AA13" s="22" t="n"/>
      <c r="AB13" s="22" t="n"/>
      <c r="AC13" s="22" t="n"/>
      <c r="AD13" t="inlineStr">
        <is>
          <t>EDU</t>
        </is>
      </c>
      <c r="AE13">
        <f>IF($J13="","",IF(INDEX($C13:$G13,$J13)="","",$J13))</f>
        <v/>
      </c>
      <c r="AF13">
        <f>IF($K13="","",IF(INDEX($C13:$G13,$K13)="","",$K13))</f>
        <v/>
      </c>
      <c r="AG13">
        <f>IF($L13="","",IF(INDEX($C13:$G13,$L13)="","",$L13))</f>
        <v/>
      </c>
      <c r="AH13">
        <f>IF($M13="","",IF(INDEX($C13:$G13,$M13)="","",$M13))</f>
        <v/>
      </c>
      <c r="AI13">
        <f>IF($N13="","",IF(INDEX($C13:$G13,$N13)="","",$N13))</f>
        <v/>
      </c>
      <c r="AJ13">
        <f>IF($O13="","",IF(INDEX($C13:$G13,$O13)="","",$O13))</f>
        <v/>
      </c>
      <c r="AK13">
        <f>IF($P13="","",IF(INDEX($C13:$G13,$P13)="","",$P13))</f>
        <v/>
      </c>
      <c r="AL13">
        <f>IF($Q13="","",IF(INDEX($C13:$G13,$Q13)="","",$Q13))</f>
        <v/>
      </c>
      <c r="AM13">
        <f>IF($R13="","",IF(INDEX($C13:$G13,$R13)="","",$R13))</f>
        <v/>
      </c>
      <c r="AN13">
        <f>IF($S13="","",IF(INDEX($C13:$G13,$S13)="","",$S13))</f>
        <v/>
      </c>
      <c r="AO13">
        <f>IF($T13="","",IF(INDEX($C13:$G13,$T13)="","",$T13))</f>
        <v/>
      </c>
      <c r="AP13">
        <f>IF($U13="","",IF(INDEX($C13:$G13,$U13)="","",$U13))</f>
        <v/>
      </c>
      <c r="AQ13">
        <f>IF($V13="","",IF(INDEX($C13:$G13,$V13)="","",$V13))</f>
        <v/>
      </c>
      <c r="AR13">
        <f>IF($W13="","",IF(INDEX($C13:$G13,$W13)="","",$W13))</f>
        <v/>
      </c>
      <c r="AS13">
        <f>IF($X13="","",IF(INDEX($C13:$G13,$X13)="","",$X13))</f>
        <v/>
      </c>
      <c r="AT13">
        <f>IF($Y13="","",IF(INDEX($C13:$G13,$Y13)="","",$Y13))</f>
        <v/>
      </c>
      <c r="AU13">
        <f>IF($Z13="","",IF(INDEX($C13:$G13,$Z13)="","",$Z13))</f>
        <v/>
      </c>
      <c r="AV13">
        <f>IF($AA13="","",IF(INDEX($C13:$G13,$AA13)="","",$AA13))</f>
        <v/>
      </c>
      <c r="AW13">
        <f>IF($AB13="","",IF(INDEX($C13:$G13,$AB13)="","",$AB13))</f>
        <v/>
      </c>
      <c r="AX13">
        <f>IF($AC13="","",IF(INDEX($C13:$G13,$AC13)="","",$AC13))</f>
        <v/>
      </c>
      <c r="AY13">
        <f>IF($J13="","",IF(INDEX($C13:$G13,$J13)="","",IF(ISNUMBER(SEARCH("[A]",INDEX($C13:$G13,$J13))),"A",IF(ISNUMBER(SEARCH("[B]",INDEX($C13:$G13,$J13))),"B","-"))))</f>
        <v/>
      </c>
      <c r="AZ13">
        <f>IF($K13="","",IF(INDEX($C13:$G13,$K13)="","",IF(ISNUMBER(SEARCH("[A]",INDEX($C13:$G13,$K13))),"A",IF(ISNUMBER(SEARCH("[B]",INDEX($C13:$G13,$K13))),"B","-"))))</f>
        <v/>
      </c>
      <c r="BA13">
        <f>IF($L13="","",IF(INDEX($C13:$G13,$L13)="","",IF(ISNUMBER(SEARCH("[A]",INDEX($C13:$G13,$L13))),"A",IF(ISNUMBER(SEARCH("[B]",INDEX($C13:$G13,$L13))),"B","-"))))</f>
        <v/>
      </c>
      <c r="BB13">
        <f>IF($M13="","",IF(INDEX($C13:$G13,$M13)="","",IF(ISNUMBER(SEARCH("[A]",INDEX($C13:$G13,$M13))),"A",IF(ISNUMBER(SEARCH("[B]",INDEX($C13:$G13,$M13))),"B","-"))))</f>
        <v/>
      </c>
      <c r="BC13">
        <f>IF($N13="","",IF(INDEX($C13:$G13,$N13)="","",IF(ISNUMBER(SEARCH("[A]",INDEX($C13:$G13,$N13))),"A",IF(ISNUMBER(SEARCH("[B]",INDEX($C13:$G13,$N13))),"B","-"))))</f>
        <v/>
      </c>
      <c r="BD13">
        <f>IF($O13="","",IF(INDEX($C13:$G13,$O13)="","",IF(ISNUMBER(SEARCH("[A]",INDEX($C13:$G13,$O13))),"A",IF(ISNUMBER(SEARCH("[B]",INDEX($C13:$G13,$O13))),"B","-"))))</f>
        <v/>
      </c>
      <c r="BE13">
        <f>IF($P13="","",IF(INDEX($C13:$G13,$P13)="","",IF(ISNUMBER(SEARCH("[A]",INDEX($C13:$G13,$P13))),"A",IF(ISNUMBER(SEARCH("[B]",INDEX($C13:$G13,$P13))),"B","-"))))</f>
        <v/>
      </c>
      <c r="BF13">
        <f>IF($Q13="","",IF(INDEX($C13:$G13,$Q13)="","",IF(ISNUMBER(SEARCH("[A]",INDEX($C13:$G13,$Q13))),"A",IF(ISNUMBER(SEARCH("[B]",INDEX($C13:$G13,$Q13))),"B","-"))))</f>
        <v/>
      </c>
      <c r="BG13">
        <f>IF($R13="","",IF(INDEX($C13:$G13,$R13)="","",IF(ISNUMBER(SEARCH("[A]",INDEX($C13:$G13,$R13))),"A",IF(ISNUMBER(SEARCH("[B]",INDEX($C13:$G13,$R13))),"B","-"))))</f>
        <v/>
      </c>
      <c r="BH13">
        <f>IF($S13="","",IF(INDEX($C13:$G13,$S13)="","",IF(ISNUMBER(SEARCH("[A]",INDEX($C13:$G13,$S13))),"A",IF(ISNUMBER(SEARCH("[B]",INDEX($C13:$G13,$S13))),"B","-"))))</f>
        <v/>
      </c>
      <c r="BI13">
        <f>IF($T13="","",IF(INDEX($C13:$G13,$T13)="","",IF(ISNUMBER(SEARCH("[A]",INDEX($C13:$G13,$T13))),"A",IF(ISNUMBER(SEARCH("[B]",INDEX($C13:$G13,$T13))),"B","-"))))</f>
        <v/>
      </c>
      <c r="BJ13">
        <f>IF($U13="","",IF(INDEX($C13:$G13,$U13)="","",IF(ISNUMBER(SEARCH("[A]",INDEX($C13:$G13,$U13))),"A",IF(ISNUMBER(SEARCH("[B]",INDEX($C13:$G13,$U13))),"B","-"))))</f>
        <v/>
      </c>
      <c r="BK13">
        <f>IF($V13="","",IF(INDEX($C13:$G13,$V13)="","",IF(ISNUMBER(SEARCH("[A]",INDEX($C13:$G13,$V13))),"A",IF(ISNUMBER(SEARCH("[B]",INDEX($C13:$G13,$V13))),"B","-"))))</f>
        <v/>
      </c>
      <c r="BL13">
        <f>IF($W13="","",IF(INDEX($C13:$G13,$W13)="","",IF(ISNUMBER(SEARCH("[A]",INDEX($C13:$G13,$W13))),"A",IF(ISNUMBER(SEARCH("[B]",INDEX($C13:$G13,$W13))),"B","-"))))</f>
        <v/>
      </c>
      <c r="BM13">
        <f>IF($X13="","",IF(INDEX($C13:$G13,$X13)="","",IF(ISNUMBER(SEARCH("[A]",INDEX($C13:$G13,$X13))),"A",IF(ISNUMBER(SEARCH("[B]",INDEX($C13:$G13,$X13))),"B","-"))))</f>
        <v/>
      </c>
      <c r="BN13">
        <f>IF($Y13="","",IF(INDEX($C13:$G13,$Y13)="","",IF(ISNUMBER(SEARCH("[A]",INDEX($C13:$G13,$Y13))),"A",IF(ISNUMBER(SEARCH("[B]",INDEX($C13:$G13,$Y13))),"B","-"))))</f>
        <v/>
      </c>
      <c r="BO13">
        <f>IF($Z13="","",IF(INDEX($C13:$G13,$Z13)="","",IF(ISNUMBER(SEARCH("[A]",INDEX($C13:$G13,$Z13))),"A",IF(ISNUMBER(SEARCH("[B]",INDEX($C13:$G13,$Z13))),"B","-"))))</f>
        <v/>
      </c>
      <c r="BP13">
        <f>IF($AA13="","",IF(INDEX($C13:$G13,$AA13)="","",IF(ISNUMBER(SEARCH("[A]",INDEX($C13:$G13,$AA13))),"A",IF(ISNUMBER(SEARCH("[B]",INDEX($C13:$G13,$AA13))),"B","-"))))</f>
        <v/>
      </c>
      <c r="BQ13">
        <f>IF($AB13="","",IF(INDEX($C13:$G13,$AB13)="","",IF(ISNUMBER(SEARCH("[A]",INDEX($C13:$G13,$AB13))),"A",IF(ISNUMBER(SEARCH("[B]",INDEX($C13:$G13,$AB13))),"B","-"))))</f>
        <v/>
      </c>
      <c r="BR13">
        <f>IF($AC13="","",IF(INDEX($C13:$G13,$AC13)="","",IF(ISNUMBER(SEARCH("[A]",INDEX($C13:$G13,$AC13))),"A",IF(ISNUMBER(SEARCH("[B]",INDEX($C13:$G13,$AC13))),"B","-"))))</f>
        <v/>
      </c>
    </row>
    <row r="14" ht="30" customHeight="1" s="1">
      <c r="A14" s="24" t="inlineStr">
        <is>
          <t>훈련</t>
        </is>
      </c>
      <c r="B14" s="25" t="inlineStr">
        <is>
          <t>손 사용</t>
        </is>
      </c>
      <c r="C14" s="26" t="inlineStr">
        <is>
          <t>없음 또는 부드러운 접촉</t>
        </is>
      </c>
      <c r="D14" s="19" t="n"/>
      <c r="E14" s="26" t="inlineStr">
        <is>
          <t>밀기·누르기·자세 강제 교정 [A]</t>
        </is>
      </c>
      <c r="F14" s="19" t="n"/>
      <c r="G14" s="26" t="inlineStr">
        <is>
          <t>잡아채기·제압·억지로 안아 옮김 [A]</t>
        </is>
      </c>
      <c r="H14" s="24" t="inlineStr">
        <is>
          <t>교육태도</t>
        </is>
      </c>
      <c r="I14" s="27" t="n"/>
      <c r="J14" s="21" t="n"/>
      <c r="K14" s="22" t="n"/>
      <c r="L14" s="22" t="n"/>
      <c r="M14" s="22" t="n"/>
      <c r="N14" s="22" t="n"/>
      <c r="O14" s="22" t="n"/>
      <c r="P14" s="22" t="n"/>
      <c r="Q14" s="22" t="n"/>
      <c r="R14" s="22" t="n"/>
      <c r="S14" s="22" t="n"/>
      <c r="T14" s="22" t="n"/>
      <c r="U14" s="22" t="n"/>
      <c r="V14" s="22" t="n"/>
      <c r="W14" s="22" t="n"/>
      <c r="X14" s="22" t="n"/>
      <c r="Y14" s="22" t="n"/>
      <c r="Z14" s="22" t="n"/>
      <c r="AA14" s="22" t="n"/>
      <c r="AB14" s="22" t="n"/>
      <c r="AC14" s="22" t="n"/>
      <c r="AD14" t="inlineStr">
        <is>
          <t>EDU</t>
        </is>
      </c>
      <c r="AE14">
        <f>IF($J14="","",IF(INDEX($C14:$G14,$J14)="","",$J14))</f>
        <v/>
      </c>
      <c r="AF14">
        <f>IF($K14="","",IF(INDEX($C14:$G14,$K14)="","",$K14))</f>
        <v/>
      </c>
      <c r="AG14">
        <f>IF($L14="","",IF(INDEX($C14:$G14,$L14)="","",$L14))</f>
        <v/>
      </c>
      <c r="AH14">
        <f>IF($M14="","",IF(INDEX($C14:$G14,$M14)="","",$M14))</f>
        <v/>
      </c>
      <c r="AI14">
        <f>IF($N14="","",IF(INDEX($C14:$G14,$N14)="","",$N14))</f>
        <v/>
      </c>
      <c r="AJ14">
        <f>IF($O14="","",IF(INDEX($C14:$G14,$O14)="","",$O14))</f>
        <v/>
      </c>
      <c r="AK14">
        <f>IF($P14="","",IF(INDEX($C14:$G14,$P14)="","",$P14))</f>
        <v/>
      </c>
      <c r="AL14">
        <f>IF($Q14="","",IF(INDEX($C14:$G14,$Q14)="","",$Q14))</f>
        <v/>
      </c>
      <c r="AM14">
        <f>IF($R14="","",IF(INDEX($C14:$G14,$R14)="","",$R14))</f>
        <v/>
      </c>
      <c r="AN14">
        <f>IF($S14="","",IF(INDEX($C14:$G14,$S14)="","",$S14))</f>
        <v/>
      </c>
      <c r="AO14">
        <f>IF($T14="","",IF(INDEX($C14:$G14,$T14)="","",$T14))</f>
        <v/>
      </c>
      <c r="AP14">
        <f>IF($U14="","",IF(INDEX($C14:$G14,$U14)="","",$U14))</f>
        <v/>
      </c>
      <c r="AQ14">
        <f>IF($V14="","",IF(INDEX($C14:$G14,$V14)="","",$V14))</f>
        <v/>
      </c>
      <c r="AR14">
        <f>IF($W14="","",IF(INDEX($C14:$G14,$W14)="","",$W14))</f>
        <v/>
      </c>
      <c r="AS14">
        <f>IF($X14="","",IF(INDEX($C14:$G14,$X14)="","",$X14))</f>
        <v/>
      </c>
      <c r="AT14">
        <f>IF($Y14="","",IF(INDEX($C14:$G14,$Y14)="","",$Y14))</f>
        <v/>
      </c>
      <c r="AU14">
        <f>IF($Z14="","",IF(INDEX($C14:$G14,$Z14)="","",$Z14))</f>
        <v/>
      </c>
      <c r="AV14">
        <f>IF($AA14="","",IF(INDEX($C14:$G14,$AA14)="","",$AA14))</f>
        <v/>
      </c>
      <c r="AW14">
        <f>IF($AB14="","",IF(INDEX($C14:$G14,$AB14)="","",$AB14))</f>
        <v/>
      </c>
      <c r="AX14">
        <f>IF($AC14="","",IF(INDEX($C14:$G14,$AC14)="","",$AC14))</f>
        <v/>
      </c>
      <c r="AY14">
        <f>IF($J14="","",IF(INDEX($C14:$G14,$J14)="","",IF(ISNUMBER(SEARCH("[A]",INDEX($C14:$G14,$J14))),"A",IF(ISNUMBER(SEARCH("[B]",INDEX($C14:$G14,$J14))),"B","-"))))</f>
        <v/>
      </c>
      <c r="AZ14">
        <f>IF($K14="","",IF(INDEX($C14:$G14,$K14)="","",IF(ISNUMBER(SEARCH("[A]",INDEX($C14:$G14,$K14))),"A",IF(ISNUMBER(SEARCH("[B]",INDEX($C14:$G14,$K14))),"B","-"))))</f>
        <v/>
      </c>
      <c r="BA14">
        <f>IF($L14="","",IF(INDEX($C14:$G14,$L14)="","",IF(ISNUMBER(SEARCH("[A]",INDEX($C14:$G14,$L14))),"A",IF(ISNUMBER(SEARCH("[B]",INDEX($C14:$G14,$L14))),"B","-"))))</f>
        <v/>
      </c>
      <c r="BB14">
        <f>IF($M14="","",IF(INDEX($C14:$G14,$M14)="","",IF(ISNUMBER(SEARCH("[A]",INDEX($C14:$G14,$M14))),"A",IF(ISNUMBER(SEARCH("[B]",INDEX($C14:$G14,$M14))),"B","-"))))</f>
        <v/>
      </c>
      <c r="BC14">
        <f>IF($N14="","",IF(INDEX($C14:$G14,$N14)="","",IF(ISNUMBER(SEARCH("[A]",INDEX($C14:$G14,$N14))),"A",IF(ISNUMBER(SEARCH("[B]",INDEX($C14:$G14,$N14))),"B","-"))))</f>
        <v/>
      </c>
      <c r="BD14">
        <f>IF($O14="","",IF(INDEX($C14:$G14,$O14)="","",IF(ISNUMBER(SEARCH("[A]",INDEX($C14:$G14,$O14))),"A",IF(ISNUMBER(SEARCH("[B]",INDEX($C14:$G14,$O14))),"B","-"))))</f>
        <v/>
      </c>
      <c r="BE14">
        <f>IF($P14="","",IF(INDEX($C14:$G14,$P14)="","",IF(ISNUMBER(SEARCH("[A]",INDEX($C14:$G14,$P14))),"A",IF(ISNUMBER(SEARCH("[B]",INDEX($C14:$G14,$P14))),"B","-"))))</f>
        <v/>
      </c>
      <c r="BF14">
        <f>IF($Q14="","",IF(INDEX($C14:$G14,$Q14)="","",IF(ISNUMBER(SEARCH("[A]",INDEX($C14:$G14,$Q14))),"A",IF(ISNUMBER(SEARCH("[B]",INDEX($C14:$G14,$Q14))),"B","-"))))</f>
        <v/>
      </c>
      <c r="BG14">
        <f>IF($R14="","",IF(INDEX($C14:$G14,$R14)="","",IF(ISNUMBER(SEARCH("[A]",INDEX($C14:$G14,$R14))),"A",IF(ISNUMBER(SEARCH("[B]",INDEX($C14:$G14,$R14))),"B","-"))))</f>
        <v/>
      </c>
      <c r="BH14">
        <f>IF($S14="","",IF(INDEX($C14:$G14,$S14)="","",IF(ISNUMBER(SEARCH("[A]",INDEX($C14:$G14,$S14))),"A",IF(ISNUMBER(SEARCH("[B]",INDEX($C14:$G14,$S14))),"B","-"))))</f>
        <v/>
      </c>
      <c r="BI14">
        <f>IF($T14="","",IF(INDEX($C14:$G14,$T14)="","",IF(ISNUMBER(SEARCH("[A]",INDEX($C14:$G14,$T14))),"A",IF(ISNUMBER(SEARCH("[B]",INDEX($C14:$G14,$T14))),"B","-"))))</f>
        <v/>
      </c>
      <c r="BJ14">
        <f>IF($U14="","",IF(INDEX($C14:$G14,$U14)="","",IF(ISNUMBER(SEARCH("[A]",INDEX($C14:$G14,$U14))),"A",IF(ISNUMBER(SEARCH("[B]",INDEX($C14:$G14,$U14))),"B","-"))))</f>
        <v/>
      </c>
      <c r="BK14">
        <f>IF($V14="","",IF(INDEX($C14:$G14,$V14)="","",IF(ISNUMBER(SEARCH("[A]",INDEX($C14:$G14,$V14))),"A",IF(ISNUMBER(SEARCH("[B]",INDEX($C14:$G14,$V14))),"B","-"))))</f>
        <v/>
      </c>
      <c r="BL14">
        <f>IF($W14="","",IF(INDEX($C14:$G14,$W14)="","",IF(ISNUMBER(SEARCH("[A]",INDEX($C14:$G14,$W14))),"A",IF(ISNUMBER(SEARCH("[B]",INDEX($C14:$G14,$W14))),"B","-"))))</f>
        <v/>
      </c>
      <c r="BM14">
        <f>IF($X14="","",IF(INDEX($C14:$G14,$X14)="","",IF(ISNUMBER(SEARCH("[A]",INDEX($C14:$G14,$X14))),"A",IF(ISNUMBER(SEARCH("[B]",INDEX($C14:$G14,$X14))),"B","-"))))</f>
        <v/>
      </c>
      <c r="BN14">
        <f>IF($Y14="","",IF(INDEX($C14:$G14,$Y14)="","",IF(ISNUMBER(SEARCH("[A]",INDEX($C14:$G14,$Y14))),"A",IF(ISNUMBER(SEARCH("[B]",INDEX($C14:$G14,$Y14))),"B","-"))))</f>
        <v/>
      </c>
      <c r="BO14">
        <f>IF($Z14="","",IF(INDEX($C14:$G14,$Z14)="","",IF(ISNUMBER(SEARCH("[A]",INDEX($C14:$G14,$Z14))),"A",IF(ISNUMBER(SEARCH("[B]",INDEX($C14:$G14,$Z14))),"B","-"))))</f>
        <v/>
      </c>
      <c r="BP14">
        <f>IF($AA14="","",IF(INDEX($C14:$G14,$AA14)="","",IF(ISNUMBER(SEARCH("[A]",INDEX($C14:$G14,$AA14))),"A",IF(ISNUMBER(SEARCH("[B]",INDEX($C14:$G14,$AA14))),"B","-"))))</f>
        <v/>
      </c>
      <c r="BQ14">
        <f>IF($AB14="","",IF(INDEX($C14:$G14,$AB14)="","",IF(ISNUMBER(SEARCH("[A]",INDEX($C14:$G14,$AB14))),"A",IF(ISNUMBER(SEARCH("[B]",INDEX($C14:$G14,$AB14))),"B","-"))))</f>
        <v/>
      </c>
      <c r="BR14">
        <f>IF($AC14="","",IF(INDEX($C14:$G14,$AC14)="","",IF(ISNUMBER(SEARCH("[A]",INDEX($C14:$G14,$AC14))),"A",IF(ISNUMBER(SEARCH("[B]",INDEX($C14:$G14,$AC14))),"B","-"))))</f>
        <v/>
      </c>
    </row>
    <row r="15" ht="30" customHeight="1" s="1">
      <c r="A15" s="24" t="inlineStr">
        <is>
          <t>훈련</t>
        </is>
      </c>
      <c r="B15" s="25" t="inlineStr">
        <is>
          <t>지시·말 반복</t>
        </is>
      </c>
      <c r="C15" s="28" t="inlineStr">
        <is>
          <t>1회만 말하고 기다림</t>
        </is>
      </c>
      <c r="D15" s="28" t="inlineStr">
        <is>
          <t>2~3회 반복 [A]</t>
        </is>
      </c>
      <c r="E15" s="28" t="inlineStr">
        <is>
          <t>4회 이상·지시어 뒤섞임 [A]</t>
        </is>
      </c>
      <c r="F15" s="26" t="inlineStr">
        <is>
          <t>말 없음·방치 [B]</t>
        </is>
      </c>
      <c r="G15" s="26" t="inlineStr">
        <is>
          <t>쉼 없이 연발·개가 반응할 틈이 없음 [A]</t>
        </is>
      </c>
      <c r="H15" s="24" t="inlineStr">
        <is>
          <t>교육태도</t>
        </is>
      </c>
      <c r="I15" s="27" t="n"/>
      <c r="J15" s="21" t="n"/>
      <c r="K15" s="22" t="n"/>
      <c r="L15" s="22" t="n"/>
      <c r="M15" s="22" t="n"/>
      <c r="N15" s="22" t="n"/>
      <c r="O15" s="22" t="n"/>
      <c r="P15" s="22" t="n"/>
      <c r="Q15" s="22" t="n"/>
      <c r="R15" s="22" t="n"/>
      <c r="S15" s="22" t="n"/>
      <c r="T15" s="22" t="n"/>
      <c r="U15" s="22" t="n"/>
      <c r="V15" s="22" t="n"/>
      <c r="W15" s="22" t="n"/>
      <c r="X15" s="22" t="n"/>
      <c r="Y15" s="22" t="n"/>
      <c r="Z15" s="22" t="n"/>
      <c r="AA15" s="22" t="n"/>
      <c r="AB15" s="22" t="n"/>
      <c r="AC15" s="22" t="n"/>
      <c r="AD15" t="inlineStr">
        <is>
          <t>EDU</t>
        </is>
      </c>
      <c r="AE15">
        <f>IF($J15="","",IF(INDEX($C15:$G15,$J15)="","",$J15))</f>
        <v/>
      </c>
      <c r="AF15">
        <f>IF($K15="","",IF(INDEX($C15:$G15,$K15)="","",$K15))</f>
        <v/>
      </c>
      <c r="AG15">
        <f>IF($L15="","",IF(INDEX($C15:$G15,$L15)="","",$L15))</f>
        <v/>
      </c>
      <c r="AH15">
        <f>IF($M15="","",IF(INDEX($C15:$G15,$M15)="","",$M15))</f>
        <v/>
      </c>
      <c r="AI15">
        <f>IF($N15="","",IF(INDEX($C15:$G15,$N15)="","",$N15))</f>
        <v/>
      </c>
      <c r="AJ15">
        <f>IF($O15="","",IF(INDEX($C15:$G15,$O15)="","",$O15))</f>
        <v/>
      </c>
      <c r="AK15">
        <f>IF($P15="","",IF(INDEX($C15:$G15,$P15)="","",$P15))</f>
        <v/>
      </c>
      <c r="AL15">
        <f>IF($Q15="","",IF(INDEX($C15:$G15,$Q15)="","",$Q15))</f>
        <v/>
      </c>
      <c r="AM15">
        <f>IF($R15="","",IF(INDEX($C15:$G15,$R15)="","",$R15))</f>
        <v/>
      </c>
      <c r="AN15">
        <f>IF($S15="","",IF(INDEX($C15:$G15,$S15)="","",$S15))</f>
        <v/>
      </c>
      <c r="AO15">
        <f>IF($T15="","",IF(INDEX($C15:$G15,$T15)="","",$T15))</f>
        <v/>
      </c>
      <c r="AP15">
        <f>IF($U15="","",IF(INDEX($C15:$G15,$U15)="","",$U15))</f>
        <v/>
      </c>
      <c r="AQ15">
        <f>IF($V15="","",IF(INDEX($C15:$G15,$V15)="","",$V15))</f>
        <v/>
      </c>
      <c r="AR15">
        <f>IF($W15="","",IF(INDEX($C15:$G15,$W15)="","",$W15))</f>
        <v/>
      </c>
      <c r="AS15">
        <f>IF($X15="","",IF(INDEX($C15:$G15,$X15)="","",$X15))</f>
        <v/>
      </c>
      <c r="AT15">
        <f>IF($Y15="","",IF(INDEX($C15:$G15,$Y15)="","",$Y15))</f>
        <v/>
      </c>
      <c r="AU15">
        <f>IF($Z15="","",IF(INDEX($C15:$G15,$Z15)="","",$Z15))</f>
        <v/>
      </c>
      <c r="AV15">
        <f>IF($AA15="","",IF(INDEX($C15:$G15,$AA15)="","",$AA15))</f>
        <v/>
      </c>
      <c r="AW15">
        <f>IF($AB15="","",IF(INDEX($C15:$G15,$AB15)="","",$AB15))</f>
        <v/>
      </c>
      <c r="AX15">
        <f>IF($AC15="","",IF(INDEX($C15:$G15,$AC15)="","",$AC15))</f>
        <v/>
      </c>
      <c r="AY15">
        <f>IF($J15="","",IF(INDEX($C15:$G15,$J15)="","",IF(ISNUMBER(SEARCH("[A]",INDEX($C15:$G15,$J15))),"A",IF(ISNUMBER(SEARCH("[B]",INDEX($C15:$G15,$J15))),"B","-"))))</f>
        <v/>
      </c>
      <c r="AZ15">
        <f>IF($K15="","",IF(INDEX($C15:$G15,$K15)="","",IF(ISNUMBER(SEARCH("[A]",INDEX($C15:$G15,$K15))),"A",IF(ISNUMBER(SEARCH("[B]",INDEX($C15:$G15,$K15))),"B","-"))))</f>
        <v/>
      </c>
      <c r="BA15">
        <f>IF($L15="","",IF(INDEX($C15:$G15,$L15)="","",IF(ISNUMBER(SEARCH("[A]",INDEX($C15:$G15,$L15))),"A",IF(ISNUMBER(SEARCH("[B]",INDEX($C15:$G15,$L15))),"B","-"))))</f>
        <v/>
      </c>
      <c r="BB15">
        <f>IF($M15="","",IF(INDEX($C15:$G15,$M15)="","",IF(ISNUMBER(SEARCH("[A]",INDEX($C15:$G15,$M15))),"A",IF(ISNUMBER(SEARCH("[B]",INDEX($C15:$G15,$M15))),"B","-"))))</f>
        <v/>
      </c>
      <c r="BC15">
        <f>IF($N15="","",IF(INDEX($C15:$G15,$N15)="","",IF(ISNUMBER(SEARCH("[A]",INDEX($C15:$G15,$N15))),"A",IF(ISNUMBER(SEARCH("[B]",INDEX($C15:$G15,$N15))),"B","-"))))</f>
        <v/>
      </c>
      <c r="BD15">
        <f>IF($O15="","",IF(INDEX($C15:$G15,$O15)="","",IF(ISNUMBER(SEARCH("[A]",INDEX($C15:$G15,$O15))),"A",IF(ISNUMBER(SEARCH("[B]",INDEX($C15:$G15,$O15))),"B","-"))))</f>
        <v/>
      </c>
      <c r="BE15">
        <f>IF($P15="","",IF(INDEX($C15:$G15,$P15)="","",IF(ISNUMBER(SEARCH("[A]",INDEX($C15:$G15,$P15))),"A",IF(ISNUMBER(SEARCH("[B]",INDEX($C15:$G15,$P15))),"B","-"))))</f>
        <v/>
      </c>
      <c r="BF15">
        <f>IF($Q15="","",IF(INDEX($C15:$G15,$Q15)="","",IF(ISNUMBER(SEARCH("[A]",INDEX($C15:$G15,$Q15))),"A",IF(ISNUMBER(SEARCH("[B]",INDEX($C15:$G15,$Q15))),"B","-"))))</f>
        <v/>
      </c>
      <c r="BG15">
        <f>IF($R15="","",IF(INDEX($C15:$G15,$R15)="","",IF(ISNUMBER(SEARCH("[A]",INDEX($C15:$G15,$R15))),"A",IF(ISNUMBER(SEARCH("[B]",INDEX($C15:$G15,$R15))),"B","-"))))</f>
        <v/>
      </c>
      <c r="BH15">
        <f>IF($S15="","",IF(INDEX($C15:$G15,$S15)="","",IF(ISNUMBER(SEARCH("[A]",INDEX($C15:$G15,$S15))),"A",IF(ISNUMBER(SEARCH("[B]",INDEX($C15:$G15,$S15))),"B","-"))))</f>
        <v/>
      </c>
      <c r="BI15">
        <f>IF($T15="","",IF(INDEX($C15:$G15,$T15)="","",IF(ISNUMBER(SEARCH("[A]",INDEX($C15:$G15,$T15))),"A",IF(ISNUMBER(SEARCH("[B]",INDEX($C15:$G15,$T15))),"B","-"))))</f>
        <v/>
      </c>
      <c r="BJ15">
        <f>IF($U15="","",IF(INDEX($C15:$G15,$U15)="","",IF(ISNUMBER(SEARCH("[A]",INDEX($C15:$G15,$U15))),"A",IF(ISNUMBER(SEARCH("[B]",INDEX($C15:$G15,$U15))),"B","-"))))</f>
        <v/>
      </c>
      <c r="BK15">
        <f>IF($V15="","",IF(INDEX($C15:$G15,$V15)="","",IF(ISNUMBER(SEARCH("[A]",INDEX($C15:$G15,$V15))),"A",IF(ISNUMBER(SEARCH("[B]",INDEX($C15:$G15,$V15))),"B","-"))))</f>
        <v/>
      </c>
      <c r="BL15">
        <f>IF($W15="","",IF(INDEX($C15:$G15,$W15)="","",IF(ISNUMBER(SEARCH("[A]",INDEX($C15:$G15,$W15))),"A",IF(ISNUMBER(SEARCH("[B]",INDEX($C15:$G15,$W15))),"B","-"))))</f>
        <v/>
      </c>
      <c r="BM15">
        <f>IF($X15="","",IF(INDEX($C15:$G15,$X15)="","",IF(ISNUMBER(SEARCH("[A]",INDEX($C15:$G15,$X15))),"A",IF(ISNUMBER(SEARCH("[B]",INDEX($C15:$G15,$X15))),"B","-"))))</f>
        <v/>
      </c>
      <c r="BN15">
        <f>IF($Y15="","",IF(INDEX($C15:$G15,$Y15)="","",IF(ISNUMBER(SEARCH("[A]",INDEX($C15:$G15,$Y15))),"A",IF(ISNUMBER(SEARCH("[B]",INDEX($C15:$G15,$Y15))),"B","-"))))</f>
        <v/>
      </c>
      <c r="BO15">
        <f>IF($Z15="","",IF(INDEX($C15:$G15,$Z15)="","",IF(ISNUMBER(SEARCH("[A]",INDEX($C15:$G15,$Z15))),"A",IF(ISNUMBER(SEARCH("[B]",INDEX($C15:$G15,$Z15))),"B","-"))))</f>
        <v/>
      </c>
      <c r="BP15">
        <f>IF($AA15="","",IF(INDEX($C15:$G15,$AA15)="","",IF(ISNUMBER(SEARCH("[A]",INDEX($C15:$G15,$AA15))),"A",IF(ISNUMBER(SEARCH("[B]",INDEX($C15:$G15,$AA15))),"B","-"))))</f>
        <v/>
      </c>
      <c r="BQ15">
        <f>IF($AB15="","",IF(INDEX($C15:$G15,$AB15)="","",IF(ISNUMBER(SEARCH("[A]",INDEX($C15:$G15,$AB15))),"A",IF(ISNUMBER(SEARCH("[B]",INDEX($C15:$G15,$AB15))),"B","-"))))</f>
        <v/>
      </c>
      <c r="BR15">
        <f>IF($AC15="","",IF(INDEX($C15:$G15,$AC15)="","",IF(ISNUMBER(SEARCH("[A]",INDEX($C15:$G15,$AC15))),"A",IF(ISNUMBER(SEARCH("[B]",INDEX($C15:$G15,$AC15))),"B","-"))))</f>
        <v/>
      </c>
    </row>
    <row r="16" ht="30" customHeight="1" s="1">
      <c r="A16" s="24" t="inlineStr">
        <is>
          <t>훈련</t>
        </is>
      </c>
      <c r="B16" s="25" t="inlineStr">
        <is>
          <t>개와의 거리</t>
        </is>
      </c>
      <c r="C16" s="26" t="inlineStr">
        <is>
          <t>적정 거리에서 주의 유지</t>
        </is>
      </c>
      <c r="D16" s="19" t="n"/>
      <c r="E16" s="26" t="inlineStr">
        <is>
          <t>거리 유지·개에 관심 없음 [B]</t>
        </is>
      </c>
      <c r="F16" s="26" t="inlineStr">
        <is>
          <t>계속 붙어 만짐·안아 올림 [A]</t>
        </is>
      </c>
      <c r="G16" s="26" t="inlineStr">
        <is>
          <t>개를 완전히 놓침·다른 데 가 있음 [B]</t>
        </is>
      </c>
      <c r="H16" s="24" t="inlineStr">
        <is>
          <t>교육태도</t>
        </is>
      </c>
      <c r="I16" s="27" t="n"/>
      <c r="J16" s="21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  <c r="AA16" s="22" t="n"/>
      <c r="AB16" s="22" t="n"/>
      <c r="AC16" s="22" t="n"/>
      <c r="AD16" t="inlineStr">
        <is>
          <t>EDU</t>
        </is>
      </c>
      <c r="AE16">
        <f>IF($J16="","",IF(INDEX($C16:$G16,$J16)="","",$J16))</f>
        <v/>
      </c>
      <c r="AF16">
        <f>IF($K16="","",IF(INDEX($C16:$G16,$K16)="","",$K16))</f>
        <v/>
      </c>
      <c r="AG16">
        <f>IF($L16="","",IF(INDEX($C16:$G16,$L16)="","",$L16))</f>
        <v/>
      </c>
      <c r="AH16">
        <f>IF($M16="","",IF(INDEX($C16:$G16,$M16)="","",$M16))</f>
        <v/>
      </c>
      <c r="AI16">
        <f>IF($N16="","",IF(INDEX($C16:$G16,$N16)="","",$N16))</f>
        <v/>
      </c>
      <c r="AJ16">
        <f>IF($O16="","",IF(INDEX($C16:$G16,$O16)="","",$O16))</f>
        <v/>
      </c>
      <c r="AK16">
        <f>IF($P16="","",IF(INDEX($C16:$G16,$P16)="","",$P16))</f>
        <v/>
      </c>
      <c r="AL16">
        <f>IF($Q16="","",IF(INDEX($C16:$G16,$Q16)="","",$Q16))</f>
        <v/>
      </c>
      <c r="AM16">
        <f>IF($R16="","",IF(INDEX($C16:$G16,$R16)="","",$R16))</f>
        <v/>
      </c>
      <c r="AN16">
        <f>IF($S16="","",IF(INDEX($C16:$G16,$S16)="","",$S16))</f>
        <v/>
      </c>
      <c r="AO16">
        <f>IF($T16="","",IF(INDEX($C16:$G16,$T16)="","",$T16))</f>
        <v/>
      </c>
      <c r="AP16">
        <f>IF($U16="","",IF(INDEX($C16:$G16,$U16)="","",$U16))</f>
        <v/>
      </c>
      <c r="AQ16">
        <f>IF($V16="","",IF(INDEX($C16:$G16,$V16)="","",$V16))</f>
        <v/>
      </c>
      <c r="AR16">
        <f>IF($W16="","",IF(INDEX($C16:$G16,$W16)="","",$W16))</f>
        <v/>
      </c>
      <c r="AS16">
        <f>IF($X16="","",IF(INDEX($C16:$G16,$X16)="","",$X16))</f>
        <v/>
      </c>
      <c r="AT16">
        <f>IF($Y16="","",IF(INDEX($C16:$G16,$Y16)="","",$Y16))</f>
        <v/>
      </c>
      <c r="AU16">
        <f>IF($Z16="","",IF(INDEX($C16:$G16,$Z16)="","",$Z16))</f>
        <v/>
      </c>
      <c r="AV16">
        <f>IF($AA16="","",IF(INDEX($C16:$G16,$AA16)="","",$AA16))</f>
        <v/>
      </c>
      <c r="AW16">
        <f>IF($AB16="","",IF(INDEX($C16:$G16,$AB16)="","",$AB16))</f>
        <v/>
      </c>
      <c r="AX16">
        <f>IF($AC16="","",IF(INDEX($C16:$G16,$AC16)="","",$AC16))</f>
        <v/>
      </c>
      <c r="AY16">
        <f>IF($J16="","",IF(INDEX($C16:$G16,$J16)="","",IF(ISNUMBER(SEARCH("[A]",INDEX($C16:$G16,$J16))),"A",IF(ISNUMBER(SEARCH("[B]",INDEX($C16:$G16,$J16))),"B","-"))))</f>
        <v/>
      </c>
      <c r="AZ16">
        <f>IF($K16="","",IF(INDEX($C16:$G16,$K16)="","",IF(ISNUMBER(SEARCH("[A]",INDEX($C16:$G16,$K16))),"A",IF(ISNUMBER(SEARCH("[B]",INDEX($C16:$G16,$K16))),"B","-"))))</f>
        <v/>
      </c>
      <c r="BA16">
        <f>IF($L16="","",IF(INDEX($C16:$G16,$L16)="","",IF(ISNUMBER(SEARCH("[A]",INDEX($C16:$G16,$L16))),"A",IF(ISNUMBER(SEARCH("[B]",INDEX($C16:$G16,$L16))),"B","-"))))</f>
        <v/>
      </c>
      <c r="BB16">
        <f>IF($M16="","",IF(INDEX($C16:$G16,$M16)="","",IF(ISNUMBER(SEARCH("[A]",INDEX($C16:$G16,$M16))),"A",IF(ISNUMBER(SEARCH("[B]",INDEX($C16:$G16,$M16))),"B","-"))))</f>
        <v/>
      </c>
      <c r="BC16">
        <f>IF($N16="","",IF(INDEX($C16:$G16,$N16)="","",IF(ISNUMBER(SEARCH("[A]",INDEX($C16:$G16,$N16))),"A",IF(ISNUMBER(SEARCH("[B]",INDEX($C16:$G16,$N16))),"B","-"))))</f>
        <v/>
      </c>
      <c r="BD16">
        <f>IF($O16="","",IF(INDEX($C16:$G16,$O16)="","",IF(ISNUMBER(SEARCH("[A]",INDEX($C16:$G16,$O16))),"A",IF(ISNUMBER(SEARCH("[B]",INDEX($C16:$G16,$O16))),"B","-"))))</f>
        <v/>
      </c>
      <c r="BE16">
        <f>IF($P16="","",IF(INDEX($C16:$G16,$P16)="","",IF(ISNUMBER(SEARCH("[A]",INDEX($C16:$G16,$P16))),"A",IF(ISNUMBER(SEARCH("[B]",INDEX($C16:$G16,$P16))),"B","-"))))</f>
        <v/>
      </c>
      <c r="BF16">
        <f>IF($Q16="","",IF(INDEX($C16:$G16,$Q16)="","",IF(ISNUMBER(SEARCH("[A]",INDEX($C16:$G16,$Q16))),"A",IF(ISNUMBER(SEARCH("[B]",INDEX($C16:$G16,$Q16))),"B","-"))))</f>
        <v/>
      </c>
      <c r="BG16">
        <f>IF($R16="","",IF(INDEX($C16:$G16,$R16)="","",IF(ISNUMBER(SEARCH("[A]",INDEX($C16:$G16,$R16))),"A",IF(ISNUMBER(SEARCH("[B]",INDEX($C16:$G16,$R16))),"B","-"))))</f>
        <v/>
      </c>
      <c r="BH16">
        <f>IF($S16="","",IF(INDEX($C16:$G16,$S16)="","",IF(ISNUMBER(SEARCH("[A]",INDEX($C16:$G16,$S16))),"A",IF(ISNUMBER(SEARCH("[B]",INDEX($C16:$G16,$S16))),"B","-"))))</f>
        <v/>
      </c>
      <c r="BI16">
        <f>IF($T16="","",IF(INDEX($C16:$G16,$T16)="","",IF(ISNUMBER(SEARCH("[A]",INDEX($C16:$G16,$T16))),"A",IF(ISNUMBER(SEARCH("[B]",INDEX($C16:$G16,$T16))),"B","-"))))</f>
        <v/>
      </c>
      <c r="BJ16">
        <f>IF($U16="","",IF(INDEX($C16:$G16,$U16)="","",IF(ISNUMBER(SEARCH("[A]",INDEX($C16:$G16,$U16))),"A",IF(ISNUMBER(SEARCH("[B]",INDEX($C16:$G16,$U16))),"B","-"))))</f>
        <v/>
      </c>
      <c r="BK16">
        <f>IF($V16="","",IF(INDEX($C16:$G16,$V16)="","",IF(ISNUMBER(SEARCH("[A]",INDEX($C16:$G16,$V16))),"A",IF(ISNUMBER(SEARCH("[B]",INDEX($C16:$G16,$V16))),"B","-"))))</f>
        <v/>
      </c>
      <c r="BL16">
        <f>IF($W16="","",IF(INDEX($C16:$G16,$W16)="","",IF(ISNUMBER(SEARCH("[A]",INDEX($C16:$G16,$W16))),"A",IF(ISNUMBER(SEARCH("[B]",INDEX($C16:$G16,$W16))),"B","-"))))</f>
        <v/>
      </c>
      <c r="BM16">
        <f>IF($X16="","",IF(INDEX($C16:$G16,$X16)="","",IF(ISNUMBER(SEARCH("[A]",INDEX($C16:$G16,$X16))),"A",IF(ISNUMBER(SEARCH("[B]",INDEX($C16:$G16,$X16))),"B","-"))))</f>
        <v/>
      </c>
      <c r="BN16">
        <f>IF($Y16="","",IF(INDEX($C16:$G16,$Y16)="","",IF(ISNUMBER(SEARCH("[A]",INDEX($C16:$G16,$Y16))),"A",IF(ISNUMBER(SEARCH("[B]",INDEX($C16:$G16,$Y16))),"B","-"))))</f>
        <v/>
      </c>
      <c r="BO16">
        <f>IF($Z16="","",IF(INDEX($C16:$G16,$Z16)="","",IF(ISNUMBER(SEARCH("[A]",INDEX($C16:$G16,$Z16))),"A",IF(ISNUMBER(SEARCH("[B]",INDEX($C16:$G16,$Z16))),"B","-"))))</f>
        <v/>
      </c>
      <c r="BP16">
        <f>IF($AA16="","",IF(INDEX($C16:$G16,$AA16)="","",IF(ISNUMBER(SEARCH("[A]",INDEX($C16:$G16,$AA16))),"A",IF(ISNUMBER(SEARCH("[B]",INDEX($C16:$G16,$AA16))),"B","-"))))</f>
        <v/>
      </c>
      <c r="BQ16">
        <f>IF($AB16="","",IF(INDEX($C16:$G16,$AB16)="","",IF(ISNUMBER(SEARCH("[A]",INDEX($C16:$G16,$AB16))),"A",IF(ISNUMBER(SEARCH("[B]",INDEX($C16:$G16,$AB16))),"B","-"))))</f>
        <v/>
      </c>
      <c r="BR16">
        <f>IF($AC16="","",IF(INDEX($C16:$G16,$AC16)="","",IF(ISNUMBER(SEARCH("[A]",INDEX($C16:$G16,$AC16))),"A",IF(ISNUMBER(SEARCH("[B]",INDEX($C16:$G16,$AC16))),"B","-"))))</f>
        <v/>
      </c>
    </row>
    <row r="17" ht="30" customHeight="1" s="1">
      <c r="A17" s="24" t="inlineStr">
        <is>
          <t>훈련</t>
        </is>
      </c>
      <c r="B17" s="25" t="inlineStr">
        <is>
          <t>[훈련] 지시 형태</t>
        </is>
      </c>
      <c r="C17" s="26" t="inlineStr">
        <is>
          <t>말로만 지시·개 몸에 손대지 않음</t>
        </is>
      </c>
      <c r="D17" s="26" t="n"/>
      <c r="E17" s="26" t="inlineStr">
        <is>
          <t>손으로 유도 동작 [B]</t>
        </is>
      </c>
      <c r="F17" s="19" t="n"/>
      <c r="G17" s="26" t="inlineStr">
        <is>
          <t>손으로 눌러 앉힘·리드줄 위로 당김 [A]</t>
        </is>
      </c>
      <c r="H17" s="24" t="inlineStr">
        <is>
          <t>교육태도</t>
        </is>
      </c>
      <c r="I17" s="27" t="inlineStr">
        <is>
          <t>★</t>
        </is>
      </c>
      <c r="J17" s="21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  <c r="AA17" s="22" t="n"/>
      <c r="AB17" s="22" t="n"/>
      <c r="AC17" s="22" t="n"/>
      <c r="AD17" t="inlineStr">
        <is>
          <t>EDU</t>
        </is>
      </c>
      <c r="AE17">
        <f>IF($J17="","",IF(INDEX($C17:$G17,$J17)="","",$J17))</f>
        <v/>
      </c>
      <c r="AF17">
        <f>IF($K17="","",IF(INDEX($C17:$G17,$K17)="","",$K17))</f>
        <v/>
      </c>
      <c r="AG17">
        <f>IF($L17="","",IF(INDEX($C17:$G17,$L17)="","",$L17))</f>
        <v/>
      </c>
      <c r="AH17">
        <f>IF($M17="","",IF(INDEX($C17:$G17,$M17)="","",$M17))</f>
        <v/>
      </c>
      <c r="AI17">
        <f>IF($N17="","",IF(INDEX($C17:$G17,$N17)="","",$N17))</f>
        <v/>
      </c>
      <c r="AJ17">
        <f>IF($O17="","",IF(INDEX($C17:$G17,$O17)="","",$O17))</f>
        <v/>
      </c>
      <c r="AK17">
        <f>IF($P17="","",IF(INDEX($C17:$G17,$P17)="","",$P17))</f>
        <v/>
      </c>
      <c r="AL17">
        <f>IF($Q17="","",IF(INDEX($C17:$G17,$Q17)="","",$Q17))</f>
        <v/>
      </c>
      <c r="AM17">
        <f>IF($R17="","",IF(INDEX($C17:$G17,$R17)="","",$R17))</f>
        <v/>
      </c>
      <c r="AN17">
        <f>IF($S17="","",IF(INDEX($C17:$G17,$S17)="","",$S17))</f>
        <v/>
      </c>
      <c r="AO17">
        <f>IF($T17="","",IF(INDEX($C17:$G17,$T17)="","",$T17))</f>
        <v/>
      </c>
      <c r="AP17">
        <f>IF($U17="","",IF(INDEX($C17:$G17,$U17)="","",$U17))</f>
        <v/>
      </c>
      <c r="AQ17">
        <f>IF($V17="","",IF(INDEX($C17:$G17,$V17)="","",$V17))</f>
        <v/>
      </c>
      <c r="AR17">
        <f>IF($W17="","",IF(INDEX($C17:$G17,$W17)="","",$W17))</f>
        <v/>
      </c>
      <c r="AS17">
        <f>IF($X17="","",IF(INDEX($C17:$G17,$X17)="","",$X17))</f>
        <v/>
      </c>
      <c r="AT17">
        <f>IF($Y17="","",IF(INDEX($C17:$G17,$Y17)="","",$Y17))</f>
        <v/>
      </c>
      <c r="AU17">
        <f>IF($Z17="","",IF(INDEX($C17:$G17,$Z17)="","",$Z17))</f>
        <v/>
      </c>
      <c r="AV17">
        <f>IF($AA17="","",IF(INDEX($C17:$G17,$AA17)="","",$AA17))</f>
        <v/>
      </c>
      <c r="AW17">
        <f>IF($AB17="","",IF(INDEX($C17:$G17,$AB17)="","",$AB17))</f>
        <v/>
      </c>
      <c r="AX17">
        <f>IF($AC17="","",IF(INDEX($C17:$G17,$AC17)="","",$AC17))</f>
        <v/>
      </c>
      <c r="AY17">
        <f>IF($J17="","",IF(INDEX($C17:$G17,$J17)="","",IF(ISNUMBER(SEARCH("[A]",INDEX($C17:$G17,$J17))),"A",IF(ISNUMBER(SEARCH("[B]",INDEX($C17:$G17,$J17))),"B","-"))))</f>
        <v/>
      </c>
      <c r="AZ17">
        <f>IF($K17="","",IF(INDEX($C17:$G17,$K17)="","",IF(ISNUMBER(SEARCH("[A]",INDEX($C17:$G17,$K17))),"A",IF(ISNUMBER(SEARCH("[B]",INDEX($C17:$G17,$K17))),"B","-"))))</f>
        <v/>
      </c>
      <c r="BA17">
        <f>IF($L17="","",IF(INDEX($C17:$G17,$L17)="","",IF(ISNUMBER(SEARCH("[A]",INDEX($C17:$G17,$L17))),"A",IF(ISNUMBER(SEARCH("[B]",INDEX($C17:$G17,$L17))),"B","-"))))</f>
        <v/>
      </c>
      <c r="BB17">
        <f>IF($M17="","",IF(INDEX($C17:$G17,$M17)="","",IF(ISNUMBER(SEARCH("[A]",INDEX($C17:$G17,$M17))),"A",IF(ISNUMBER(SEARCH("[B]",INDEX($C17:$G17,$M17))),"B","-"))))</f>
        <v/>
      </c>
      <c r="BC17">
        <f>IF($N17="","",IF(INDEX($C17:$G17,$N17)="","",IF(ISNUMBER(SEARCH("[A]",INDEX($C17:$G17,$N17))),"A",IF(ISNUMBER(SEARCH("[B]",INDEX($C17:$G17,$N17))),"B","-"))))</f>
        <v/>
      </c>
      <c r="BD17">
        <f>IF($O17="","",IF(INDEX($C17:$G17,$O17)="","",IF(ISNUMBER(SEARCH("[A]",INDEX($C17:$G17,$O17))),"A",IF(ISNUMBER(SEARCH("[B]",INDEX($C17:$G17,$O17))),"B","-"))))</f>
        <v/>
      </c>
      <c r="BE17">
        <f>IF($P17="","",IF(INDEX($C17:$G17,$P17)="","",IF(ISNUMBER(SEARCH("[A]",INDEX($C17:$G17,$P17))),"A",IF(ISNUMBER(SEARCH("[B]",INDEX($C17:$G17,$P17))),"B","-"))))</f>
        <v/>
      </c>
      <c r="BF17">
        <f>IF($Q17="","",IF(INDEX($C17:$G17,$Q17)="","",IF(ISNUMBER(SEARCH("[A]",INDEX($C17:$G17,$Q17))),"A",IF(ISNUMBER(SEARCH("[B]",INDEX($C17:$G17,$Q17))),"B","-"))))</f>
        <v/>
      </c>
      <c r="BG17">
        <f>IF($R17="","",IF(INDEX($C17:$G17,$R17)="","",IF(ISNUMBER(SEARCH("[A]",INDEX($C17:$G17,$R17))),"A",IF(ISNUMBER(SEARCH("[B]",INDEX($C17:$G17,$R17))),"B","-"))))</f>
        <v/>
      </c>
      <c r="BH17">
        <f>IF($S17="","",IF(INDEX($C17:$G17,$S17)="","",IF(ISNUMBER(SEARCH("[A]",INDEX($C17:$G17,$S17))),"A",IF(ISNUMBER(SEARCH("[B]",INDEX($C17:$G17,$S17))),"B","-"))))</f>
        <v/>
      </c>
      <c r="BI17">
        <f>IF($T17="","",IF(INDEX($C17:$G17,$T17)="","",IF(ISNUMBER(SEARCH("[A]",INDEX($C17:$G17,$T17))),"A",IF(ISNUMBER(SEARCH("[B]",INDEX($C17:$G17,$T17))),"B","-"))))</f>
        <v/>
      </c>
      <c r="BJ17">
        <f>IF($U17="","",IF(INDEX($C17:$G17,$U17)="","",IF(ISNUMBER(SEARCH("[A]",INDEX($C17:$G17,$U17))),"A",IF(ISNUMBER(SEARCH("[B]",INDEX($C17:$G17,$U17))),"B","-"))))</f>
        <v/>
      </c>
      <c r="BK17">
        <f>IF($V17="","",IF(INDEX($C17:$G17,$V17)="","",IF(ISNUMBER(SEARCH("[A]",INDEX($C17:$G17,$V17))),"A",IF(ISNUMBER(SEARCH("[B]",INDEX($C17:$G17,$V17))),"B","-"))))</f>
        <v/>
      </c>
      <c r="BL17">
        <f>IF($W17="","",IF(INDEX($C17:$G17,$W17)="","",IF(ISNUMBER(SEARCH("[A]",INDEX($C17:$G17,$W17))),"A",IF(ISNUMBER(SEARCH("[B]",INDEX($C17:$G17,$W17))),"B","-"))))</f>
        <v/>
      </c>
      <c r="BM17">
        <f>IF($X17="","",IF(INDEX($C17:$G17,$X17)="","",IF(ISNUMBER(SEARCH("[A]",INDEX($C17:$G17,$X17))),"A",IF(ISNUMBER(SEARCH("[B]",INDEX($C17:$G17,$X17))),"B","-"))))</f>
        <v/>
      </c>
      <c r="BN17">
        <f>IF($Y17="","",IF(INDEX($C17:$G17,$Y17)="","",IF(ISNUMBER(SEARCH("[A]",INDEX($C17:$G17,$Y17))),"A",IF(ISNUMBER(SEARCH("[B]",INDEX($C17:$G17,$Y17))),"B","-"))))</f>
        <v/>
      </c>
      <c r="BO17">
        <f>IF($Z17="","",IF(INDEX($C17:$G17,$Z17)="","",IF(ISNUMBER(SEARCH("[A]",INDEX($C17:$G17,$Z17))),"A",IF(ISNUMBER(SEARCH("[B]",INDEX($C17:$G17,$Z17))),"B","-"))))</f>
        <v/>
      </c>
      <c r="BP17">
        <f>IF($AA17="","",IF(INDEX($C17:$G17,$AA17)="","",IF(ISNUMBER(SEARCH("[A]",INDEX($C17:$G17,$AA17))),"A",IF(ISNUMBER(SEARCH("[B]",INDEX($C17:$G17,$AA17))),"B","-"))))</f>
        <v/>
      </c>
      <c r="BQ17">
        <f>IF($AB17="","",IF(INDEX($C17:$G17,$AB17)="","",IF(ISNUMBER(SEARCH("[A]",INDEX($C17:$G17,$AB17))),"A",IF(ISNUMBER(SEARCH("[B]",INDEX($C17:$G17,$AB17))),"B","-"))))</f>
        <v/>
      </c>
      <c r="BR17">
        <f>IF($AC17="","",IF(INDEX($C17:$G17,$AC17)="","",IF(ISNUMBER(SEARCH("[A]",INDEX($C17:$G17,$AC17))),"A",IF(ISNUMBER(SEARCH("[B]",INDEX($C17:$G17,$AC17))),"B","-"))))</f>
        <v/>
      </c>
    </row>
    <row r="18" ht="30" customHeight="1" s="1">
      <c r="A18" s="24" t="inlineStr">
        <is>
          <t>훈련</t>
        </is>
      </c>
      <c r="B18" s="40" t="inlineStr">
        <is>
          <t>[훈련] 보상 타이밍</t>
        </is>
      </c>
      <c r="C18" s="26" t="inlineStr">
        <is>
          <t>수행 직후 2초 이내 반응 (말·접촉)</t>
        </is>
      </c>
      <c r="D18" s="26" t="inlineStr">
        <is>
          <t>반응이 2초 이상 늦음 [B]</t>
        </is>
      </c>
      <c r="E18" s="26" t="inlineStr">
        <is>
          <t>수행하지 않았는데 반응함 [B]</t>
        </is>
      </c>
      <c r="F18" s="19" t="n"/>
      <c r="G18" s="26" t="inlineStr">
        <is>
          <t>반응 없음 [B]</t>
        </is>
      </c>
      <c r="H18" s="24" t="inlineStr">
        <is>
          <t>교육태도</t>
        </is>
      </c>
      <c r="I18" s="27" t="n"/>
      <c r="J18" s="21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  <c r="AA18" s="22" t="n"/>
      <c r="AB18" s="22" t="n"/>
      <c r="AC18" s="22" t="n"/>
      <c r="AD18" t="inlineStr">
        <is>
          <t>EDU</t>
        </is>
      </c>
      <c r="AE18">
        <f>IF($J18="","",IF(INDEX($C18:$G18,$J18)="","",$J18))</f>
        <v/>
      </c>
      <c r="AF18">
        <f>IF($K18="","",IF(INDEX($C18:$G18,$K18)="","",$K18))</f>
        <v/>
      </c>
      <c r="AG18">
        <f>IF($L18="","",IF(INDEX($C18:$G18,$L18)="","",$L18))</f>
        <v/>
      </c>
      <c r="AH18">
        <f>IF($M18="","",IF(INDEX($C18:$G18,$M18)="","",$M18))</f>
        <v/>
      </c>
      <c r="AI18">
        <f>IF($N18="","",IF(INDEX($C18:$G18,$N18)="","",$N18))</f>
        <v/>
      </c>
      <c r="AJ18">
        <f>IF($O18="","",IF(INDEX($C18:$G18,$O18)="","",$O18))</f>
        <v/>
      </c>
      <c r="AK18">
        <f>IF($P18="","",IF(INDEX($C18:$G18,$P18)="","",$P18))</f>
        <v/>
      </c>
      <c r="AL18">
        <f>IF($Q18="","",IF(INDEX($C18:$G18,$Q18)="","",$Q18))</f>
        <v/>
      </c>
      <c r="AM18">
        <f>IF($R18="","",IF(INDEX($C18:$G18,$R18)="","",$R18))</f>
        <v/>
      </c>
      <c r="AN18">
        <f>IF($S18="","",IF(INDEX($C18:$G18,$S18)="","",$S18))</f>
        <v/>
      </c>
      <c r="AO18">
        <f>IF($T18="","",IF(INDEX($C18:$G18,$T18)="","",$T18))</f>
        <v/>
      </c>
      <c r="AP18">
        <f>IF($U18="","",IF(INDEX($C18:$G18,$U18)="","",$U18))</f>
        <v/>
      </c>
      <c r="AQ18">
        <f>IF($V18="","",IF(INDEX($C18:$G18,$V18)="","",$V18))</f>
        <v/>
      </c>
      <c r="AR18">
        <f>IF($W18="","",IF(INDEX($C18:$G18,$W18)="","",$W18))</f>
        <v/>
      </c>
      <c r="AS18">
        <f>IF($X18="","",IF(INDEX($C18:$G18,$X18)="","",$X18))</f>
        <v/>
      </c>
      <c r="AT18">
        <f>IF($Y18="","",IF(INDEX($C18:$G18,$Y18)="","",$Y18))</f>
        <v/>
      </c>
      <c r="AU18">
        <f>IF($Z18="","",IF(INDEX($C18:$G18,$Z18)="","",$Z18))</f>
        <v/>
      </c>
      <c r="AV18">
        <f>IF($AA18="","",IF(INDEX($C18:$G18,$AA18)="","",$AA18))</f>
        <v/>
      </c>
      <c r="AW18">
        <f>IF($AB18="","",IF(INDEX($C18:$G18,$AB18)="","",$AB18))</f>
        <v/>
      </c>
      <c r="AX18">
        <f>IF($AC18="","",IF(INDEX($C18:$G18,$AC18)="","",$AC18))</f>
        <v/>
      </c>
      <c r="AY18">
        <f>IF($J18="","",IF(INDEX($C18:$G18,$J18)="","",IF(ISNUMBER(SEARCH("[A]",INDEX($C18:$G18,$J18))),"A",IF(ISNUMBER(SEARCH("[B]",INDEX($C18:$G18,$J18))),"B","-"))))</f>
        <v/>
      </c>
      <c r="AZ18">
        <f>IF($K18="","",IF(INDEX($C18:$G18,$K18)="","",IF(ISNUMBER(SEARCH("[A]",INDEX($C18:$G18,$K18))),"A",IF(ISNUMBER(SEARCH("[B]",INDEX($C18:$G18,$K18))),"B","-"))))</f>
        <v/>
      </c>
      <c r="BA18">
        <f>IF($L18="","",IF(INDEX($C18:$G18,$L18)="","",IF(ISNUMBER(SEARCH("[A]",INDEX($C18:$G18,$L18))),"A",IF(ISNUMBER(SEARCH("[B]",INDEX($C18:$G18,$L18))),"B","-"))))</f>
        <v/>
      </c>
      <c r="BB18">
        <f>IF($M18="","",IF(INDEX($C18:$G18,$M18)="","",IF(ISNUMBER(SEARCH("[A]",INDEX($C18:$G18,$M18))),"A",IF(ISNUMBER(SEARCH("[B]",INDEX($C18:$G18,$M18))),"B","-"))))</f>
        <v/>
      </c>
      <c r="BC18">
        <f>IF($N18="","",IF(INDEX($C18:$G18,$N18)="","",IF(ISNUMBER(SEARCH("[A]",INDEX($C18:$G18,$N18))),"A",IF(ISNUMBER(SEARCH("[B]",INDEX($C18:$G18,$N18))),"B","-"))))</f>
        <v/>
      </c>
      <c r="BD18">
        <f>IF($O18="","",IF(INDEX($C18:$G18,$O18)="","",IF(ISNUMBER(SEARCH("[A]",INDEX($C18:$G18,$O18))),"A",IF(ISNUMBER(SEARCH("[B]",INDEX($C18:$G18,$O18))),"B","-"))))</f>
        <v/>
      </c>
      <c r="BE18">
        <f>IF($P18="","",IF(INDEX($C18:$G18,$P18)="","",IF(ISNUMBER(SEARCH("[A]",INDEX($C18:$G18,$P18))),"A",IF(ISNUMBER(SEARCH("[B]",INDEX($C18:$G18,$P18))),"B","-"))))</f>
        <v/>
      </c>
      <c r="BF18">
        <f>IF($Q18="","",IF(INDEX($C18:$G18,$Q18)="","",IF(ISNUMBER(SEARCH("[A]",INDEX($C18:$G18,$Q18))),"A",IF(ISNUMBER(SEARCH("[B]",INDEX($C18:$G18,$Q18))),"B","-"))))</f>
        <v/>
      </c>
      <c r="BG18">
        <f>IF($R18="","",IF(INDEX($C18:$G18,$R18)="","",IF(ISNUMBER(SEARCH("[A]",INDEX($C18:$G18,$R18))),"A",IF(ISNUMBER(SEARCH("[B]",INDEX($C18:$G18,$R18))),"B","-"))))</f>
        <v/>
      </c>
      <c r="BH18">
        <f>IF($S18="","",IF(INDEX($C18:$G18,$S18)="","",IF(ISNUMBER(SEARCH("[A]",INDEX($C18:$G18,$S18))),"A",IF(ISNUMBER(SEARCH("[B]",INDEX($C18:$G18,$S18))),"B","-"))))</f>
        <v/>
      </c>
      <c r="BI18">
        <f>IF($T18="","",IF(INDEX($C18:$G18,$T18)="","",IF(ISNUMBER(SEARCH("[A]",INDEX($C18:$G18,$T18))),"A",IF(ISNUMBER(SEARCH("[B]",INDEX($C18:$G18,$T18))),"B","-"))))</f>
        <v/>
      </c>
      <c r="BJ18">
        <f>IF($U18="","",IF(INDEX($C18:$G18,$U18)="","",IF(ISNUMBER(SEARCH("[A]",INDEX($C18:$G18,$U18))),"A",IF(ISNUMBER(SEARCH("[B]",INDEX($C18:$G18,$U18))),"B","-"))))</f>
        <v/>
      </c>
      <c r="BK18">
        <f>IF($V18="","",IF(INDEX($C18:$G18,$V18)="","",IF(ISNUMBER(SEARCH("[A]",INDEX($C18:$G18,$V18))),"A",IF(ISNUMBER(SEARCH("[B]",INDEX($C18:$G18,$V18))),"B","-"))))</f>
        <v/>
      </c>
      <c r="BL18">
        <f>IF($W18="","",IF(INDEX($C18:$G18,$W18)="","",IF(ISNUMBER(SEARCH("[A]",INDEX($C18:$G18,$W18))),"A",IF(ISNUMBER(SEARCH("[B]",INDEX($C18:$G18,$W18))),"B","-"))))</f>
        <v/>
      </c>
      <c r="BM18">
        <f>IF($X18="","",IF(INDEX($C18:$G18,$X18)="","",IF(ISNUMBER(SEARCH("[A]",INDEX($C18:$G18,$X18))),"A",IF(ISNUMBER(SEARCH("[B]",INDEX($C18:$G18,$X18))),"B","-"))))</f>
        <v/>
      </c>
      <c r="BN18">
        <f>IF($Y18="","",IF(INDEX($C18:$G18,$Y18)="","",IF(ISNUMBER(SEARCH("[A]",INDEX($C18:$G18,$Y18))),"A",IF(ISNUMBER(SEARCH("[B]",INDEX($C18:$G18,$Y18))),"B","-"))))</f>
        <v/>
      </c>
      <c r="BO18">
        <f>IF($Z18="","",IF(INDEX($C18:$G18,$Z18)="","",IF(ISNUMBER(SEARCH("[A]",INDEX($C18:$G18,$Z18))),"A",IF(ISNUMBER(SEARCH("[B]",INDEX($C18:$G18,$Z18))),"B","-"))))</f>
        <v/>
      </c>
      <c r="BP18">
        <f>IF($AA18="","",IF(INDEX($C18:$G18,$AA18)="","",IF(ISNUMBER(SEARCH("[A]",INDEX($C18:$G18,$AA18))),"A",IF(ISNUMBER(SEARCH("[B]",INDEX($C18:$G18,$AA18))),"B","-"))))</f>
        <v/>
      </c>
      <c r="BQ18">
        <f>IF($AB18="","",IF(INDEX($C18:$G18,$AB18)="","",IF(ISNUMBER(SEARCH("[A]",INDEX($C18:$G18,$AB18))),"A",IF(ISNUMBER(SEARCH("[B]",INDEX($C18:$G18,$AB18))),"B","-"))))</f>
        <v/>
      </c>
      <c r="BR18">
        <f>IF($AC18="","",IF(INDEX($C18:$G18,$AC18)="","",IF(ISNUMBER(SEARCH("[A]",INDEX($C18:$G18,$AC18))),"A",IF(ISNUMBER(SEARCH("[B]",INDEX($C18:$G18,$AC18))),"B","-"))))</f>
        <v/>
      </c>
    </row>
    <row r="19" ht="30" customHeight="1" s="1">
      <c r="A19" s="24" t="inlineStr">
        <is>
          <t>훈련</t>
        </is>
      </c>
      <c r="B19" s="40" t="inlineStr">
        <is>
          <t>[훈련] 실패했을 때 반응</t>
        </is>
      </c>
      <c r="C19" s="26" t="inlineStr">
        <is>
          <t>태연·조건을 쉽게 바꿔 재시도</t>
        </is>
      </c>
      <c r="D19" s="26" t="n"/>
      <c r="E19" s="26" t="inlineStr">
        <is>
          <t>한 번 실패에 포기·흐지부지 넘김 [B]</t>
        </is>
      </c>
      <c r="F19" s="26" t="n"/>
      <c r="G19" s="26" t="inlineStr">
        <is>
          <t>짜증·화냄·몸으로 압박·반복 강요 [A]</t>
        </is>
      </c>
      <c r="H19" s="24" t="inlineStr">
        <is>
          <t>교육태도</t>
        </is>
      </c>
      <c r="I19" s="27" t="inlineStr">
        <is>
          <t>★</t>
        </is>
      </c>
      <c r="J19" s="21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  <c r="AA19" s="22" t="n"/>
      <c r="AB19" s="22" t="n"/>
      <c r="AC19" s="22" t="n"/>
      <c r="AD19" t="inlineStr">
        <is>
          <t>EDU</t>
        </is>
      </c>
      <c r="AE19">
        <f>IF($J19="","",IF(INDEX($C19:$G19,$J19)="","",$J19))</f>
        <v/>
      </c>
      <c r="AF19">
        <f>IF($K19="","",IF(INDEX($C19:$G19,$K19)="","",$K19))</f>
        <v/>
      </c>
      <c r="AG19">
        <f>IF($L19="","",IF(INDEX($C19:$G19,$L19)="","",$L19))</f>
        <v/>
      </c>
      <c r="AH19">
        <f>IF($M19="","",IF(INDEX($C19:$G19,$M19)="","",$M19))</f>
        <v/>
      </c>
      <c r="AI19">
        <f>IF($N19="","",IF(INDEX($C19:$G19,$N19)="","",$N19))</f>
        <v/>
      </c>
      <c r="AJ19">
        <f>IF($O19="","",IF(INDEX($C19:$G19,$O19)="","",$O19))</f>
        <v/>
      </c>
      <c r="AK19">
        <f>IF($P19="","",IF(INDEX($C19:$G19,$P19)="","",$P19))</f>
        <v/>
      </c>
      <c r="AL19">
        <f>IF($Q19="","",IF(INDEX($C19:$G19,$Q19)="","",$Q19))</f>
        <v/>
      </c>
      <c r="AM19">
        <f>IF($R19="","",IF(INDEX($C19:$G19,$R19)="","",$R19))</f>
        <v/>
      </c>
      <c r="AN19">
        <f>IF($S19="","",IF(INDEX($C19:$G19,$S19)="","",$S19))</f>
        <v/>
      </c>
      <c r="AO19">
        <f>IF($T19="","",IF(INDEX($C19:$G19,$T19)="","",$T19))</f>
        <v/>
      </c>
      <c r="AP19">
        <f>IF($U19="","",IF(INDEX($C19:$G19,$U19)="","",$U19))</f>
        <v/>
      </c>
      <c r="AQ19">
        <f>IF($V19="","",IF(INDEX($C19:$G19,$V19)="","",$V19))</f>
        <v/>
      </c>
      <c r="AR19">
        <f>IF($W19="","",IF(INDEX($C19:$G19,$W19)="","",$W19))</f>
        <v/>
      </c>
      <c r="AS19">
        <f>IF($X19="","",IF(INDEX($C19:$G19,$X19)="","",$X19))</f>
        <v/>
      </c>
      <c r="AT19">
        <f>IF($Y19="","",IF(INDEX($C19:$G19,$Y19)="","",$Y19))</f>
        <v/>
      </c>
      <c r="AU19">
        <f>IF($Z19="","",IF(INDEX($C19:$G19,$Z19)="","",$Z19))</f>
        <v/>
      </c>
      <c r="AV19">
        <f>IF($AA19="","",IF(INDEX($C19:$G19,$AA19)="","",$AA19))</f>
        <v/>
      </c>
      <c r="AW19">
        <f>IF($AB19="","",IF(INDEX($C19:$G19,$AB19)="","",$AB19))</f>
        <v/>
      </c>
      <c r="AX19">
        <f>IF($AC19="","",IF(INDEX($C19:$G19,$AC19)="","",$AC19))</f>
        <v/>
      </c>
      <c r="AY19">
        <f>IF($J19="","",IF(INDEX($C19:$G19,$J19)="","",IF(ISNUMBER(SEARCH("[A]",INDEX($C19:$G19,$J19))),"A",IF(ISNUMBER(SEARCH("[B]",INDEX($C19:$G19,$J19))),"B","-"))))</f>
        <v/>
      </c>
      <c r="AZ19">
        <f>IF($K19="","",IF(INDEX($C19:$G19,$K19)="","",IF(ISNUMBER(SEARCH("[A]",INDEX($C19:$G19,$K19))),"A",IF(ISNUMBER(SEARCH("[B]",INDEX($C19:$G19,$K19))),"B","-"))))</f>
        <v/>
      </c>
      <c r="BA19">
        <f>IF($L19="","",IF(INDEX($C19:$G19,$L19)="","",IF(ISNUMBER(SEARCH("[A]",INDEX($C19:$G19,$L19))),"A",IF(ISNUMBER(SEARCH("[B]",INDEX($C19:$G19,$L19))),"B","-"))))</f>
        <v/>
      </c>
      <c r="BB19">
        <f>IF($M19="","",IF(INDEX($C19:$G19,$M19)="","",IF(ISNUMBER(SEARCH("[A]",INDEX($C19:$G19,$M19))),"A",IF(ISNUMBER(SEARCH("[B]",INDEX($C19:$G19,$M19))),"B","-"))))</f>
        <v/>
      </c>
      <c r="BC19">
        <f>IF($N19="","",IF(INDEX($C19:$G19,$N19)="","",IF(ISNUMBER(SEARCH("[A]",INDEX($C19:$G19,$N19))),"A",IF(ISNUMBER(SEARCH("[B]",INDEX($C19:$G19,$N19))),"B","-"))))</f>
        <v/>
      </c>
      <c r="BD19">
        <f>IF($O19="","",IF(INDEX($C19:$G19,$O19)="","",IF(ISNUMBER(SEARCH("[A]",INDEX($C19:$G19,$O19))),"A",IF(ISNUMBER(SEARCH("[B]",INDEX($C19:$G19,$O19))),"B","-"))))</f>
        <v/>
      </c>
      <c r="BE19">
        <f>IF($P19="","",IF(INDEX($C19:$G19,$P19)="","",IF(ISNUMBER(SEARCH("[A]",INDEX($C19:$G19,$P19))),"A",IF(ISNUMBER(SEARCH("[B]",INDEX($C19:$G19,$P19))),"B","-"))))</f>
        <v/>
      </c>
      <c r="BF19">
        <f>IF($Q19="","",IF(INDEX($C19:$G19,$Q19)="","",IF(ISNUMBER(SEARCH("[A]",INDEX($C19:$G19,$Q19))),"A",IF(ISNUMBER(SEARCH("[B]",INDEX($C19:$G19,$Q19))),"B","-"))))</f>
        <v/>
      </c>
      <c r="BG19">
        <f>IF($R19="","",IF(INDEX($C19:$G19,$R19)="","",IF(ISNUMBER(SEARCH("[A]",INDEX($C19:$G19,$R19))),"A",IF(ISNUMBER(SEARCH("[B]",INDEX($C19:$G19,$R19))),"B","-"))))</f>
        <v/>
      </c>
      <c r="BH19">
        <f>IF($S19="","",IF(INDEX($C19:$G19,$S19)="","",IF(ISNUMBER(SEARCH("[A]",INDEX($C19:$G19,$S19))),"A",IF(ISNUMBER(SEARCH("[B]",INDEX($C19:$G19,$S19))),"B","-"))))</f>
        <v/>
      </c>
      <c r="BI19">
        <f>IF($T19="","",IF(INDEX($C19:$G19,$T19)="","",IF(ISNUMBER(SEARCH("[A]",INDEX($C19:$G19,$T19))),"A",IF(ISNUMBER(SEARCH("[B]",INDEX($C19:$G19,$T19))),"B","-"))))</f>
        <v/>
      </c>
      <c r="BJ19">
        <f>IF($U19="","",IF(INDEX($C19:$G19,$U19)="","",IF(ISNUMBER(SEARCH("[A]",INDEX($C19:$G19,$U19))),"A",IF(ISNUMBER(SEARCH("[B]",INDEX($C19:$G19,$U19))),"B","-"))))</f>
        <v/>
      </c>
      <c r="BK19">
        <f>IF($V19="","",IF(INDEX($C19:$G19,$V19)="","",IF(ISNUMBER(SEARCH("[A]",INDEX($C19:$G19,$V19))),"A",IF(ISNUMBER(SEARCH("[B]",INDEX($C19:$G19,$V19))),"B","-"))))</f>
        <v/>
      </c>
      <c r="BL19">
        <f>IF($W19="","",IF(INDEX($C19:$G19,$W19)="","",IF(ISNUMBER(SEARCH("[A]",INDEX($C19:$G19,$W19))),"A",IF(ISNUMBER(SEARCH("[B]",INDEX($C19:$G19,$W19))),"B","-"))))</f>
        <v/>
      </c>
      <c r="BM19">
        <f>IF($X19="","",IF(INDEX($C19:$G19,$X19)="","",IF(ISNUMBER(SEARCH("[A]",INDEX($C19:$G19,$X19))),"A",IF(ISNUMBER(SEARCH("[B]",INDEX($C19:$G19,$X19))),"B","-"))))</f>
        <v/>
      </c>
      <c r="BN19">
        <f>IF($Y19="","",IF(INDEX($C19:$G19,$Y19)="","",IF(ISNUMBER(SEARCH("[A]",INDEX($C19:$G19,$Y19))),"A",IF(ISNUMBER(SEARCH("[B]",INDEX($C19:$G19,$Y19))),"B","-"))))</f>
        <v/>
      </c>
      <c r="BO19">
        <f>IF($Z19="","",IF(INDEX($C19:$G19,$Z19)="","",IF(ISNUMBER(SEARCH("[A]",INDEX($C19:$G19,$Z19))),"A",IF(ISNUMBER(SEARCH("[B]",INDEX($C19:$G19,$Z19))),"B","-"))))</f>
        <v/>
      </c>
      <c r="BP19">
        <f>IF($AA19="","",IF(INDEX($C19:$G19,$AA19)="","",IF(ISNUMBER(SEARCH("[A]",INDEX($C19:$G19,$AA19))),"A",IF(ISNUMBER(SEARCH("[B]",INDEX($C19:$G19,$AA19))),"B","-"))))</f>
        <v/>
      </c>
      <c r="BQ19">
        <f>IF($AB19="","",IF(INDEX($C19:$G19,$AB19)="","",IF(ISNUMBER(SEARCH("[A]",INDEX($C19:$G19,$AB19))),"A",IF(ISNUMBER(SEARCH("[B]",INDEX($C19:$G19,$AB19))),"B","-"))))</f>
        <v/>
      </c>
      <c r="BR19">
        <f>IF($AC19="","",IF(INDEX($C19:$G19,$AC19)="","",IF(ISNUMBER(SEARCH("[A]",INDEX($C19:$G19,$AC19))),"A",IF(ISNUMBER(SEARCH("[B]",INDEX($C19:$G19,$AC19))),"B","-"))))</f>
        <v/>
      </c>
    </row>
    <row r="20" ht="30" customHeight="1" s="1">
      <c r="A20" s="29" t="inlineStr">
        <is>
          <t>놀이</t>
        </is>
      </c>
      <c r="B20" s="30" t="inlineStr">
        <is>
          <t>목소리</t>
        </is>
      </c>
      <c r="C20" s="31" t="inlineStr">
        <is>
          <t>평이하고 낮은 톤</t>
        </is>
      </c>
      <c r="D20" s="31" t="inlineStr">
        <is>
          <t>거의 말이 없음·반응 없음 [B]</t>
        </is>
      </c>
      <c r="E20" s="31" t="inlineStr">
        <is>
          <t>높고 빠름 [A]</t>
        </is>
      </c>
      <c r="F20" s="19" t="n"/>
      <c r="G20" s="31" t="inlineStr">
        <is>
          <t>커지거나 날카로움·꾸짖음 [A]</t>
        </is>
      </c>
      <c r="H20" s="29" t="inlineStr">
        <is>
          <t>보호자 행동 일관성</t>
        </is>
      </c>
      <c r="I20" s="32" t="inlineStr">
        <is>
          <t>★</t>
        </is>
      </c>
      <c r="J20" s="21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  <c r="AA20" s="22" t="n"/>
      <c r="AB20" s="22" t="n"/>
      <c r="AC20" s="22" t="n"/>
      <c r="AD20" t="inlineStr">
        <is>
          <t>CON</t>
        </is>
      </c>
      <c r="AE20">
        <f>IF($J20="","",IF(INDEX($C20:$G20,$J20)="","",$J20))</f>
        <v/>
      </c>
      <c r="AF20">
        <f>IF($K20="","",IF(INDEX($C20:$G20,$K20)="","",$K20))</f>
        <v/>
      </c>
      <c r="AG20">
        <f>IF($L20="","",IF(INDEX($C20:$G20,$L20)="","",$L20))</f>
        <v/>
      </c>
      <c r="AH20">
        <f>IF($M20="","",IF(INDEX($C20:$G20,$M20)="","",$M20))</f>
        <v/>
      </c>
      <c r="AI20">
        <f>IF($N20="","",IF(INDEX($C20:$G20,$N20)="","",$N20))</f>
        <v/>
      </c>
      <c r="AJ20">
        <f>IF($O20="","",IF(INDEX($C20:$G20,$O20)="","",$O20))</f>
        <v/>
      </c>
      <c r="AK20">
        <f>IF($P20="","",IF(INDEX($C20:$G20,$P20)="","",$P20))</f>
        <v/>
      </c>
      <c r="AL20">
        <f>IF($Q20="","",IF(INDEX($C20:$G20,$Q20)="","",$Q20))</f>
        <v/>
      </c>
      <c r="AM20">
        <f>IF($R20="","",IF(INDEX($C20:$G20,$R20)="","",$R20))</f>
        <v/>
      </c>
      <c r="AN20">
        <f>IF($S20="","",IF(INDEX($C20:$G20,$S20)="","",$S20))</f>
        <v/>
      </c>
      <c r="AO20">
        <f>IF($T20="","",IF(INDEX($C20:$G20,$T20)="","",$T20))</f>
        <v/>
      </c>
      <c r="AP20">
        <f>IF($U20="","",IF(INDEX($C20:$G20,$U20)="","",$U20))</f>
        <v/>
      </c>
      <c r="AQ20">
        <f>IF($V20="","",IF(INDEX($C20:$G20,$V20)="","",$V20))</f>
        <v/>
      </c>
      <c r="AR20">
        <f>IF($W20="","",IF(INDEX($C20:$G20,$W20)="","",$W20))</f>
        <v/>
      </c>
      <c r="AS20">
        <f>IF($X20="","",IF(INDEX($C20:$G20,$X20)="","",$X20))</f>
        <v/>
      </c>
      <c r="AT20">
        <f>IF($Y20="","",IF(INDEX($C20:$G20,$Y20)="","",$Y20))</f>
        <v/>
      </c>
      <c r="AU20">
        <f>IF($Z20="","",IF(INDEX($C20:$G20,$Z20)="","",$Z20))</f>
        <v/>
      </c>
      <c r="AV20">
        <f>IF($AA20="","",IF(INDEX($C20:$G20,$AA20)="","",$AA20))</f>
        <v/>
      </c>
      <c r="AW20">
        <f>IF($AB20="","",IF(INDEX($C20:$G20,$AB20)="","",$AB20))</f>
        <v/>
      </c>
      <c r="AX20">
        <f>IF($AC20="","",IF(INDEX($C20:$G20,$AC20)="","",$AC20))</f>
        <v/>
      </c>
      <c r="AY20">
        <f>IF($J20="","",IF(INDEX($C20:$G20,$J20)="","",IF(ISNUMBER(SEARCH("[A]",INDEX($C20:$G20,$J20))),"A",IF(ISNUMBER(SEARCH("[B]",INDEX($C20:$G20,$J20))),"B","-"))))</f>
        <v/>
      </c>
      <c r="AZ20">
        <f>IF($K20="","",IF(INDEX($C20:$G20,$K20)="","",IF(ISNUMBER(SEARCH("[A]",INDEX($C20:$G20,$K20))),"A",IF(ISNUMBER(SEARCH("[B]",INDEX($C20:$G20,$K20))),"B","-"))))</f>
        <v/>
      </c>
      <c r="BA20">
        <f>IF($L20="","",IF(INDEX($C20:$G20,$L20)="","",IF(ISNUMBER(SEARCH("[A]",INDEX($C20:$G20,$L20))),"A",IF(ISNUMBER(SEARCH("[B]",INDEX($C20:$G20,$L20))),"B","-"))))</f>
        <v/>
      </c>
      <c r="BB20">
        <f>IF($M20="","",IF(INDEX($C20:$G20,$M20)="","",IF(ISNUMBER(SEARCH("[A]",INDEX($C20:$G20,$M20))),"A",IF(ISNUMBER(SEARCH("[B]",INDEX($C20:$G20,$M20))),"B","-"))))</f>
        <v/>
      </c>
      <c r="BC20">
        <f>IF($N20="","",IF(INDEX($C20:$G20,$N20)="","",IF(ISNUMBER(SEARCH("[A]",INDEX($C20:$G20,$N20))),"A",IF(ISNUMBER(SEARCH("[B]",INDEX($C20:$G20,$N20))),"B","-"))))</f>
        <v/>
      </c>
      <c r="BD20">
        <f>IF($O20="","",IF(INDEX($C20:$G20,$O20)="","",IF(ISNUMBER(SEARCH("[A]",INDEX($C20:$G20,$O20))),"A",IF(ISNUMBER(SEARCH("[B]",INDEX($C20:$G20,$O20))),"B","-"))))</f>
        <v/>
      </c>
      <c r="BE20">
        <f>IF($P20="","",IF(INDEX($C20:$G20,$P20)="","",IF(ISNUMBER(SEARCH("[A]",INDEX($C20:$G20,$P20))),"A",IF(ISNUMBER(SEARCH("[B]",INDEX($C20:$G20,$P20))),"B","-"))))</f>
        <v/>
      </c>
      <c r="BF20">
        <f>IF($Q20="","",IF(INDEX($C20:$G20,$Q20)="","",IF(ISNUMBER(SEARCH("[A]",INDEX($C20:$G20,$Q20))),"A",IF(ISNUMBER(SEARCH("[B]",INDEX($C20:$G20,$Q20))),"B","-"))))</f>
        <v/>
      </c>
      <c r="BG20">
        <f>IF($R20="","",IF(INDEX($C20:$G20,$R20)="","",IF(ISNUMBER(SEARCH("[A]",INDEX($C20:$G20,$R20))),"A",IF(ISNUMBER(SEARCH("[B]",INDEX($C20:$G20,$R20))),"B","-"))))</f>
        <v/>
      </c>
      <c r="BH20">
        <f>IF($S20="","",IF(INDEX($C20:$G20,$S20)="","",IF(ISNUMBER(SEARCH("[A]",INDEX($C20:$G20,$S20))),"A",IF(ISNUMBER(SEARCH("[B]",INDEX($C20:$G20,$S20))),"B","-"))))</f>
        <v/>
      </c>
      <c r="BI20">
        <f>IF($T20="","",IF(INDEX($C20:$G20,$T20)="","",IF(ISNUMBER(SEARCH("[A]",INDEX($C20:$G20,$T20))),"A",IF(ISNUMBER(SEARCH("[B]",INDEX($C20:$G20,$T20))),"B","-"))))</f>
        <v/>
      </c>
      <c r="BJ20">
        <f>IF($U20="","",IF(INDEX($C20:$G20,$U20)="","",IF(ISNUMBER(SEARCH("[A]",INDEX($C20:$G20,$U20))),"A",IF(ISNUMBER(SEARCH("[B]",INDEX($C20:$G20,$U20))),"B","-"))))</f>
        <v/>
      </c>
      <c r="BK20">
        <f>IF($V20="","",IF(INDEX($C20:$G20,$V20)="","",IF(ISNUMBER(SEARCH("[A]",INDEX($C20:$G20,$V20))),"A",IF(ISNUMBER(SEARCH("[B]",INDEX($C20:$G20,$V20))),"B","-"))))</f>
        <v/>
      </c>
      <c r="BL20">
        <f>IF($W20="","",IF(INDEX($C20:$G20,$W20)="","",IF(ISNUMBER(SEARCH("[A]",INDEX($C20:$G20,$W20))),"A",IF(ISNUMBER(SEARCH("[B]",INDEX($C20:$G20,$W20))),"B","-"))))</f>
        <v/>
      </c>
      <c r="BM20">
        <f>IF($X20="","",IF(INDEX($C20:$G20,$X20)="","",IF(ISNUMBER(SEARCH("[A]",INDEX($C20:$G20,$X20))),"A",IF(ISNUMBER(SEARCH("[B]",INDEX($C20:$G20,$X20))),"B","-"))))</f>
        <v/>
      </c>
      <c r="BN20">
        <f>IF($Y20="","",IF(INDEX($C20:$G20,$Y20)="","",IF(ISNUMBER(SEARCH("[A]",INDEX($C20:$G20,$Y20))),"A",IF(ISNUMBER(SEARCH("[B]",INDEX($C20:$G20,$Y20))),"B","-"))))</f>
        <v/>
      </c>
      <c r="BO20">
        <f>IF($Z20="","",IF(INDEX($C20:$G20,$Z20)="","",IF(ISNUMBER(SEARCH("[A]",INDEX($C20:$G20,$Z20))),"A",IF(ISNUMBER(SEARCH("[B]",INDEX($C20:$G20,$Z20))),"B","-"))))</f>
        <v/>
      </c>
      <c r="BP20">
        <f>IF($AA20="","",IF(INDEX($C20:$G20,$AA20)="","",IF(ISNUMBER(SEARCH("[A]",INDEX($C20:$G20,$AA20))),"A",IF(ISNUMBER(SEARCH("[B]",INDEX($C20:$G20,$AA20))),"B","-"))))</f>
        <v/>
      </c>
      <c r="BQ20">
        <f>IF($AB20="","",IF(INDEX($C20:$G20,$AB20)="","",IF(ISNUMBER(SEARCH("[A]",INDEX($C20:$G20,$AB20))),"A",IF(ISNUMBER(SEARCH("[B]",INDEX($C20:$G20,$AB20))),"B","-"))))</f>
        <v/>
      </c>
      <c r="BR20">
        <f>IF($AC20="","",IF(INDEX($C20:$G20,$AC20)="","",IF(ISNUMBER(SEARCH("[A]",INDEX($C20:$G20,$AC20))),"A",IF(ISNUMBER(SEARCH("[B]",INDEX($C20:$G20,$AC20))),"B","-"))))</f>
        <v/>
      </c>
    </row>
    <row r="21" ht="30" customHeight="1" s="1">
      <c r="A21" s="29" t="inlineStr">
        <is>
          <t>놀이</t>
        </is>
      </c>
      <c r="B21" s="30" t="inlineStr">
        <is>
          <t>손 사용</t>
        </is>
      </c>
      <c r="C21" s="31" t="inlineStr">
        <is>
          <t>없음 또는 부드러운 접촉</t>
        </is>
      </c>
      <c r="D21" s="19" t="n"/>
      <c r="E21" s="31" t="inlineStr">
        <is>
          <t>밀기·누르기·자세 강제 교정 [A]</t>
        </is>
      </c>
      <c r="F21" s="31" t="n"/>
      <c r="G21" s="31" t="inlineStr">
        <is>
          <t>잡아채기·제압·억지로 안아 옮김 [A]</t>
        </is>
      </c>
      <c r="H21" s="29" t="inlineStr">
        <is>
          <t>보호자 행동 일관성</t>
        </is>
      </c>
      <c r="I21" s="32" t="n"/>
      <c r="J21" s="21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  <c r="AA21" s="22" t="n"/>
      <c r="AB21" s="22" t="n"/>
      <c r="AC21" s="22" t="n"/>
      <c r="AD21" t="inlineStr">
        <is>
          <t>CON</t>
        </is>
      </c>
      <c r="AE21">
        <f>IF($J21="","",IF(INDEX($C21:$G21,$J21)="","",$J21))</f>
        <v/>
      </c>
      <c r="AF21">
        <f>IF($K21="","",IF(INDEX($C21:$G21,$K21)="","",$K21))</f>
        <v/>
      </c>
      <c r="AG21">
        <f>IF($L21="","",IF(INDEX($C21:$G21,$L21)="","",$L21))</f>
        <v/>
      </c>
      <c r="AH21">
        <f>IF($M21="","",IF(INDEX($C21:$G21,$M21)="","",$M21))</f>
        <v/>
      </c>
      <c r="AI21">
        <f>IF($N21="","",IF(INDEX($C21:$G21,$N21)="","",$N21))</f>
        <v/>
      </c>
      <c r="AJ21">
        <f>IF($O21="","",IF(INDEX($C21:$G21,$O21)="","",$O21))</f>
        <v/>
      </c>
      <c r="AK21">
        <f>IF($P21="","",IF(INDEX($C21:$G21,$P21)="","",$P21))</f>
        <v/>
      </c>
      <c r="AL21">
        <f>IF($Q21="","",IF(INDEX($C21:$G21,$Q21)="","",$Q21))</f>
        <v/>
      </c>
      <c r="AM21">
        <f>IF($R21="","",IF(INDEX($C21:$G21,$R21)="","",$R21))</f>
        <v/>
      </c>
      <c r="AN21">
        <f>IF($S21="","",IF(INDEX($C21:$G21,$S21)="","",$S21))</f>
        <v/>
      </c>
      <c r="AO21">
        <f>IF($T21="","",IF(INDEX($C21:$G21,$T21)="","",$T21))</f>
        <v/>
      </c>
      <c r="AP21">
        <f>IF($U21="","",IF(INDEX($C21:$G21,$U21)="","",$U21))</f>
        <v/>
      </c>
      <c r="AQ21">
        <f>IF($V21="","",IF(INDEX($C21:$G21,$V21)="","",$V21))</f>
        <v/>
      </c>
      <c r="AR21">
        <f>IF($W21="","",IF(INDEX($C21:$G21,$W21)="","",$W21))</f>
        <v/>
      </c>
      <c r="AS21">
        <f>IF($X21="","",IF(INDEX($C21:$G21,$X21)="","",$X21))</f>
        <v/>
      </c>
      <c r="AT21">
        <f>IF($Y21="","",IF(INDEX($C21:$G21,$Y21)="","",$Y21))</f>
        <v/>
      </c>
      <c r="AU21">
        <f>IF($Z21="","",IF(INDEX($C21:$G21,$Z21)="","",$Z21))</f>
        <v/>
      </c>
      <c r="AV21">
        <f>IF($AA21="","",IF(INDEX($C21:$G21,$AA21)="","",$AA21))</f>
        <v/>
      </c>
      <c r="AW21">
        <f>IF($AB21="","",IF(INDEX($C21:$G21,$AB21)="","",$AB21))</f>
        <v/>
      </c>
      <c r="AX21">
        <f>IF($AC21="","",IF(INDEX($C21:$G21,$AC21)="","",$AC21))</f>
        <v/>
      </c>
      <c r="AY21">
        <f>IF($J21="","",IF(INDEX($C21:$G21,$J21)="","",IF(ISNUMBER(SEARCH("[A]",INDEX($C21:$G21,$J21))),"A",IF(ISNUMBER(SEARCH("[B]",INDEX($C21:$G21,$J21))),"B","-"))))</f>
        <v/>
      </c>
      <c r="AZ21">
        <f>IF($K21="","",IF(INDEX($C21:$G21,$K21)="","",IF(ISNUMBER(SEARCH("[A]",INDEX($C21:$G21,$K21))),"A",IF(ISNUMBER(SEARCH("[B]",INDEX($C21:$G21,$K21))),"B","-"))))</f>
        <v/>
      </c>
      <c r="BA21">
        <f>IF($L21="","",IF(INDEX($C21:$G21,$L21)="","",IF(ISNUMBER(SEARCH("[A]",INDEX($C21:$G21,$L21))),"A",IF(ISNUMBER(SEARCH("[B]",INDEX($C21:$G21,$L21))),"B","-"))))</f>
        <v/>
      </c>
      <c r="BB21">
        <f>IF($M21="","",IF(INDEX($C21:$G21,$M21)="","",IF(ISNUMBER(SEARCH("[A]",INDEX($C21:$G21,$M21))),"A",IF(ISNUMBER(SEARCH("[B]",INDEX($C21:$G21,$M21))),"B","-"))))</f>
        <v/>
      </c>
      <c r="BC21">
        <f>IF($N21="","",IF(INDEX($C21:$G21,$N21)="","",IF(ISNUMBER(SEARCH("[A]",INDEX($C21:$G21,$N21))),"A",IF(ISNUMBER(SEARCH("[B]",INDEX($C21:$G21,$N21))),"B","-"))))</f>
        <v/>
      </c>
      <c r="BD21">
        <f>IF($O21="","",IF(INDEX($C21:$G21,$O21)="","",IF(ISNUMBER(SEARCH("[A]",INDEX($C21:$G21,$O21))),"A",IF(ISNUMBER(SEARCH("[B]",INDEX($C21:$G21,$O21))),"B","-"))))</f>
        <v/>
      </c>
      <c r="BE21">
        <f>IF($P21="","",IF(INDEX($C21:$G21,$P21)="","",IF(ISNUMBER(SEARCH("[A]",INDEX($C21:$G21,$P21))),"A",IF(ISNUMBER(SEARCH("[B]",INDEX($C21:$G21,$P21))),"B","-"))))</f>
        <v/>
      </c>
      <c r="BF21">
        <f>IF($Q21="","",IF(INDEX($C21:$G21,$Q21)="","",IF(ISNUMBER(SEARCH("[A]",INDEX($C21:$G21,$Q21))),"A",IF(ISNUMBER(SEARCH("[B]",INDEX($C21:$G21,$Q21))),"B","-"))))</f>
        <v/>
      </c>
      <c r="BG21">
        <f>IF($R21="","",IF(INDEX($C21:$G21,$R21)="","",IF(ISNUMBER(SEARCH("[A]",INDEX($C21:$G21,$R21))),"A",IF(ISNUMBER(SEARCH("[B]",INDEX($C21:$G21,$R21))),"B","-"))))</f>
        <v/>
      </c>
      <c r="BH21">
        <f>IF($S21="","",IF(INDEX($C21:$G21,$S21)="","",IF(ISNUMBER(SEARCH("[A]",INDEX($C21:$G21,$S21))),"A",IF(ISNUMBER(SEARCH("[B]",INDEX($C21:$G21,$S21))),"B","-"))))</f>
        <v/>
      </c>
      <c r="BI21">
        <f>IF($T21="","",IF(INDEX($C21:$G21,$T21)="","",IF(ISNUMBER(SEARCH("[A]",INDEX($C21:$G21,$T21))),"A",IF(ISNUMBER(SEARCH("[B]",INDEX($C21:$G21,$T21))),"B","-"))))</f>
        <v/>
      </c>
      <c r="BJ21">
        <f>IF($U21="","",IF(INDEX($C21:$G21,$U21)="","",IF(ISNUMBER(SEARCH("[A]",INDEX($C21:$G21,$U21))),"A",IF(ISNUMBER(SEARCH("[B]",INDEX($C21:$G21,$U21))),"B","-"))))</f>
        <v/>
      </c>
      <c r="BK21">
        <f>IF($V21="","",IF(INDEX($C21:$G21,$V21)="","",IF(ISNUMBER(SEARCH("[A]",INDEX($C21:$G21,$V21))),"A",IF(ISNUMBER(SEARCH("[B]",INDEX($C21:$G21,$V21))),"B","-"))))</f>
        <v/>
      </c>
      <c r="BL21">
        <f>IF($W21="","",IF(INDEX($C21:$G21,$W21)="","",IF(ISNUMBER(SEARCH("[A]",INDEX($C21:$G21,$W21))),"A",IF(ISNUMBER(SEARCH("[B]",INDEX($C21:$G21,$W21))),"B","-"))))</f>
        <v/>
      </c>
      <c r="BM21">
        <f>IF($X21="","",IF(INDEX($C21:$G21,$X21)="","",IF(ISNUMBER(SEARCH("[A]",INDEX($C21:$G21,$X21))),"A",IF(ISNUMBER(SEARCH("[B]",INDEX($C21:$G21,$X21))),"B","-"))))</f>
        <v/>
      </c>
      <c r="BN21">
        <f>IF($Y21="","",IF(INDEX($C21:$G21,$Y21)="","",IF(ISNUMBER(SEARCH("[A]",INDEX($C21:$G21,$Y21))),"A",IF(ISNUMBER(SEARCH("[B]",INDEX($C21:$G21,$Y21))),"B","-"))))</f>
        <v/>
      </c>
      <c r="BO21">
        <f>IF($Z21="","",IF(INDEX($C21:$G21,$Z21)="","",IF(ISNUMBER(SEARCH("[A]",INDEX($C21:$G21,$Z21))),"A",IF(ISNUMBER(SEARCH("[B]",INDEX($C21:$G21,$Z21))),"B","-"))))</f>
        <v/>
      </c>
      <c r="BP21">
        <f>IF($AA21="","",IF(INDEX($C21:$G21,$AA21)="","",IF(ISNUMBER(SEARCH("[A]",INDEX($C21:$G21,$AA21))),"A",IF(ISNUMBER(SEARCH("[B]",INDEX($C21:$G21,$AA21))),"B","-"))))</f>
        <v/>
      </c>
      <c r="BQ21">
        <f>IF($AB21="","",IF(INDEX($C21:$G21,$AB21)="","",IF(ISNUMBER(SEARCH("[A]",INDEX($C21:$G21,$AB21))),"A",IF(ISNUMBER(SEARCH("[B]",INDEX($C21:$G21,$AB21))),"B","-"))))</f>
        <v/>
      </c>
      <c r="BR21">
        <f>IF($AC21="","",IF(INDEX($C21:$G21,$AC21)="","",IF(ISNUMBER(SEARCH("[A]",INDEX($C21:$G21,$AC21))),"A",IF(ISNUMBER(SEARCH("[B]",INDEX($C21:$G21,$AC21))),"B","-"))))</f>
        <v/>
      </c>
    </row>
    <row r="22" ht="30" customHeight="1" s="1">
      <c r="A22" s="29" t="inlineStr">
        <is>
          <t>놀이</t>
        </is>
      </c>
      <c r="B22" s="30" t="inlineStr">
        <is>
          <t>지시·말 반복</t>
        </is>
      </c>
      <c r="C22" s="31" t="inlineStr">
        <is>
          <t>1회만 말하고 기다림</t>
        </is>
      </c>
      <c r="D22" s="19" t="inlineStr">
        <is>
          <t>2~3회 반복 [A]</t>
        </is>
      </c>
      <c r="E22" s="31" t="inlineStr">
        <is>
          <t>4회 이상·지시어 뒤섞임 [A]</t>
        </is>
      </c>
      <c r="F22" s="19" t="inlineStr">
        <is>
          <t>말 없음·방치 [B]</t>
        </is>
      </c>
      <c r="G22" s="31" t="inlineStr">
        <is>
          <t>쉼 없이 연발·개가 반응할 틈이 없음 [A]</t>
        </is>
      </c>
      <c r="H22" s="29" t="inlineStr">
        <is>
          <t>보호자 행동 일관성</t>
        </is>
      </c>
      <c r="I22" s="32" t="n"/>
      <c r="J22" s="21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  <c r="AA22" s="22" t="n"/>
      <c r="AB22" s="22" t="n"/>
      <c r="AC22" s="22" t="n"/>
      <c r="AD22" t="inlineStr">
        <is>
          <t>CON</t>
        </is>
      </c>
      <c r="AE22">
        <f>IF($J22="","",IF(INDEX($C22:$G22,$J22)="","",$J22))</f>
        <v/>
      </c>
      <c r="AF22">
        <f>IF($K22="","",IF(INDEX($C22:$G22,$K22)="","",$K22))</f>
        <v/>
      </c>
      <c r="AG22">
        <f>IF($L22="","",IF(INDEX($C22:$G22,$L22)="","",$L22))</f>
        <v/>
      </c>
      <c r="AH22">
        <f>IF($M22="","",IF(INDEX($C22:$G22,$M22)="","",$M22))</f>
        <v/>
      </c>
      <c r="AI22">
        <f>IF($N22="","",IF(INDEX($C22:$G22,$N22)="","",$N22))</f>
        <v/>
      </c>
      <c r="AJ22">
        <f>IF($O22="","",IF(INDEX($C22:$G22,$O22)="","",$O22))</f>
        <v/>
      </c>
      <c r="AK22">
        <f>IF($P22="","",IF(INDEX($C22:$G22,$P22)="","",$P22))</f>
        <v/>
      </c>
      <c r="AL22">
        <f>IF($Q22="","",IF(INDEX($C22:$G22,$Q22)="","",$Q22))</f>
        <v/>
      </c>
      <c r="AM22">
        <f>IF($R22="","",IF(INDEX($C22:$G22,$R22)="","",$R22))</f>
        <v/>
      </c>
      <c r="AN22">
        <f>IF($S22="","",IF(INDEX($C22:$G22,$S22)="","",$S22))</f>
        <v/>
      </c>
      <c r="AO22">
        <f>IF($T22="","",IF(INDEX($C22:$G22,$T22)="","",$T22))</f>
        <v/>
      </c>
      <c r="AP22">
        <f>IF($U22="","",IF(INDEX($C22:$G22,$U22)="","",$U22))</f>
        <v/>
      </c>
      <c r="AQ22">
        <f>IF($V22="","",IF(INDEX($C22:$G22,$V22)="","",$V22))</f>
        <v/>
      </c>
      <c r="AR22">
        <f>IF($W22="","",IF(INDEX($C22:$G22,$W22)="","",$W22))</f>
        <v/>
      </c>
      <c r="AS22">
        <f>IF($X22="","",IF(INDEX($C22:$G22,$X22)="","",$X22))</f>
        <v/>
      </c>
      <c r="AT22">
        <f>IF($Y22="","",IF(INDEX($C22:$G22,$Y22)="","",$Y22))</f>
        <v/>
      </c>
      <c r="AU22">
        <f>IF($Z22="","",IF(INDEX($C22:$G22,$Z22)="","",$Z22))</f>
        <v/>
      </c>
      <c r="AV22">
        <f>IF($AA22="","",IF(INDEX($C22:$G22,$AA22)="","",$AA22))</f>
        <v/>
      </c>
      <c r="AW22">
        <f>IF($AB22="","",IF(INDEX($C22:$G22,$AB22)="","",$AB22))</f>
        <v/>
      </c>
      <c r="AX22">
        <f>IF($AC22="","",IF(INDEX($C22:$G22,$AC22)="","",$AC22))</f>
        <v/>
      </c>
      <c r="AY22">
        <f>IF($J22="","",IF(INDEX($C22:$G22,$J22)="","",IF(ISNUMBER(SEARCH("[A]",INDEX($C22:$G22,$J22))),"A",IF(ISNUMBER(SEARCH("[B]",INDEX($C22:$G22,$J22))),"B","-"))))</f>
        <v/>
      </c>
      <c r="AZ22">
        <f>IF($K22="","",IF(INDEX($C22:$G22,$K22)="","",IF(ISNUMBER(SEARCH("[A]",INDEX($C22:$G22,$K22))),"A",IF(ISNUMBER(SEARCH("[B]",INDEX($C22:$G22,$K22))),"B","-"))))</f>
        <v/>
      </c>
      <c r="BA22">
        <f>IF($L22="","",IF(INDEX($C22:$G22,$L22)="","",IF(ISNUMBER(SEARCH("[A]",INDEX($C22:$G22,$L22))),"A",IF(ISNUMBER(SEARCH("[B]",INDEX($C22:$G22,$L22))),"B","-"))))</f>
        <v/>
      </c>
      <c r="BB22">
        <f>IF($M22="","",IF(INDEX($C22:$G22,$M22)="","",IF(ISNUMBER(SEARCH("[A]",INDEX($C22:$G22,$M22))),"A",IF(ISNUMBER(SEARCH("[B]",INDEX($C22:$G22,$M22))),"B","-"))))</f>
        <v/>
      </c>
      <c r="BC22">
        <f>IF($N22="","",IF(INDEX($C22:$G22,$N22)="","",IF(ISNUMBER(SEARCH("[A]",INDEX($C22:$G22,$N22))),"A",IF(ISNUMBER(SEARCH("[B]",INDEX($C22:$G22,$N22))),"B","-"))))</f>
        <v/>
      </c>
      <c r="BD22">
        <f>IF($O22="","",IF(INDEX($C22:$G22,$O22)="","",IF(ISNUMBER(SEARCH("[A]",INDEX($C22:$G22,$O22))),"A",IF(ISNUMBER(SEARCH("[B]",INDEX($C22:$G22,$O22))),"B","-"))))</f>
        <v/>
      </c>
      <c r="BE22">
        <f>IF($P22="","",IF(INDEX($C22:$G22,$P22)="","",IF(ISNUMBER(SEARCH("[A]",INDEX($C22:$G22,$P22))),"A",IF(ISNUMBER(SEARCH("[B]",INDEX($C22:$G22,$P22))),"B","-"))))</f>
        <v/>
      </c>
      <c r="BF22">
        <f>IF($Q22="","",IF(INDEX($C22:$G22,$Q22)="","",IF(ISNUMBER(SEARCH("[A]",INDEX($C22:$G22,$Q22))),"A",IF(ISNUMBER(SEARCH("[B]",INDEX($C22:$G22,$Q22))),"B","-"))))</f>
        <v/>
      </c>
      <c r="BG22">
        <f>IF($R22="","",IF(INDEX($C22:$G22,$R22)="","",IF(ISNUMBER(SEARCH("[A]",INDEX($C22:$G22,$R22))),"A",IF(ISNUMBER(SEARCH("[B]",INDEX($C22:$G22,$R22))),"B","-"))))</f>
        <v/>
      </c>
      <c r="BH22">
        <f>IF($S22="","",IF(INDEX($C22:$G22,$S22)="","",IF(ISNUMBER(SEARCH("[A]",INDEX($C22:$G22,$S22))),"A",IF(ISNUMBER(SEARCH("[B]",INDEX($C22:$G22,$S22))),"B","-"))))</f>
        <v/>
      </c>
      <c r="BI22">
        <f>IF($T22="","",IF(INDEX($C22:$G22,$T22)="","",IF(ISNUMBER(SEARCH("[A]",INDEX($C22:$G22,$T22))),"A",IF(ISNUMBER(SEARCH("[B]",INDEX($C22:$G22,$T22))),"B","-"))))</f>
        <v/>
      </c>
      <c r="BJ22">
        <f>IF($U22="","",IF(INDEX($C22:$G22,$U22)="","",IF(ISNUMBER(SEARCH("[A]",INDEX($C22:$G22,$U22))),"A",IF(ISNUMBER(SEARCH("[B]",INDEX($C22:$G22,$U22))),"B","-"))))</f>
        <v/>
      </c>
      <c r="BK22">
        <f>IF($V22="","",IF(INDEX($C22:$G22,$V22)="","",IF(ISNUMBER(SEARCH("[A]",INDEX($C22:$G22,$V22))),"A",IF(ISNUMBER(SEARCH("[B]",INDEX($C22:$G22,$V22))),"B","-"))))</f>
        <v/>
      </c>
      <c r="BL22">
        <f>IF($W22="","",IF(INDEX($C22:$G22,$W22)="","",IF(ISNUMBER(SEARCH("[A]",INDEX($C22:$G22,$W22))),"A",IF(ISNUMBER(SEARCH("[B]",INDEX($C22:$G22,$W22))),"B","-"))))</f>
        <v/>
      </c>
      <c r="BM22">
        <f>IF($X22="","",IF(INDEX($C22:$G22,$X22)="","",IF(ISNUMBER(SEARCH("[A]",INDEX($C22:$G22,$X22))),"A",IF(ISNUMBER(SEARCH("[B]",INDEX($C22:$G22,$X22))),"B","-"))))</f>
        <v/>
      </c>
      <c r="BN22">
        <f>IF($Y22="","",IF(INDEX($C22:$G22,$Y22)="","",IF(ISNUMBER(SEARCH("[A]",INDEX($C22:$G22,$Y22))),"A",IF(ISNUMBER(SEARCH("[B]",INDEX($C22:$G22,$Y22))),"B","-"))))</f>
        <v/>
      </c>
      <c r="BO22">
        <f>IF($Z22="","",IF(INDEX($C22:$G22,$Z22)="","",IF(ISNUMBER(SEARCH("[A]",INDEX($C22:$G22,$Z22))),"A",IF(ISNUMBER(SEARCH("[B]",INDEX($C22:$G22,$Z22))),"B","-"))))</f>
        <v/>
      </c>
      <c r="BP22">
        <f>IF($AA22="","",IF(INDEX($C22:$G22,$AA22)="","",IF(ISNUMBER(SEARCH("[A]",INDEX($C22:$G22,$AA22))),"A",IF(ISNUMBER(SEARCH("[B]",INDEX($C22:$G22,$AA22))),"B","-"))))</f>
        <v/>
      </c>
      <c r="BQ22">
        <f>IF($AB22="","",IF(INDEX($C22:$G22,$AB22)="","",IF(ISNUMBER(SEARCH("[A]",INDEX($C22:$G22,$AB22))),"A",IF(ISNUMBER(SEARCH("[B]",INDEX($C22:$G22,$AB22))),"B","-"))))</f>
        <v/>
      </c>
      <c r="BR22">
        <f>IF($AC22="","",IF(INDEX($C22:$G22,$AC22)="","",IF(ISNUMBER(SEARCH("[A]",INDEX($C22:$G22,$AC22))),"A",IF(ISNUMBER(SEARCH("[B]",INDEX($C22:$G22,$AC22))),"B","-"))))</f>
        <v/>
      </c>
    </row>
    <row r="23" ht="30" customHeight="1" s="1">
      <c r="A23" s="29" t="inlineStr">
        <is>
          <t>놀이</t>
        </is>
      </c>
      <c r="B23" s="30" t="inlineStr">
        <is>
          <t>개와의 거리</t>
        </is>
      </c>
      <c r="C23" s="33" t="inlineStr">
        <is>
          <t>적정 거리에서 주의 유지</t>
        </is>
      </c>
      <c r="D23" s="33" t="n"/>
      <c r="E23" s="33" t="inlineStr">
        <is>
          <t>거리 유지·개에 관심 없음 [B]</t>
        </is>
      </c>
      <c r="F23" s="31" t="inlineStr">
        <is>
          <t>계속 붙어 만짐·안아 올림 [A]</t>
        </is>
      </c>
      <c r="G23" s="31" t="inlineStr">
        <is>
          <t>개를 완전히 놓침·다른 데 가 있음 [B]</t>
        </is>
      </c>
      <c r="H23" s="29" t="inlineStr">
        <is>
          <t>보호자 행동 일관성</t>
        </is>
      </c>
      <c r="I23" s="32" t="n"/>
      <c r="J23" s="21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  <c r="AA23" s="22" t="n"/>
      <c r="AB23" s="22" t="n"/>
      <c r="AC23" s="22" t="n"/>
      <c r="AD23" t="inlineStr">
        <is>
          <t>CON</t>
        </is>
      </c>
      <c r="AE23">
        <f>IF($J23="","",IF(INDEX($C23:$G23,$J23)="","",$J23))</f>
        <v/>
      </c>
      <c r="AF23">
        <f>IF($K23="","",IF(INDEX($C23:$G23,$K23)="","",$K23))</f>
        <v/>
      </c>
      <c r="AG23">
        <f>IF($L23="","",IF(INDEX($C23:$G23,$L23)="","",$L23))</f>
        <v/>
      </c>
      <c r="AH23">
        <f>IF($M23="","",IF(INDEX($C23:$G23,$M23)="","",$M23))</f>
        <v/>
      </c>
      <c r="AI23">
        <f>IF($N23="","",IF(INDEX($C23:$G23,$N23)="","",$N23))</f>
        <v/>
      </c>
      <c r="AJ23">
        <f>IF($O23="","",IF(INDEX($C23:$G23,$O23)="","",$O23))</f>
        <v/>
      </c>
      <c r="AK23">
        <f>IF($P23="","",IF(INDEX($C23:$G23,$P23)="","",$P23))</f>
        <v/>
      </c>
      <c r="AL23">
        <f>IF($Q23="","",IF(INDEX($C23:$G23,$Q23)="","",$Q23))</f>
        <v/>
      </c>
      <c r="AM23">
        <f>IF($R23="","",IF(INDEX($C23:$G23,$R23)="","",$R23))</f>
        <v/>
      </c>
      <c r="AN23">
        <f>IF($S23="","",IF(INDEX($C23:$G23,$S23)="","",$S23))</f>
        <v/>
      </c>
      <c r="AO23">
        <f>IF($T23="","",IF(INDEX($C23:$G23,$T23)="","",$T23))</f>
        <v/>
      </c>
      <c r="AP23">
        <f>IF($U23="","",IF(INDEX($C23:$G23,$U23)="","",$U23))</f>
        <v/>
      </c>
      <c r="AQ23">
        <f>IF($V23="","",IF(INDEX($C23:$G23,$V23)="","",$V23))</f>
        <v/>
      </c>
      <c r="AR23">
        <f>IF($W23="","",IF(INDEX($C23:$G23,$W23)="","",$W23))</f>
        <v/>
      </c>
      <c r="AS23">
        <f>IF($X23="","",IF(INDEX($C23:$G23,$X23)="","",$X23))</f>
        <v/>
      </c>
      <c r="AT23">
        <f>IF($Y23="","",IF(INDEX($C23:$G23,$Y23)="","",$Y23))</f>
        <v/>
      </c>
      <c r="AU23">
        <f>IF($Z23="","",IF(INDEX($C23:$G23,$Z23)="","",$Z23))</f>
        <v/>
      </c>
      <c r="AV23">
        <f>IF($AA23="","",IF(INDEX($C23:$G23,$AA23)="","",$AA23))</f>
        <v/>
      </c>
      <c r="AW23">
        <f>IF($AB23="","",IF(INDEX($C23:$G23,$AB23)="","",$AB23))</f>
        <v/>
      </c>
      <c r="AX23">
        <f>IF($AC23="","",IF(INDEX($C23:$G23,$AC23)="","",$AC23))</f>
        <v/>
      </c>
      <c r="AY23">
        <f>IF($J23="","",IF(INDEX($C23:$G23,$J23)="","",IF(ISNUMBER(SEARCH("[A]",INDEX($C23:$G23,$J23))),"A",IF(ISNUMBER(SEARCH("[B]",INDEX($C23:$G23,$J23))),"B","-"))))</f>
        <v/>
      </c>
      <c r="AZ23">
        <f>IF($K23="","",IF(INDEX($C23:$G23,$K23)="","",IF(ISNUMBER(SEARCH("[A]",INDEX($C23:$G23,$K23))),"A",IF(ISNUMBER(SEARCH("[B]",INDEX($C23:$G23,$K23))),"B","-"))))</f>
        <v/>
      </c>
      <c r="BA23">
        <f>IF($L23="","",IF(INDEX($C23:$G23,$L23)="","",IF(ISNUMBER(SEARCH("[A]",INDEX($C23:$G23,$L23))),"A",IF(ISNUMBER(SEARCH("[B]",INDEX($C23:$G23,$L23))),"B","-"))))</f>
        <v/>
      </c>
      <c r="BB23">
        <f>IF($M23="","",IF(INDEX($C23:$G23,$M23)="","",IF(ISNUMBER(SEARCH("[A]",INDEX($C23:$G23,$M23))),"A",IF(ISNUMBER(SEARCH("[B]",INDEX($C23:$G23,$M23))),"B","-"))))</f>
        <v/>
      </c>
      <c r="BC23">
        <f>IF($N23="","",IF(INDEX($C23:$G23,$N23)="","",IF(ISNUMBER(SEARCH("[A]",INDEX($C23:$G23,$N23))),"A",IF(ISNUMBER(SEARCH("[B]",INDEX($C23:$G23,$N23))),"B","-"))))</f>
        <v/>
      </c>
      <c r="BD23">
        <f>IF($O23="","",IF(INDEX($C23:$G23,$O23)="","",IF(ISNUMBER(SEARCH("[A]",INDEX($C23:$G23,$O23))),"A",IF(ISNUMBER(SEARCH("[B]",INDEX($C23:$G23,$O23))),"B","-"))))</f>
        <v/>
      </c>
      <c r="BE23">
        <f>IF($P23="","",IF(INDEX($C23:$G23,$P23)="","",IF(ISNUMBER(SEARCH("[A]",INDEX($C23:$G23,$P23))),"A",IF(ISNUMBER(SEARCH("[B]",INDEX($C23:$G23,$P23))),"B","-"))))</f>
        <v/>
      </c>
      <c r="BF23">
        <f>IF($Q23="","",IF(INDEX($C23:$G23,$Q23)="","",IF(ISNUMBER(SEARCH("[A]",INDEX($C23:$G23,$Q23))),"A",IF(ISNUMBER(SEARCH("[B]",INDEX($C23:$G23,$Q23))),"B","-"))))</f>
        <v/>
      </c>
      <c r="BG23">
        <f>IF($R23="","",IF(INDEX($C23:$G23,$R23)="","",IF(ISNUMBER(SEARCH("[A]",INDEX($C23:$G23,$R23))),"A",IF(ISNUMBER(SEARCH("[B]",INDEX($C23:$G23,$R23))),"B","-"))))</f>
        <v/>
      </c>
      <c r="BH23">
        <f>IF($S23="","",IF(INDEX($C23:$G23,$S23)="","",IF(ISNUMBER(SEARCH("[A]",INDEX($C23:$G23,$S23))),"A",IF(ISNUMBER(SEARCH("[B]",INDEX($C23:$G23,$S23))),"B","-"))))</f>
        <v/>
      </c>
      <c r="BI23">
        <f>IF($T23="","",IF(INDEX($C23:$G23,$T23)="","",IF(ISNUMBER(SEARCH("[A]",INDEX($C23:$G23,$T23))),"A",IF(ISNUMBER(SEARCH("[B]",INDEX($C23:$G23,$T23))),"B","-"))))</f>
        <v/>
      </c>
      <c r="BJ23">
        <f>IF($U23="","",IF(INDEX($C23:$G23,$U23)="","",IF(ISNUMBER(SEARCH("[A]",INDEX($C23:$G23,$U23))),"A",IF(ISNUMBER(SEARCH("[B]",INDEX($C23:$G23,$U23))),"B","-"))))</f>
        <v/>
      </c>
      <c r="BK23">
        <f>IF($V23="","",IF(INDEX($C23:$G23,$V23)="","",IF(ISNUMBER(SEARCH("[A]",INDEX($C23:$G23,$V23))),"A",IF(ISNUMBER(SEARCH("[B]",INDEX($C23:$G23,$V23))),"B","-"))))</f>
        <v/>
      </c>
      <c r="BL23">
        <f>IF($W23="","",IF(INDEX($C23:$G23,$W23)="","",IF(ISNUMBER(SEARCH("[A]",INDEX($C23:$G23,$W23))),"A",IF(ISNUMBER(SEARCH("[B]",INDEX($C23:$G23,$W23))),"B","-"))))</f>
        <v/>
      </c>
      <c r="BM23">
        <f>IF($X23="","",IF(INDEX($C23:$G23,$X23)="","",IF(ISNUMBER(SEARCH("[A]",INDEX($C23:$G23,$X23))),"A",IF(ISNUMBER(SEARCH("[B]",INDEX($C23:$G23,$X23))),"B","-"))))</f>
        <v/>
      </c>
      <c r="BN23">
        <f>IF($Y23="","",IF(INDEX($C23:$G23,$Y23)="","",IF(ISNUMBER(SEARCH("[A]",INDEX($C23:$G23,$Y23))),"A",IF(ISNUMBER(SEARCH("[B]",INDEX($C23:$G23,$Y23))),"B","-"))))</f>
        <v/>
      </c>
      <c r="BO23">
        <f>IF($Z23="","",IF(INDEX($C23:$G23,$Z23)="","",IF(ISNUMBER(SEARCH("[A]",INDEX($C23:$G23,$Z23))),"A",IF(ISNUMBER(SEARCH("[B]",INDEX($C23:$G23,$Z23))),"B","-"))))</f>
        <v/>
      </c>
      <c r="BP23">
        <f>IF($AA23="","",IF(INDEX($C23:$G23,$AA23)="","",IF(ISNUMBER(SEARCH("[A]",INDEX($C23:$G23,$AA23))),"A",IF(ISNUMBER(SEARCH("[B]",INDEX($C23:$G23,$AA23))),"B","-"))))</f>
        <v/>
      </c>
      <c r="BQ23">
        <f>IF($AB23="","",IF(INDEX($C23:$G23,$AB23)="","",IF(ISNUMBER(SEARCH("[A]",INDEX($C23:$G23,$AB23))),"A",IF(ISNUMBER(SEARCH("[B]",INDEX($C23:$G23,$AB23))),"B","-"))))</f>
        <v/>
      </c>
      <c r="BR23">
        <f>IF($AC23="","",IF(INDEX($C23:$G23,$AC23)="","",IF(ISNUMBER(SEARCH("[A]",INDEX($C23:$G23,$AC23))),"A",IF(ISNUMBER(SEARCH("[B]",INDEX($C23:$G23,$AC23))),"B","-"))))</f>
        <v/>
      </c>
    </row>
    <row r="24" ht="30" customHeight="1" s="1">
      <c r="A24" s="29" t="n"/>
      <c r="B24" s="30" t="n"/>
      <c r="C24" s="31" t="n"/>
      <c r="D24" s="19" t="n"/>
      <c r="E24" s="31" t="n"/>
      <c r="F24" s="31" t="n"/>
      <c r="G24" s="31" t="n"/>
      <c r="H24" s="29" t="n"/>
      <c r="I24" s="32" t="n"/>
      <c r="J24" s="21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  <c r="AA24" s="22" t="n"/>
      <c r="AB24" s="22" t="n"/>
      <c r="AC24" s="22" t="n"/>
    </row>
    <row r="25" ht="30" customHeight="1" s="1">
      <c r="A25" s="29" t="n"/>
      <c r="B25" s="30" t="n"/>
      <c r="C25" s="31" t="n"/>
      <c r="D25" s="31" t="n"/>
      <c r="E25" s="31" t="n"/>
      <c r="F25" s="19" t="n"/>
      <c r="G25" s="31" t="n"/>
      <c r="H25" s="29" t="n"/>
      <c r="I25" s="32" t="n"/>
      <c r="J25" s="21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  <c r="AA25" s="22" t="n"/>
      <c r="AB25" s="22" t="n"/>
      <c r="AC25" s="22" t="n"/>
    </row>
    <row r="26" ht="30" customHeight="1" s="1">
      <c r="A26" s="29" t="inlineStr">
        <is>
          <t>※ 리드줄은 [입장]에만 있습니다. 훈련은 「지시 형태」 5점과 겹치고, 분리·놀이는 실측 전원 1점이라 뺐습니다.</t>
        </is>
      </c>
      <c r="B26" s="42" t="n"/>
      <c r="C26" s="31" t="n"/>
      <c r="D26" s="31" t="n"/>
      <c r="E26" s="31" t="n"/>
      <c r="F26" s="19" t="n"/>
      <c r="G26" s="31" t="n"/>
      <c r="H26" s="29" t="n"/>
      <c r="I26" s="32" t="n"/>
      <c r="J26" s="21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  <c r="AA26" s="22" t="n"/>
      <c r="AB26" s="22" t="n"/>
      <c r="AC26" s="22" t="n"/>
    </row>
    <row r="27" ht="30" customHeight="1" s="1">
      <c r="A27" s="29" t="n"/>
      <c r="B27" s="42" t="n"/>
      <c r="C27" s="31" t="n"/>
      <c r="D27" s="31" t="n"/>
      <c r="E27" s="31" t="n"/>
      <c r="F27" s="19" t="n"/>
      <c r="G27" s="31" t="n"/>
      <c r="H27" s="29" t="n"/>
      <c r="I27" s="32" t="n"/>
      <c r="J27" s="21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  <c r="AA27" s="22" t="n"/>
      <c r="AB27" s="22" t="n"/>
      <c r="AC27" s="22" t="n"/>
    </row>
    <row r="28" ht="30" customHeight="1" s="1">
      <c r="A28" s="29" t="n"/>
      <c r="B28" s="42" t="n"/>
      <c r="C28" s="31" t="n"/>
      <c r="D28" s="19" t="n"/>
      <c r="E28" s="31" t="n"/>
      <c r="F28" s="19" t="n"/>
      <c r="G28" s="31" t="n"/>
      <c r="H28" s="29" t="n"/>
      <c r="I28" s="32" t="n"/>
      <c r="J28" s="21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  <c r="AA28" s="22" t="n"/>
      <c r="AB28" s="22" t="n"/>
      <c r="AC28" s="22" t="n"/>
    </row>
    <row r="29" ht="30" customHeight="1" s="1">
      <c r="A29" s="34" t="n"/>
      <c r="B29" s="35" t="n"/>
      <c r="C29" s="36" t="n"/>
      <c r="D29" s="36" t="n"/>
      <c r="E29" s="36" t="n"/>
      <c r="F29" s="19" t="n"/>
      <c r="G29" s="36" t="n"/>
      <c r="H29" s="34" t="n"/>
      <c r="I29" s="37" t="n"/>
      <c r="J29" s="21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  <c r="AA29" s="22" t="n"/>
      <c r="AB29" s="22" t="n"/>
      <c r="AC29" s="22" t="n"/>
    </row>
    <row r="30" ht="30" customHeight="1" s="1">
      <c r="A30" s="34" t="n"/>
      <c r="B30" s="35" t="n"/>
      <c r="C30" s="36" t="n"/>
      <c r="D30" s="19" t="n"/>
      <c r="E30" s="36" t="n"/>
      <c r="F30" s="36" t="n"/>
      <c r="G30" s="36" t="n"/>
      <c r="H30" s="34" t="n"/>
      <c r="I30" s="37" t="n"/>
      <c r="J30" s="21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  <c r="AA30" s="22" t="n"/>
      <c r="AB30" s="22" t="n"/>
      <c r="AC30" s="22" t="n"/>
    </row>
    <row r="31" ht="30" customHeight="1" s="1">
      <c r="A31" s="34" t="n"/>
      <c r="B31" s="35" t="n"/>
      <c r="C31" s="36" t="n"/>
      <c r="D31" s="19" t="n"/>
      <c r="E31" s="36" t="n"/>
      <c r="F31" s="19" t="n"/>
      <c r="G31" s="36" t="n"/>
      <c r="H31" s="34" t="n"/>
      <c r="I31" s="37" t="n"/>
      <c r="J31" s="21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  <c r="AA31" s="22" t="n"/>
      <c r="AB31" s="22" t="n"/>
      <c r="AC31" s="22" t="n"/>
    </row>
    <row r="32" ht="30" customHeight="1" s="1">
      <c r="A32" s="34" t="n"/>
      <c r="B32" s="35" t="n"/>
      <c r="C32" s="38" t="n"/>
      <c r="D32" s="38" t="n"/>
      <c r="E32" s="38" t="n"/>
      <c r="F32" s="36" t="n"/>
      <c r="G32" s="36" t="n"/>
      <c r="H32" s="34" t="n"/>
      <c r="I32" s="37" t="n"/>
      <c r="J32" s="21" t="n"/>
      <c r="K32" s="22" t="n"/>
      <c r="L32" s="22" t="n"/>
      <c r="M32" s="22" t="n"/>
      <c r="N32" s="22" t="n"/>
      <c r="O32" s="22" t="n"/>
      <c r="P32" s="22" t="n"/>
      <c r="Q32" s="22" t="n"/>
      <c r="R32" s="22" t="n"/>
      <c r="S32" s="22" t="n"/>
      <c r="T32" s="22" t="n"/>
      <c r="U32" s="22" t="n"/>
      <c r="V32" s="22" t="n"/>
      <c r="W32" s="22" t="n"/>
      <c r="X32" s="22" t="n"/>
      <c r="Y32" s="22" t="n"/>
      <c r="Z32" s="22" t="n"/>
      <c r="AA32" s="22" t="n"/>
      <c r="AB32" s="22" t="n"/>
      <c r="AC32" s="22" t="n"/>
    </row>
    <row r="33" ht="30" customHeight="1" s="1">
      <c r="A33" s="34" t="n"/>
      <c r="B33" s="35" t="n"/>
      <c r="C33" s="36" t="n"/>
      <c r="D33" s="19" t="n"/>
      <c r="E33" s="36" t="n"/>
      <c r="F33" s="36" t="n"/>
      <c r="G33" s="36" t="n"/>
      <c r="H33" s="34" t="n"/>
      <c r="I33" s="37" t="n"/>
      <c r="J33" s="21" t="n"/>
      <c r="K33" s="22" t="n"/>
      <c r="L33" s="22" t="n"/>
      <c r="M33" s="22" t="n"/>
      <c r="N33" s="22" t="n"/>
      <c r="O33" s="22" t="n"/>
      <c r="P33" s="22" t="n"/>
      <c r="Q33" s="22" t="n"/>
      <c r="R33" s="22" t="n"/>
      <c r="S33" s="22" t="n"/>
      <c r="T33" s="22" t="n"/>
      <c r="U33" s="22" t="n"/>
      <c r="V33" s="22" t="n"/>
      <c r="W33" s="22" t="n"/>
      <c r="X33" s="22" t="n"/>
      <c r="Y33" s="22" t="n"/>
      <c r="Z33" s="22" t="n"/>
      <c r="AA33" s="22" t="n"/>
      <c r="AB33" s="22" t="n"/>
      <c r="AC33" s="22" t="n"/>
    </row>
    <row r="34" ht="30" customHeight="1" s="1">
      <c r="A34" s="34" t="n"/>
      <c r="B34" s="35" t="n"/>
      <c r="C34" s="36" t="n"/>
      <c r="D34" s="36" t="n"/>
      <c r="E34" s="36" t="n"/>
      <c r="F34" s="19" t="n"/>
      <c r="G34" s="36" t="n"/>
      <c r="H34" s="34" t="n"/>
      <c r="I34" s="37" t="n"/>
      <c r="J34" s="21" t="n"/>
      <c r="K34" s="22" t="n"/>
      <c r="L34" s="22" t="n"/>
      <c r="M34" s="22" t="n"/>
      <c r="N34" s="22" t="n"/>
      <c r="O34" s="22" t="n"/>
      <c r="P34" s="22" t="n"/>
      <c r="Q34" s="22" t="n"/>
      <c r="R34" s="22" t="n"/>
      <c r="S34" s="22" t="n"/>
      <c r="T34" s="22" t="n"/>
      <c r="U34" s="22" t="n"/>
      <c r="V34" s="22" t="n"/>
      <c r="W34" s="22" t="n"/>
      <c r="X34" s="22" t="n"/>
      <c r="Y34" s="22" t="n"/>
      <c r="Z34" s="22" t="n"/>
      <c r="AA34" s="22" t="n"/>
      <c r="AB34" s="22" t="n"/>
      <c r="AC34" s="22" t="n"/>
    </row>
    <row r="35" ht="30" customHeight="1" s="1">
      <c r="A35" s="34" t="n"/>
      <c r="B35" s="43" t="n"/>
      <c r="C35" s="36" t="n"/>
      <c r="D35" s="36" t="n"/>
      <c r="E35" s="36" t="n"/>
      <c r="F35" s="36" t="n"/>
      <c r="G35" s="36" t="n"/>
      <c r="H35" s="34" t="n"/>
      <c r="I35" s="37" t="n"/>
      <c r="J35" s="21" t="n"/>
      <c r="K35" s="22" t="n"/>
      <c r="L35" s="22" t="n"/>
      <c r="M35" s="22" t="n"/>
      <c r="N35" s="22" t="n"/>
      <c r="O35" s="22" t="n"/>
      <c r="P35" s="22" t="n"/>
      <c r="Q35" s="22" t="n"/>
      <c r="R35" s="22" t="n"/>
      <c r="S35" s="22" t="n"/>
      <c r="T35" s="22" t="n"/>
      <c r="U35" s="22" t="n"/>
      <c r="V35" s="22" t="n"/>
      <c r="W35" s="22" t="n"/>
      <c r="X35" s="22" t="n"/>
      <c r="Y35" s="22" t="n"/>
      <c r="Z35" s="22" t="n"/>
      <c r="AA35" s="22" t="n"/>
      <c r="AB35" s="22" t="n"/>
      <c r="AC35" s="22" t="n"/>
    </row>
  </sheetData>
  <dataValidations count="1">
    <dataValidation sqref="J5:AC35" showDropDown="0" showInputMessage="0" showErrorMessage="1" allowBlank="1" errorTitle="1~5만 입력" error="점수는 1~5 중 하나입니다. 1=양호, 5=확실한 강한 문제." type="whole">
      <formula1>1</formula1>
      <formula2>5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34"/>
  <sheetViews>
    <sheetView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A1" sqref="A1"/>
    </sheetView>
  </sheetViews>
  <sheetFormatPr baseColWidth="8" defaultColWidth="8.7109375" defaultRowHeight="15"/>
  <cols>
    <col width="6" customWidth="1" style="1" min="1" max="1"/>
    <col width="16" customWidth="1" style="1" min="2" max="3"/>
    <col width="6.5703125" customWidth="1" style="1" min="4" max="21"/>
    <col width="8" customWidth="1" style="1" min="22" max="22"/>
    <col width="34" customWidth="1" style="1" min="23" max="23"/>
    <col hidden="1" width="13" customWidth="1" style="1" min="24" max="27"/>
    <col width="7" customWidth="1" style="1" min="28" max="28"/>
    <col width="7" customWidth="1" style="1" min="29" max="29"/>
    <col width="7" customWidth="1" style="1" min="30" max="30"/>
    <col width="13" customWidth="1" style="1" min="31" max="31"/>
  </cols>
  <sheetData>
    <row r="1" ht="21.6" customHeight="1" s="1">
      <c r="A1" s="44" t="inlineStr">
        <is>
          <t>20마리 결과 한눈에 보기</t>
        </is>
      </c>
    </row>
    <row r="2" ht="15" customHeight="1" s="1">
      <c r="A2" s="8" t="inlineStr">
        <is>
          <t>세 입력 시트에 채워 넣으면 자동으로 계산됩니다. 이름·견종만 직접 적어 주세요. 점수 1=양호 ~ 5=강한 문제. 방향 A=과함(과흥분·과잉통제), B=위축(공포·회피).</t>
        </is>
      </c>
    </row>
    <row r="4" ht="19.5" customHeight="1" s="1">
      <c r="A4" s="58" t="inlineStr">
        <is>
          <t>번호</t>
        </is>
      </c>
      <c r="B4" s="58" t="inlineStr">
        <is>
          <t>반려견 이름</t>
        </is>
      </c>
      <c r="C4" s="58" t="inlineStr">
        <is>
          <t>견종 · 나이</t>
        </is>
      </c>
      <c r="D4" s="58" t="inlineStr">
        <is>
          <t>교육태도</t>
        </is>
      </c>
      <c r="E4" s="60" t="n"/>
      <c r="F4" s="61" t="n"/>
      <c r="G4" s="58" t="inlineStr">
        <is>
          <t>사회성-사람</t>
        </is>
      </c>
      <c r="H4" s="60" t="n"/>
      <c r="I4" s="61" t="n"/>
      <c r="J4" s="58" t="inlineStr">
        <is>
          <t>사회성-개</t>
        </is>
      </c>
      <c r="K4" s="60" t="n"/>
      <c r="L4" s="61" t="n"/>
      <c r="M4" s="58" t="inlineStr">
        <is>
          <t>사회성-환경</t>
        </is>
      </c>
      <c r="N4" s="60" t="n"/>
      <c r="O4" s="61" t="n"/>
      <c r="P4" s="58" t="inlineStr">
        <is>
          <t>친밀·애착</t>
        </is>
      </c>
      <c r="Q4" s="60" t="n"/>
      <c r="R4" s="61" t="n"/>
      <c r="S4" s="58" t="inlineStr">
        <is>
          <t>보호자 행동 일관성</t>
        </is>
      </c>
      <c r="T4" s="60" t="n"/>
      <c r="U4" s="61" t="n"/>
      <c r="V4" s="58" t="inlineStr">
        <is>
          <t>보호자 행동</t>
        </is>
      </c>
      <c r="W4" s="58" t="inlineStr">
        <is>
          <t>메모 · 주요 이슈</t>
        </is>
      </c>
      <c r="X4" s="58" t="n"/>
      <c r="Y4" s="58" t="n"/>
      <c r="Z4" s="58" t="n"/>
      <c r="AA4" s="58" t="n"/>
      <c r="AB4" t="inlineStr">
        <is>
          <t>훈련 수행(개)</t>
        </is>
      </c>
      <c r="AE4" t="inlineStr">
        <is>
          <t>기준선</t>
        </is>
      </c>
    </row>
    <row r="5" ht="18" customHeight="1" s="1">
      <c r="A5" s="59" t="n"/>
      <c r="B5" s="59" t="n"/>
      <c r="C5" s="59" t="n"/>
      <c r="D5" s="58" t="inlineStr">
        <is>
          <t>최고</t>
        </is>
      </c>
      <c r="E5" s="58" t="inlineStr">
        <is>
          <t>평균</t>
        </is>
      </c>
      <c r="F5" s="58" t="inlineStr">
        <is>
          <t>방향</t>
        </is>
      </c>
      <c r="G5" s="58" t="inlineStr">
        <is>
          <t>최고</t>
        </is>
      </c>
      <c r="H5" s="58" t="inlineStr">
        <is>
          <t>평균</t>
        </is>
      </c>
      <c r="I5" s="58" t="inlineStr">
        <is>
          <t>방향</t>
        </is>
      </c>
      <c r="J5" s="58" t="inlineStr">
        <is>
          <t>최고</t>
        </is>
      </c>
      <c r="K5" s="58" t="inlineStr">
        <is>
          <t>평균</t>
        </is>
      </c>
      <c r="L5" s="58" t="inlineStr">
        <is>
          <t>방향</t>
        </is>
      </c>
      <c r="M5" s="58" t="inlineStr">
        <is>
          <t>최고</t>
        </is>
      </c>
      <c r="N5" s="58" t="inlineStr">
        <is>
          <t>평균</t>
        </is>
      </c>
      <c r="O5" s="58" t="inlineStr">
        <is>
          <t>방향</t>
        </is>
      </c>
      <c r="P5" s="58" t="inlineStr">
        <is>
          <t>최고</t>
        </is>
      </c>
      <c r="Q5" s="58" t="inlineStr">
        <is>
          <t>평균</t>
        </is>
      </c>
      <c r="R5" s="58" t="inlineStr">
        <is>
          <t>방향</t>
        </is>
      </c>
      <c r="S5" s="58" t="inlineStr">
        <is>
          <t>최고</t>
        </is>
      </c>
      <c r="T5" s="58" t="inlineStr">
        <is>
          <t>평균</t>
        </is>
      </c>
      <c r="U5" s="58" t="inlineStr">
        <is>
          <t>방향</t>
        </is>
      </c>
      <c r="V5" s="58" t="inlineStr">
        <is>
          <t>흔들림 (참고·판정 제외)</t>
        </is>
      </c>
      <c r="W5" s="59" t="n"/>
      <c r="X5" s="58" t="n"/>
      <c r="Y5" s="58" t="n"/>
      <c r="Z5" s="58" t="n"/>
      <c r="AA5" s="58" t="n"/>
      <c r="AB5" t="inlineStr">
        <is>
          <t>최고</t>
        </is>
      </c>
      <c r="AC5" t="inlineStr">
        <is>
          <t>평균</t>
        </is>
      </c>
      <c r="AD5" t="inlineStr">
        <is>
          <t>방향</t>
        </is>
      </c>
      <c r="AE5" t="inlineStr">
        <is>
          <t>무반응 10초</t>
        </is>
      </c>
    </row>
    <row r="6" ht="18.75" customHeight="1" s="1">
      <c r="A6" s="46" t="n">
        <v>1</v>
      </c>
      <c r="B6" s="47" t="n"/>
      <c r="C6" s="47" t="n"/>
      <c r="D6" s="48">
        <f>IF((COUNTIFS('1_바디시그널'!$AD$5:$AD$36,"EDU",'1_바디시그널'!$AE$5:$AE$36,"&gt;=1")+COUNTIFS('2_개행동'!$AD$5:$AD$26,"EDU",'2_개행동'!$AE$5:$AE$26,"&gt;=1")+COUNTIFS('3_보호자행동'!$AD$5:$AD$35,"EDU",'3_보호자행동'!$AE$5:$AE$35,"&gt;=1"))=0,"",MAX(_xlfn.MAXIFS('1_바디시그널'!$AE$5:$AE$36,'1_바디시그널'!$AD$5:$AD$36,"EDU"),_xlfn.MAXIFS('2_개행동'!$AE$5:$AE$26,'2_개행동'!$AD$5:$AD$26,"EDU"),_xlfn.MAXIFS('3_보호자행동'!$AE$5:$AE$35,'3_보호자행동'!$AD$5:$AD$35,"EDU")))</f>
        <v/>
      </c>
      <c r="E6" s="49">
        <f>IF((COUNTIFS('1_바디시그널'!$AD$5:$AD$36,"EDU",'1_바디시그널'!$AE$5:$AE$36,"&gt;=1")+COUNTIFS('2_개행동'!$AD$5:$AD$26,"EDU",'2_개행동'!$AE$5:$AE$26,"&gt;=1")+COUNTIFS('3_보호자행동'!$AD$5:$AD$35,"EDU",'3_보호자행동'!$AE$5:$AE$35,"&gt;=1"))=0,"",ROUND((SUMIFS('1_바디시그널'!$AE$5:$AE$36,'1_바디시그널'!$AD$5:$AD$36,"EDU",'1_바디시그널'!$AE$5:$AE$36,"&gt;=1")+SUMIFS('2_개행동'!$AE$5:$AE$26,'2_개행동'!$AD$5:$AD$26,"EDU",'2_개행동'!$AE$5:$AE$26,"&gt;=1")+SUMIFS('3_보호자행동'!$AE$5:$AE$35,'3_보호자행동'!$AD$5:$AD$35,"EDU",'3_보호자행동'!$AE$5:$AE$35,"&gt;=1"))/(COUNTIFS('1_바디시그널'!$AD$5:$AD$36,"EDU",'1_바디시그널'!$AE$5:$AE$36,"&gt;=1")+COUNTIFS('2_개행동'!$AD$5:$AD$26,"EDU",'2_개행동'!$AE$5:$AE$26,"&gt;=1")+COUNTIFS('3_보호자행동'!$AD$5:$AD$35,"EDU",'3_보호자행동'!$AE$5:$AE$35,"&gt;=1")),2))</f>
        <v/>
      </c>
      <c r="F6" s="49">
        <f>IF((COUNTIFS('1_바디시그널'!$AD$5:$AD$36,"EDU",'1_바디시그널'!$AE$5:$AE$36,"&gt;=1")+COUNTIFS('2_개행동'!$AD$5:$AD$26,"EDU",'2_개행동'!$AE$5:$AE$26,"&gt;=1")+COUNTIFS('3_보호자행동'!$AD$5:$AD$35,"EDU",'3_보호자행동'!$AE$5:$AE$35,"&gt;=1"))=0,"",IF((SUMIFS('1_바디시그널'!$AE$5:$AE$36,'1_바디시그널'!$AD$5:$AD$36,"EDU",'1_바디시그널'!$AY$5:$AY$36,"A")+SUMIFS('2_개행동'!$AE$5:$AE$26,'2_개행동'!$AD$5:$AD$26,"EDU",'2_개행동'!$AY$5:$AY$26,"A")+SUMIFS('3_보호자행동'!$AE$5:$AE$35,'3_보호자행동'!$AD$5:$AD$35,"EDU",'3_보호자행동'!$AY$5:$AY$35,"A"))&gt;(SUMIFS('1_바디시그널'!$AE$5:$AE$36,'1_바디시그널'!$AD$5:$AD$36,"EDU",'1_바디시그널'!$AY$5:$AY$36,"B")+SUMIFS('2_개행동'!$AE$5:$AE$26,'2_개행동'!$AD$5:$AD$26,"EDU",'2_개행동'!$AY$5:$AY$26,"B")+SUMIFS('3_보호자행동'!$AE$5:$AE$35,'3_보호자행동'!$AD$5:$AD$35,"EDU",'3_보호자행동'!$AY$5:$AY$35,"B")),"A",IF((SUMIFS('1_바디시그널'!$AE$5:$AE$36,'1_바디시그널'!$AD$5:$AD$36,"EDU",'1_바디시그널'!$AY$5:$AY$36,"B")+SUMIFS('2_개행동'!$AE$5:$AE$26,'2_개행동'!$AD$5:$AD$26,"EDU",'2_개행동'!$AY$5:$AY$26,"B")+SUMIFS('3_보호자행동'!$AE$5:$AE$35,'3_보호자행동'!$AD$5:$AD$35,"EDU",'3_보호자행동'!$AY$5:$AY$35,"B"))&gt;(SUMIFS('1_바디시그널'!$AE$5:$AE$36,'1_바디시그널'!$AD$5:$AD$36,"EDU",'1_바디시그널'!$AY$5:$AY$36,"A")+SUMIFS('2_개행동'!$AE$5:$AE$26,'2_개행동'!$AD$5:$AD$26,"EDU",'2_개행동'!$AY$5:$AY$26,"A")+SUMIFS('3_보호자행동'!$AE$5:$AE$35,'3_보호자행동'!$AD$5:$AD$35,"EDU",'3_보호자행동'!$AY$5:$AY$35,"A")),"B","-")))</f>
        <v/>
      </c>
      <c r="G6" s="49">
        <f>IF((COUNTIFS('1_바디시그널'!$AD$5:$AD$36,"SOC_P",'1_바디시그널'!$AE$5:$AE$36,"&gt;=1")+COUNTIFS('2_개행동'!$AD$5:$AD$26,"SOC_P",'2_개행동'!$AE$5:$AE$26,"&gt;=1")+COUNTIFS('3_보호자행동'!$AD$5:$AD$35,"SOC_P",'3_보호자행동'!$AE$5:$AE$35,"&gt;=1"))=0,"",MAX(_xlfn.MAXIFS('1_바디시그널'!$AE$5:$AE$36,'1_바디시그널'!$AD$5:$AD$36,"SOC_P"),_xlfn.MAXIFS('2_개행동'!$AE$5:$AE$26,'2_개행동'!$AD$5:$AD$26,"SOC_P"),_xlfn.MAXIFS('3_보호자행동'!$AE$5:$AE$35,'3_보호자행동'!$AD$5:$AD$35,"SOC_P")))</f>
        <v/>
      </c>
      <c r="H6" s="49">
        <f>IF((COUNTIFS('1_바디시그널'!$AD$5:$AD$36,"SOC_P",'1_바디시그널'!$AE$5:$AE$36,"&gt;=1")+COUNTIFS('2_개행동'!$AD$5:$AD$26,"SOC_P",'2_개행동'!$AE$5:$AE$26,"&gt;=1")+COUNTIFS('3_보호자행동'!$AD$5:$AD$35,"SOC_P",'3_보호자행동'!$AE$5:$AE$35,"&gt;=1"))=0,"",ROUND((SUMIFS('1_바디시그널'!$AE$5:$AE$36,'1_바디시그널'!$AD$5:$AD$36,"SOC_P",'1_바디시그널'!$AE$5:$AE$36,"&gt;=1")+SUMIFS('2_개행동'!$AE$5:$AE$26,'2_개행동'!$AD$5:$AD$26,"SOC_P",'2_개행동'!$AE$5:$AE$26,"&gt;=1")+SUMIFS('3_보호자행동'!$AE$5:$AE$35,'3_보호자행동'!$AD$5:$AD$35,"SOC_P",'3_보호자행동'!$AE$5:$AE$35,"&gt;=1"))/(COUNTIFS('1_바디시그널'!$AD$5:$AD$36,"SOC_P",'1_바디시그널'!$AE$5:$AE$36,"&gt;=1")+COUNTIFS('2_개행동'!$AD$5:$AD$26,"SOC_P",'2_개행동'!$AE$5:$AE$26,"&gt;=1")+COUNTIFS('3_보호자행동'!$AD$5:$AD$35,"SOC_P",'3_보호자행동'!$AE$5:$AE$35,"&gt;=1")),2))</f>
        <v/>
      </c>
      <c r="I6" s="49">
        <f>IF((COUNTIFS('1_바디시그널'!$AD$5:$AD$36,"SOC_P",'1_바디시그널'!$AE$5:$AE$36,"&gt;=1")+COUNTIFS('2_개행동'!$AD$5:$AD$26,"SOC_P",'2_개행동'!$AE$5:$AE$26,"&gt;=1")+COUNTIFS('3_보호자행동'!$AD$5:$AD$35,"SOC_P",'3_보호자행동'!$AE$5:$AE$35,"&gt;=1"))=0,"",IF((SUMIFS('1_바디시그널'!$AE$5:$AE$36,'1_바디시그널'!$AD$5:$AD$36,"SOC_P",'1_바디시그널'!$AY$5:$AY$36,"A")+SUMIFS('2_개행동'!$AE$5:$AE$26,'2_개행동'!$AD$5:$AD$26,"SOC_P",'2_개행동'!$AY$5:$AY$26,"A")+SUMIFS('3_보호자행동'!$AE$5:$AE$35,'3_보호자행동'!$AD$5:$AD$35,"SOC_P",'3_보호자행동'!$AY$5:$AY$35,"A"))&gt;(SUMIFS('1_바디시그널'!$AE$5:$AE$36,'1_바디시그널'!$AD$5:$AD$36,"SOC_P",'1_바디시그널'!$AY$5:$AY$36,"B")+SUMIFS('2_개행동'!$AE$5:$AE$26,'2_개행동'!$AD$5:$AD$26,"SOC_P",'2_개행동'!$AY$5:$AY$26,"B")+SUMIFS('3_보호자행동'!$AE$5:$AE$35,'3_보호자행동'!$AD$5:$AD$35,"SOC_P",'3_보호자행동'!$AY$5:$AY$35,"B")),"A",IF((SUMIFS('1_바디시그널'!$AE$5:$AE$36,'1_바디시그널'!$AD$5:$AD$36,"SOC_P",'1_바디시그널'!$AY$5:$AY$36,"B")+SUMIFS('2_개행동'!$AE$5:$AE$26,'2_개행동'!$AD$5:$AD$26,"SOC_P",'2_개행동'!$AY$5:$AY$26,"B")+SUMIFS('3_보호자행동'!$AE$5:$AE$35,'3_보호자행동'!$AD$5:$AD$35,"SOC_P",'3_보호자행동'!$AY$5:$AY$35,"B"))&gt;(SUMIFS('1_바디시그널'!$AE$5:$AE$36,'1_바디시그널'!$AD$5:$AD$36,"SOC_P",'1_바디시그널'!$AY$5:$AY$36,"A")+SUMIFS('2_개행동'!$AE$5:$AE$26,'2_개행동'!$AD$5:$AD$26,"SOC_P",'2_개행동'!$AY$5:$AY$26,"A")+SUMIFS('3_보호자행동'!$AE$5:$AE$35,'3_보호자행동'!$AD$5:$AD$35,"SOC_P",'3_보호자행동'!$AY$5:$AY$35,"A")),"B","-")))</f>
        <v/>
      </c>
      <c r="J6" s="49">
        <f>IF((COUNTIFS('1_바디시그널'!$AD$5:$AD$36,"SOC_D",'1_바디시그널'!$AE$5:$AE$36,"&gt;=1")+COUNTIFS('2_개행동'!$AD$5:$AD$26,"SOC_D",'2_개행동'!$AE$5:$AE$26,"&gt;=1")+COUNTIFS('3_보호자행동'!$AD$5:$AD$35,"SOC_D",'3_보호자행동'!$AE$5:$AE$35,"&gt;=1"))=0,"",MAX(_xlfn.MAXIFS('1_바디시그널'!$AE$5:$AE$36,'1_바디시그널'!$AD$5:$AD$36,"SOC_D"),_xlfn.MAXIFS('2_개행동'!$AE$5:$AE$26,'2_개행동'!$AD$5:$AD$26,"SOC_D"),_xlfn.MAXIFS('3_보호자행동'!$AE$5:$AE$35,'3_보호자행동'!$AD$5:$AD$35,"SOC_D")))</f>
        <v/>
      </c>
      <c r="K6" s="49">
        <f>IF((COUNTIFS('1_바디시그널'!$AD$5:$AD$36,"SOC_D",'1_바디시그널'!$AE$5:$AE$36,"&gt;=1")+COUNTIFS('2_개행동'!$AD$5:$AD$26,"SOC_D",'2_개행동'!$AE$5:$AE$26,"&gt;=1")+COUNTIFS('3_보호자행동'!$AD$5:$AD$35,"SOC_D",'3_보호자행동'!$AE$5:$AE$35,"&gt;=1"))=0,"",ROUND((SUMIFS('1_바디시그널'!$AE$5:$AE$36,'1_바디시그널'!$AD$5:$AD$36,"SOC_D",'1_바디시그널'!$AE$5:$AE$36,"&gt;=1")+SUMIFS('2_개행동'!$AE$5:$AE$26,'2_개행동'!$AD$5:$AD$26,"SOC_D",'2_개행동'!$AE$5:$AE$26,"&gt;=1")+SUMIFS('3_보호자행동'!$AE$5:$AE$35,'3_보호자행동'!$AD$5:$AD$35,"SOC_D",'3_보호자행동'!$AE$5:$AE$35,"&gt;=1"))/(COUNTIFS('1_바디시그널'!$AD$5:$AD$36,"SOC_D",'1_바디시그널'!$AE$5:$AE$36,"&gt;=1")+COUNTIFS('2_개행동'!$AD$5:$AD$26,"SOC_D",'2_개행동'!$AE$5:$AE$26,"&gt;=1")+COUNTIFS('3_보호자행동'!$AD$5:$AD$35,"SOC_D",'3_보호자행동'!$AE$5:$AE$35,"&gt;=1")),2))</f>
        <v/>
      </c>
      <c r="L6" s="49">
        <f>IF((COUNTIFS('1_바디시그널'!$AD$5:$AD$36,"SOC_D",'1_바디시그널'!$AE$5:$AE$36,"&gt;=1")+COUNTIFS('2_개행동'!$AD$5:$AD$26,"SOC_D",'2_개행동'!$AE$5:$AE$26,"&gt;=1")+COUNTIFS('3_보호자행동'!$AD$5:$AD$35,"SOC_D",'3_보호자행동'!$AE$5:$AE$35,"&gt;=1"))=0,"",IF((SUMIFS('1_바디시그널'!$AE$5:$AE$36,'1_바디시그널'!$AD$5:$AD$36,"SOC_D",'1_바디시그널'!$AY$5:$AY$36,"A")+SUMIFS('2_개행동'!$AE$5:$AE$26,'2_개행동'!$AD$5:$AD$26,"SOC_D",'2_개행동'!$AY$5:$AY$26,"A")+SUMIFS('3_보호자행동'!$AE$5:$AE$35,'3_보호자행동'!$AD$5:$AD$35,"SOC_D",'3_보호자행동'!$AY$5:$AY$35,"A"))&gt;(SUMIFS('1_바디시그널'!$AE$5:$AE$36,'1_바디시그널'!$AD$5:$AD$36,"SOC_D",'1_바디시그널'!$AY$5:$AY$36,"B")+SUMIFS('2_개행동'!$AE$5:$AE$26,'2_개행동'!$AD$5:$AD$26,"SOC_D",'2_개행동'!$AY$5:$AY$26,"B")+SUMIFS('3_보호자행동'!$AE$5:$AE$35,'3_보호자행동'!$AD$5:$AD$35,"SOC_D",'3_보호자행동'!$AY$5:$AY$35,"B")),"A",IF((SUMIFS('1_바디시그널'!$AE$5:$AE$36,'1_바디시그널'!$AD$5:$AD$36,"SOC_D",'1_바디시그널'!$AY$5:$AY$36,"B")+SUMIFS('2_개행동'!$AE$5:$AE$26,'2_개행동'!$AD$5:$AD$26,"SOC_D",'2_개행동'!$AY$5:$AY$26,"B")+SUMIFS('3_보호자행동'!$AE$5:$AE$35,'3_보호자행동'!$AD$5:$AD$35,"SOC_D",'3_보호자행동'!$AY$5:$AY$35,"B"))&gt;(SUMIFS('1_바디시그널'!$AE$5:$AE$36,'1_바디시그널'!$AD$5:$AD$36,"SOC_D",'1_바디시그널'!$AY$5:$AY$36,"A")+SUMIFS('2_개행동'!$AE$5:$AE$26,'2_개행동'!$AD$5:$AD$26,"SOC_D",'2_개행동'!$AY$5:$AY$26,"A")+SUMIFS('3_보호자행동'!$AE$5:$AE$35,'3_보호자행동'!$AD$5:$AD$35,"SOC_D",'3_보호자행동'!$AY$5:$AY$35,"A")),"B","-")))</f>
        <v/>
      </c>
      <c r="M6" s="49">
        <f>IF((COUNTIFS('1_바디시그널'!$AD$5:$AD$36,"SOC_E",'1_바디시그널'!$AE$5:$AE$36,"&gt;=1")+COUNTIFS('2_개행동'!$AD$5:$AD$26,"SOC_E",'2_개행동'!$AE$5:$AE$26,"&gt;=1")+COUNTIFS('3_보호자행동'!$AD$5:$AD$35,"SOC_E",'3_보호자행동'!$AE$5:$AE$35,"&gt;=1"))=0,"",MAX(_xlfn.MAXIFS('1_바디시그널'!$AE$5:$AE$36,'1_바디시그널'!$AD$5:$AD$36,"SOC_E"),_xlfn.MAXIFS('2_개행동'!$AE$5:$AE$26,'2_개행동'!$AD$5:$AD$26,"SOC_E"),_xlfn.MAXIFS('3_보호자행동'!$AE$5:$AE$35,'3_보호자행동'!$AD$5:$AD$35,"SOC_E")))</f>
        <v/>
      </c>
      <c r="N6" s="49">
        <f>IF((COUNTIFS('1_바디시그널'!$AD$5:$AD$36,"SOC_E",'1_바디시그널'!$AE$5:$AE$36,"&gt;=1")+COUNTIFS('2_개행동'!$AD$5:$AD$26,"SOC_E",'2_개행동'!$AE$5:$AE$26,"&gt;=1")+COUNTIFS('3_보호자행동'!$AD$5:$AD$35,"SOC_E",'3_보호자행동'!$AE$5:$AE$35,"&gt;=1"))=0,"",ROUND((SUMIFS('1_바디시그널'!$AE$5:$AE$36,'1_바디시그널'!$AD$5:$AD$36,"SOC_E",'1_바디시그널'!$AE$5:$AE$36,"&gt;=1")+SUMIFS('2_개행동'!$AE$5:$AE$26,'2_개행동'!$AD$5:$AD$26,"SOC_E",'2_개행동'!$AE$5:$AE$26,"&gt;=1")+SUMIFS('3_보호자행동'!$AE$5:$AE$35,'3_보호자행동'!$AD$5:$AD$35,"SOC_E",'3_보호자행동'!$AE$5:$AE$35,"&gt;=1"))/(COUNTIFS('1_바디시그널'!$AD$5:$AD$36,"SOC_E",'1_바디시그널'!$AE$5:$AE$36,"&gt;=1")+COUNTIFS('2_개행동'!$AD$5:$AD$26,"SOC_E",'2_개행동'!$AE$5:$AE$26,"&gt;=1")+COUNTIFS('3_보호자행동'!$AD$5:$AD$35,"SOC_E",'3_보호자행동'!$AE$5:$AE$35,"&gt;=1")),2))</f>
        <v/>
      </c>
      <c r="O6" s="49">
        <f>IF((COUNTIFS('1_바디시그널'!$AD$5:$AD$36,"SOC_E",'1_바디시그널'!$AE$5:$AE$36,"&gt;=1")+COUNTIFS('2_개행동'!$AD$5:$AD$26,"SOC_E",'2_개행동'!$AE$5:$AE$26,"&gt;=1")+COUNTIFS('3_보호자행동'!$AD$5:$AD$35,"SOC_E",'3_보호자행동'!$AE$5:$AE$35,"&gt;=1"))=0,"",IF((SUMIFS('1_바디시그널'!$AE$5:$AE$36,'1_바디시그널'!$AD$5:$AD$36,"SOC_E",'1_바디시그널'!$AY$5:$AY$36,"A")+SUMIFS('2_개행동'!$AE$5:$AE$26,'2_개행동'!$AD$5:$AD$26,"SOC_E",'2_개행동'!$AY$5:$AY$26,"A")+SUMIFS('3_보호자행동'!$AE$5:$AE$35,'3_보호자행동'!$AD$5:$AD$35,"SOC_E",'3_보호자행동'!$AY$5:$AY$35,"A"))&gt;(SUMIFS('1_바디시그널'!$AE$5:$AE$36,'1_바디시그널'!$AD$5:$AD$36,"SOC_E",'1_바디시그널'!$AY$5:$AY$36,"B")+SUMIFS('2_개행동'!$AE$5:$AE$26,'2_개행동'!$AD$5:$AD$26,"SOC_E",'2_개행동'!$AY$5:$AY$26,"B")+SUMIFS('3_보호자행동'!$AE$5:$AE$35,'3_보호자행동'!$AD$5:$AD$35,"SOC_E",'3_보호자행동'!$AY$5:$AY$35,"B")),"A",IF((SUMIFS('1_바디시그널'!$AE$5:$AE$36,'1_바디시그널'!$AD$5:$AD$36,"SOC_E",'1_바디시그널'!$AY$5:$AY$36,"B")+SUMIFS('2_개행동'!$AE$5:$AE$26,'2_개행동'!$AD$5:$AD$26,"SOC_E",'2_개행동'!$AY$5:$AY$26,"B")+SUMIFS('3_보호자행동'!$AE$5:$AE$35,'3_보호자행동'!$AD$5:$AD$35,"SOC_E",'3_보호자행동'!$AY$5:$AY$35,"B"))&gt;(SUMIFS('1_바디시그널'!$AE$5:$AE$36,'1_바디시그널'!$AD$5:$AD$36,"SOC_E",'1_바디시그널'!$AY$5:$AY$36,"A")+SUMIFS('2_개행동'!$AE$5:$AE$26,'2_개행동'!$AD$5:$AD$26,"SOC_E",'2_개행동'!$AY$5:$AY$26,"A")+SUMIFS('3_보호자행동'!$AE$5:$AE$35,'3_보호자행동'!$AD$5:$AD$35,"SOC_E",'3_보호자행동'!$AY$5:$AY$35,"A")),"B","-")))</f>
        <v/>
      </c>
      <c r="P6" s="49">
        <f>IF((COUNTIFS('1_바디시그널'!$AD$5:$AD$36,"ATT",'1_바디시그널'!$AE$5:$AE$36,"&gt;=1")+COUNTIFS('2_개행동'!$AD$5:$AD$26,"ATT",'2_개행동'!$AE$5:$AE$26,"&gt;=1")+COUNTIFS('3_보호자행동'!$AD$5:$AD$35,"ATT",'3_보호자행동'!$AE$5:$AE$35,"&gt;=1"))=0,"",MAX(_xlfn.MAXIFS('1_바디시그널'!$AE$5:$AE$36,'1_바디시그널'!$AD$5:$AD$36,"ATT"),_xlfn.MAXIFS('2_개행동'!$AE$5:$AE$26,'2_개행동'!$AD$5:$AD$26,"ATT"),_xlfn.MAXIFS('3_보호자행동'!$AE$5:$AE$35,'3_보호자행동'!$AD$5:$AD$35,"ATT")))</f>
        <v/>
      </c>
      <c r="Q6" s="49">
        <f>IF((COUNTIFS('1_바디시그널'!$AD$5:$AD$36,"ATT",'1_바디시그널'!$AE$5:$AE$36,"&gt;=1")+COUNTIFS('2_개행동'!$AD$5:$AD$26,"ATT",'2_개행동'!$AE$5:$AE$26,"&gt;=1")+COUNTIFS('3_보호자행동'!$AD$5:$AD$35,"ATT",'3_보호자행동'!$AE$5:$AE$35,"&gt;=1"))=0,"",ROUND((SUMIFS('1_바디시그널'!$AE$5:$AE$36,'1_바디시그널'!$AD$5:$AD$36,"ATT",'1_바디시그널'!$AE$5:$AE$36,"&gt;=1")+SUMIFS('2_개행동'!$AE$5:$AE$26,'2_개행동'!$AD$5:$AD$26,"ATT",'2_개행동'!$AE$5:$AE$26,"&gt;=1")+SUMIFS('3_보호자행동'!$AE$5:$AE$35,'3_보호자행동'!$AD$5:$AD$35,"ATT",'3_보호자행동'!$AE$5:$AE$35,"&gt;=1"))/(COUNTIFS('1_바디시그널'!$AD$5:$AD$36,"ATT",'1_바디시그널'!$AE$5:$AE$36,"&gt;=1")+COUNTIFS('2_개행동'!$AD$5:$AD$26,"ATT",'2_개행동'!$AE$5:$AE$26,"&gt;=1")+COUNTIFS('3_보호자행동'!$AD$5:$AD$35,"ATT",'3_보호자행동'!$AE$5:$AE$35,"&gt;=1")),2))</f>
        <v/>
      </c>
      <c r="R6" s="49">
        <f>IF((COUNTIFS('1_바디시그널'!$AD$5:$AD$36,"ATT",'1_바디시그널'!$AE$5:$AE$36,"&gt;=1")+COUNTIFS('2_개행동'!$AD$5:$AD$26,"ATT",'2_개행동'!$AE$5:$AE$26,"&gt;=1")+COUNTIFS('3_보호자행동'!$AD$5:$AD$35,"ATT",'3_보호자행동'!$AE$5:$AE$35,"&gt;=1"))=0,"",IF((SUMIFS('1_바디시그널'!$AE$5:$AE$36,'1_바디시그널'!$AD$5:$AD$36,"ATT",'1_바디시그널'!$AY$5:$AY$36,"A")+SUMIFS('2_개행동'!$AE$5:$AE$26,'2_개행동'!$AD$5:$AD$26,"ATT",'2_개행동'!$AY$5:$AY$26,"A")+SUMIFS('3_보호자행동'!$AE$5:$AE$35,'3_보호자행동'!$AD$5:$AD$35,"ATT",'3_보호자행동'!$AY$5:$AY$35,"A"))&gt;(SUMIFS('1_바디시그널'!$AE$5:$AE$36,'1_바디시그널'!$AD$5:$AD$36,"ATT",'1_바디시그널'!$AY$5:$AY$36,"B")+SUMIFS('2_개행동'!$AE$5:$AE$26,'2_개행동'!$AD$5:$AD$26,"ATT",'2_개행동'!$AY$5:$AY$26,"B")+SUMIFS('3_보호자행동'!$AE$5:$AE$35,'3_보호자행동'!$AD$5:$AD$35,"ATT",'3_보호자행동'!$AY$5:$AY$35,"B")),"A",IF((SUMIFS('1_바디시그널'!$AE$5:$AE$36,'1_바디시그널'!$AD$5:$AD$36,"ATT",'1_바디시그널'!$AY$5:$AY$36,"B")+SUMIFS('2_개행동'!$AE$5:$AE$26,'2_개행동'!$AD$5:$AD$26,"ATT",'2_개행동'!$AY$5:$AY$26,"B")+SUMIFS('3_보호자행동'!$AE$5:$AE$35,'3_보호자행동'!$AD$5:$AD$35,"ATT",'3_보호자행동'!$AY$5:$AY$35,"B"))&gt;(SUMIFS('1_바디시그널'!$AE$5:$AE$36,'1_바디시그널'!$AD$5:$AD$36,"ATT",'1_바디시그널'!$AY$5:$AY$36,"A")+SUMIFS('2_개행동'!$AE$5:$AE$26,'2_개행동'!$AD$5:$AD$26,"ATT",'2_개행동'!$AY$5:$AY$26,"A")+SUMIFS('3_보호자행동'!$AE$5:$AE$35,'3_보호자행동'!$AD$5:$AD$35,"ATT",'3_보호자행동'!$AY$5:$AY$35,"A")),"B","-")))</f>
        <v/>
      </c>
      <c r="S6" s="49">
        <f>IF((COUNTIFS('1_바디시그널'!$AD$5:$AD$36,"CON",'1_바디시그널'!$AE$5:$AE$36,"&gt;=1")+COUNTIFS('2_개행동'!$AD$5:$AD$26,"CON",'2_개행동'!$AE$5:$AE$26,"&gt;=1")+COUNTIFS('3_보호자행동'!$AD$5:$AD$35,"CON",'3_보호자행동'!$AE$5:$AE$35,"&gt;=1"))=0,"",MAX(_xlfn.MAXIFS('1_바디시그널'!$AE$5:$AE$36,'1_바디시그널'!$AD$5:$AD$36,"CON"),_xlfn.MAXIFS('2_개행동'!$AE$5:$AE$26,'2_개행동'!$AD$5:$AD$26,"CON"),_xlfn.MAXIFS('3_보호자행동'!$AE$5:$AE$35,'3_보호자행동'!$AD$5:$AD$35,"CON")))</f>
        <v/>
      </c>
      <c r="T6" s="49">
        <f>IF((COUNTIFS('1_바디시그널'!$AD$5:$AD$36,"CON",'1_바디시그널'!$AE$5:$AE$36,"&gt;=1")+COUNTIFS('2_개행동'!$AD$5:$AD$26,"CON",'2_개행동'!$AE$5:$AE$26,"&gt;=1")+COUNTIFS('3_보호자행동'!$AD$5:$AD$35,"CON",'3_보호자행동'!$AE$5:$AE$35,"&gt;=1"))=0,"",ROUND((SUMIFS('1_바디시그널'!$AE$5:$AE$36,'1_바디시그널'!$AD$5:$AD$36,"CON",'1_바디시그널'!$AE$5:$AE$36,"&gt;=1")+SUMIFS('2_개행동'!$AE$5:$AE$26,'2_개행동'!$AD$5:$AD$26,"CON",'2_개행동'!$AE$5:$AE$26,"&gt;=1")+SUMIFS('3_보호자행동'!$AE$5:$AE$35,'3_보호자행동'!$AD$5:$AD$35,"CON",'3_보호자행동'!$AE$5:$AE$35,"&gt;=1"))/(COUNTIFS('1_바디시그널'!$AD$5:$AD$36,"CON",'1_바디시그널'!$AE$5:$AE$36,"&gt;=1")+COUNTIFS('2_개행동'!$AD$5:$AD$26,"CON",'2_개행동'!$AE$5:$AE$26,"&gt;=1")+COUNTIFS('3_보호자행동'!$AD$5:$AD$35,"CON",'3_보호자행동'!$AE$5:$AE$35,"&gt;=1")),2))</f>
        <v/>
      </c>
      <c r="U6" s="49">
        <f>IF((COUNTIFS('1_바디시그널'!$AD$5:$AD$36,"CON",'1_바디시그널'!$AE$5:$AE$36,"&gt;=1")+COUNTIFS('2_개행동'!$AD$5:$AD$26,"CON",'2_개행동'!$AE$5:$AE$26,"&gt;=1")+COUNTIFS('3_보호자행동'!$AD$5:$AD$35,"CON",'3_보호자행동'!$AE$5:$AE$35,"&gt;=1"))=0,"",IF((SUMIFS('1_바디시그널'!$AE$5:$AE$36,'1_바디시그널'!$AD$5:$AD$36,"CON",'1_바디시그널'!$AY$5:$AY$36,"A")+SUMIFS('2_개행동'!$AE$5:$AE$26,'2_개행동'!$AD$5:$AD$26,"CON",'2_개행동'!$AY$5:$AY$26,"A")+SUMIFS('3_보호자행동'!$AE$5:$AE$35,'3_보호자행동'!$AD$5:$AD$35,"CON",'3_보호자행동'!$AY$5:$AY$35,"A"))&gt;(SUMIFS('1_바디시그널'!$AE$5:$AE$36,'1_바디시그널'!$AD$5:$AD$36,"CON",'1_바디시그널'!$AY$5:$AY$36,"B")+SUMIFS('2_개행동'!$AE$5:$AE$26,'2_개행동'!$AD$5:$AD$26,"CON",'2_개행동'!$AY$5:$AY$26,"B")+SUMIFS('3_보호자행동'!$AE$5:$AE$35,'3_보호자행동'!$AD$5:$AD$35,"CON",'3_보호자행동'!$AY$5:$AY$35,"B")),"A",IF((SUMIFS('1_바디시그널'!$AE$5:$AE$36,'1_바디시그널'!$AD$5:$AD$36,"CON",'1_바디시그널'!$AY$5:$AY$36,"B")+SUMIFS('2_개행동'!$AE$5:$AE$26,'2_개행동'!$AD$5:$AD$26,"CON",'2_개행동'!$AY$5:$AY$26,"B")+SUMIFS('3_보호자행동'!$AE$5:$AE$35,'3_보호자행동'!$AD$5:$AD$35,"CON",'3_보호자행동'!$AY$5:$AY$35,"B"))&gt;(SUMIFS('1_바디시그널'!$AE$5:$AE$36,'1_바디시그널'!$AD$5:$AD$36,"CON",'1_바디시그널'!$AY$5:$AY$36,"A")+SUMIFS('2_개행동'!$AE$5:$AE$26,'2_개행동'!$AD$5:$AD$26,"CON",'2_개행동'!$AY$5:$AY$26,"A")+SUMIFS('3_보호자행동'!$AE$5:$AE$35,'3_보호자행동'!$AD$5:$AD$35,"CON",'3_보호자행동'!$AY$5:$AY$35,"A")),"B","-")))</f>
        <v/>
      </c>
      <c r="V6" s="48">
        <f>IF(COUNT(X6:AA6)=0,"",ROUND(MAX(X6:AA6)-MIN(X6:AA6),2))</f>
        <v/>
      </c>
      <c r="W6" s="47" t="n"/>
      <c r="X6" s="49">
        <f>IFERROR(SUMIFS('3_보호자행동'!$AE$5:$AE$35,'3_보호자행동'!$A$5:$A$35,"입장",'3_보호자행동'!$AE$5:$AE$35,"&gt;=1")/COUNTIFS('3_보호자행동'!$A$5:$A$35,"입장",'3_보호자행동'!$AE$5:$AE$35,"&gt;=1"),"")</f>
        <v/>
      </c>
      <c r="Y6" s="49">
        <f>IFERROR(SUMIFS('3_보호자행동'!$AE$5:$AE$35,'3_보호자행동'!$A$5:$A$35,"분리",'3_보호자행동'!$AE$5:$AE$35,"&gt;=1")/COUNTIFS('3_보호자행동'!$A$5:$A$35,"분리",'3_보호자행동'!$AE$5:$AE$35,"&gt;=1"),"")</f>
        <v/>
      </c>
      <c r="Z6" s="49">
        <f>IFERROR(SUMIFS('3_보호자행동'!$AE$5:$AE$35,'3_보호자행동'!$A$5:$A$35,"훈련",'3_보호자행동'!$AE$5:$AE$35,"&gt;=1")/COUNTIFS('3_보호자행동'!$A$5:$A$35,"훈련",'3_보호자행동'!$AE$5:$AE$35,"&gt;=1"),"")</f>
        <v/>
      </c>
      <c r="AA6" s="49">
        <f>IFERROR(SUMIFS('3_보호자행동'!$AE$5:$AE$35,'3_보호자행동'!$A$5:$A$35,"놀이",'3_보호자행동'!$AE$5:$AE$35,"&gt;=1")/COUNTIFS('3_보호자행동'!$A$5:$A$35,"놀이",'3_보호자행동'!$AE$5:$AE$35,"&gt;=1"),"")</f>
        <v/>
      </c>
      <c r="AB6">
        <f>IF((COUNTIFS('1_바디시그널'!$AD$5:$AD$36,"TRN",'1_바디시그널'!$AE$5:$AE$36,"&gt;=1")+COUNTIFS('2_개행동'!$AD$5:$AD$26,"TRN",'2_개행동'!$AE$5:$AE$26,"&gt;=1")+COUNTIFS('3_보호자행동'!$AD$5:$AD$35,"TRN",'3_보호자행동'!$AE$5:$AE$35,"&gt;=1"))=0,"",MAX(_xlfn.MAXIFS('1_바디시그널'!$AE$5:$AE$36,'1_바디시그널'!$AD$5:$AD$36,"TRN"),_xlfn.MAXIFS('2_개행동'!$AE$5:$AE$26,'2_개행동'!$AD$5:$AD$26,"TRN"),_xlfn.MAXIFS('3_보호자행동'!$AE$5:$AE$35,'3_보호자행동'!$AD$5:$AD$35,"TRN")))</f>
        <v/>
      </c>
      <c r="AC6">
        <f>IF((COUNTIFS('1_바디시그널'!$AD$5:$AD$36,"TRN",'1_바디시그널'!$AE$5:$AE$36,"&gt;=1")+COUNTIFS('2_개행동'!$AD$5:$AD$26,"TRN",'2_개행동'!$AE$5:$AE$26,"&gt;=1")+COUNTIFS('3_보호자행동'!$AD$5:$AD$35,"TRN",'3_보호자행동'!$AE$5:$AE$35,"&gt;=1"))=0,"",ROUND((SUMIFS('1_바디시그널'!$AE$5:$AE$36,'1_바디시그널'!$AD$5:$AD$36,"TRN",'1_바디시그널'!$AE$5:$AE$36,"&gt;=1")+SUMIFS('2_개행동'!$AE$5:$AE$26,'2_개행동'!$AD$5:$AD$26,"TRN",'2_개행동'!$AE$5:$AE$26,"&gt;=1")+SUMIFS('3_보호자행동'!$AE$5:$AE$35,'3_보호자행동'!$AD$5:$AD$35,"TRN",'3_보호자행동'!$AE$5:$AE$35,"&gt;=1"))/(COUNTIFS('1_바디시그널'!$AD$5:$AD$36,"TRN",'1_바디시그널'!$AE$5:$AE$36,"&gt;=1")+COUNTIFS('2_개행동'!$AD$5:$AD$26,"TRN",'2_개행동'!$AE$5:$AE$26,"&gt;=1")+COUNTIFS('3_보호자행동'!$AD$5:$AD$35,"TRN",'3_보호자행동'!$AE$5:$AE$35,"&gt;=1")),2))</f>
        <v/>
      </c>
      <c r="AD6">
        <f>IF((COUNTIFS('1_바디시그널'!$AD$5:$AD$36,"TRN",'1_바디시그널'!$AE$5:$AE$36,"&gt;=1")+COUNTIFS('2_개행동'!$AD$5:$AD$26,"TRN",'2_개행동'!$AE$5:$AE$26,"&gt;=1")+COUNTIFS('3_보호자행동'!$AD$5:$AD$35,"TRN",'3_보호자행동'!$AE$5:$AE$35,"&gt;=1"))=0,"",IF((SUMIFS('1_바디시그널'!$AE$5:$AE$36,'1_바디시그널'!$AD$5:$AD$36,"TRN",'1_바디시그널'!$AY$5:$AY$36,"A")+SUMIFS('2_개행동'!$AE$5:$AE$26,'2_개행동'!$AD$5:$AD$26,"TRN",'2_개행동'!$AY$5:$AY$26,"A")+SUMIFS('3_보호자행동'!$AE$5:$AE$35,'3_보호자행동'!$AD$5:$AD$35,"TRN",'3_보호자행동'!$AY$5:$AY$35,"A"))&gt;(SUMIFS('1_바디시그널'!$AE$5:$AE$36,'1_바디시그널'!$AD$5:$AD$36,"TRN",'1_바디시그널'!$AY$5:$AY$36,"B")+SUMIFS('2_개행동'!$AE$5:$AE$26,'2_개행동'!$AD$5:$AD$26,"TRN",'2_개행동'!$AY$5:$AY$26,"B")+SUMIFS('3_보호자행동'!$AE$5:$AE$35,'3_보호자행동'!$AD$5:$AD$35,"TRN",'3_보호자행동'!$AY$5:$AY$35,"B")),"A",IF((SUMIFS('1_바디시그널'!$AE$5:$AE$36,'1_바디시그널'!$AD$5:$AD$36,"TRN",'1_바디시그널'!$AY$5:$AY$36,"B")+SUMIFS('2_개행동'!$AE$5:$AE$26,'2_개행동'!$AD$5:$AD$26,"TRN",'2_개행동'!$AY$5:$AY$26,"B")+SUMIFS('3_보호자행동'!$AE$5:$AE$35,'3_보호자행동'!$AD$5:$AD$35,"TRN",'3_보호자행동'!$AY$5:$AY$35,"B"))&gt;(SUMIFS('1_바디시그널'!$AE$5:$AE$36,'1_바디시그널'!$AD$5:$AD$36,"TRN",'1_바디시그널'!$AY$5:$AY$36,"A")+SUMIFS('2_개행동'!$AE$5:$AE$26,'2_개행동'!$AD$5:$AD$26,"TRN",'2_개행동'!$AY$5:$AY$26,"A")+SUMIFS('3_보호자행동'!$AE$5:$AE$35,'3_보호자행동'!$AD$5:$AD$35,"TRN",'3_보호자행동'!$AY$5:$AY$35,"A")),"B","-")))</f>
        <v/>
      </c>
      <c r="AE6">
        <f>IF('2_개행동'!$J$11="","",'2_개행동'!$J$11&amp;IF('2_개행동'!$J$11=3," [B]",IF('2_개행동'!$J$11=1,""," [A]")))</f>
        <v/>
      </c>
    </row>
    <row r="7" ht="18.75" customHeight="1" s="1">
      <c r="A7" s="46" t="n">
        <v>2</v>
      </c>
      <c r="B7" s="47" t="n"/>
      <c r="C7" s="47" t="n"/>
      <c r="D7" s="48">
        <f>IF((COUNTIFS('1_바디시그널'!$AD$5:$AD$36,"EDU",'1_바디시그널'!$AF$5:$AF$36,"&gt;=1")+COUNTIFS('2_개행동'!$AD$5:$AD$26,"EDU",'2_개행동'!$AF$5:$AF$26,"&gt;=1")+COUNTIFS('3_보호자행동'!$AD$5:$AD$35,"EDU",'3_보호자행동'!$AF$5:$AF$35,"&gt;=1"))=0,"",MAX(_xlfn.MAXIFS('1_바디시그널'!$AF$5:$AF$36,'1_바디시그널'!$AD$5:$AD$36,"EDU"),_xlfn.MAXIFS('2_개행동'!$AF$5:$AF$26,'2_개행동'!$AD$5:$AD$26,"EDU"),_xlfn.MAXIFS('3_보호자행동'!$AF$5:$AF$35,'3_보호자행동'!$AD$5:$AD$35,"EDU")))</f>
        <v/>
      </c>
      <c r="E7" s="49">
        <f>IF((COUNTIFS('1_바디시그널'!$AD$5:$AD$36,"EDU",'1_바디시그널'!$AF$5:$AF$36,"&gt;=1")+COUNTIFS('2_개행동'!$AD$5:$AD$26,"EDU",'2_개행동'!$AF$5:$AF$26,"&gt;=1")+COUNTIFS('3_보호자행동'!$AD$5:$AD$35,"EDU",'3_보호자행동'!$AF$5:$AF$35,"&gt;=1"))=0,"",ROUND((SUMIFS('1_바디시그널'!$AF$5:$AF$36,'1_바디시그널'!$AD$5:$AD$36,"EDU",'1_바디시그널'!$AF$5:$AF$36,"&gt;=1")+SUMIFS('2_개행동'!$AF$5:$AF$26,'2_개행동'!$AD$5:$AD$26,"EDU",'2_개행동'!$AF$5:$AF$26,"&gt;=1")+SUMIFS('3_보호자행동'!$AF$5:$AF$35,'3_보호자행동'!$AD$5:$AD$35,"EDU",'3_보호자행동'!$AF$5:$AF$35,"&gt;=1"))/(COUNTIFS('1_바디시그널'!$AD$5:$AD$36,"EDU",'1_바디시그널'!$AF$5:$AF$36,"&gt;=1")+COUNTIFS('2_개행동'!$AD$5:$AD$26,"EDU",'2_개행동'!$AF$5:$AF$26,"&gt;=1")+COUNTIFS('3_보호자행동'!$AD$5:$AD$35,"EDU",'3_보호자행동'!$AF$5:$AF$35,"&gt;=1")),2))</f>
        <v/>
      </c>
      <c r="F7" s="49">
        <f>IF((COUNTIFS('1_바디시그널'!$AD$5:$AD$36,"EDU",'1_바디시그널'!$AF$5:$AF$36,"&gt;=1")+COUNTIFS('2_개행동'!$AD$5:$AD$26,"EDU",'2_개행동'!$AF$5:$AF$26,"&gt;=1")+COUNTIFS('3_보호자행동'!$AD$5:$AD$35,"EDU",'3_보호자행동'!$AF$5:$AF$35,"&gt;=1"))=0,"",IF((SUMIFS('1_바디시그널'!$AF$5:$AF$36,'1_바디시그널'!$AD$5:$AD$36,"EDU",'1_바디시그널'!$AZ$5:$AZ$36,"A")+SUMIFS('2_개행동'!$AF$5:$AF$26,'2_개행동'!$AD$5:$AD$26,"EDU",'2_개행동'!$AZ$5:$AZ$26,"A")+SUMIFS('3_보호자행동'!$AF$5:$AF$35,'3_보호자행동'!$AD$5:$AD$35,"EDU",'3_보호자행동'!$AZ$5:$AZ$35,"A"))&gt;(SUMIFS('1_바디시그널'!$AF$5:$AF$36,'1_바디시그널'!$AD$5:$AD$36,"EDU",'1_바디시그널'!$AZ$5:$AZ$36,"B")+SUMIFS('2_개행동'!$AF$5:$AF$26,'2_개행동'!$AD$5:$AD$26,"EDU",'2_개행동'!$AZ$5:$AZ$26,"B")+SUMIFS('3_보호자행동'!$AF$5:$AF$35,'3_보호자행동'!$AD$5:$AD$35,"EDU",'3_보호자행동'!$AZ$5:$AZ$35,"B")),"A",IF((SUMIFS('1_바디시그널'!$AF$5:$AF$36,'1_바디시그널'!$AD$5:$AD$36,"EDU",'1_바디시그널'!$AZ$5:$AZ$36,"B")+SUMIFS('2_개행동'!$AF$5:$AF$26,'2_개행동'!$AD$5:$AD$26,"EDU",'2_개행동'!$AZ$5:$AZ$26,"B")+SUMIFS('3_보호자행동'!$AF$5:$AF$35,'3_보호자행동'!$AD$5:$AD$35,"EDU",'3_보호자행동'!$AZ$5:$AZ$35,"B"))&gt;(SUMIFS('1_바디시그널'!$AF$5:$AF$36,'1_바디시그널'!$AD$5:$AD$36,"EDU",'1_바디시그널'!$AZ$5:$AZ$36,"A")+SUMIFS('2_개행동'!$AF$5:$AF$26,'2_개행동'!$AD$5:$AD$26,"EDU",'2_개행동'!$AZ$5:$AZ$26,"A")+SUMIFS('3_보호자행동'!$AF$5:$AF$35,'3_보호자행동'!$AD$5:$AD$35,"EDU",'3_보호자행동'!$AZ$5:$AZ$35,"A")),"B","-")))</f>
        <v/>
      </c>
      <c r="G7" s="49">
        <f>IF((COUNTIFS('1_바디시그널'!$AD$5:$AD$36,"SOC_P",'1_바디시그널'!$AF$5:$AF$36,"&gt;=1")+COUNTIFS('2_개행동'!$AD$5:$AD$26,"SOC_P",'2_개행동'!$AF$5:$AF$26,"&gt;=1")+COUNTIFS('3_보호자행동'!$AD$5:$AD$35,"SOC_P",'3_보호자행동'!$AF$5:$AF$35,"&gt;=1"))=0,"",MAX(_xlfn.MAXIFS('1_바디시그널'!$AF$5:$AF$36,'1_바디시그널'!$AD$5:$AD$36,"SOC_P"),_xlfn.MAXIFS('2_개행동'!$AF$5:$AF$26,'2_개행동'!$AD$5:$AD$26,"SOC_P"),_xlfn.MAXIFS('3_보호자행동'!$AF$5:$AF$35,'3_보호자행동'!$AD$5:$AD$35,"SOC_P")))</f>
        <v/>
      </c>
      <c r="H7" s="49">
        <f>IF((COUNTIFS('1_바디시그널'!$AD$5:$AD$36,"SOC_P",'1_바디시그널'!$AF$5:$AF$36,"&gt;=1")+COUNTIFS('2_개행동'!$AD$5:$AD$26,"SOC_P",'2_개행동'!$AF$5:$AF$26,"&gt;=1")+COUNTIFS('3_보호자행동'!$AD$5:$AD$35,"SOC_P",'3_보호자행동'!$AF$5:$AF$35,"&gt;=1"))=0,"",ROUND((SUMIFS('1_바디시그널'!$AF$5:$AF$36,'1_바디시그널'!$AD$5:$AD$36,"SOC_P",'1_바디시그널'!$AF$5:$AF$36,"&gt;=1")+SUMIFS('2_개행동'!$AF$5:$AF$26,'2_개행동'!$AD$5:$AD$26,"SOC_P",'2_개행동'!$AF$5:$AF$26,"&gt;=1")+SUMIFS('3_보호자행동'!$AF$5:$AF$35,'3_보호자행동'!$AD$5:$AD$35,"SOC_P",'3_보호자행동'!$AF$5:$AF$35,"&gt;=1"))/(COUNTIFS('1_바디시그널'!$AD$5:$AD$36,"SOC_P",'1_바디시그널'!$AF$5:$AF$36,"&gt;=1")+COUNTIFS('2_개행동'!$AD$5:$AD$26,"SOC_P",'2_개행동'!$AF$5:$AF$26,"&gt;=1")+COUNTIFS('3_보호자행동'!$AD$5:$AD$35,"SOC_P",'3_보호자행동'!$AF$5:$AF$35,"&gt;=1")),2))</f>
        <v/>
      </c>
      <c r="I7" s="49">
        <f>IF((COUNTIFS('1_바디시그널'!$AD$5:$AD$36,"SOC_P",'1_바디시그널'!$AF$5:$AF$36,"&gt;=1")+COUNTIFS('2_개행동'!$AD$5:$AD$26,"SOC_P",'2_개행동'!$AF$5:$AF$26,"&gt;=1")+COUNTIFS('3_보호자행동'!$AD$5:$AD$35,"SOC_P",'3_보호자행동'!$AF$5:$AF$35,"&gt;=1"))=0,"",IF((SUMIFS('1_바디시그널'!$AF$5:$AF$36,'1_바디시그널'!$AD$5:$AD$36,"SOC_P",'1_바디시그널'!$AZ$5:$AZ$36,"A")+SUMIFS('2_개행동'!$AF$5:$AF$26,'2_개행동'!$AD$5:$AD$26,"SOC_P",'2_개행동'!$AZ$5:$AZ$26,"A")+SUMIFS('3_보호자행동'!$AF$5:$AF$35,'3_보호자행동'!$AD$5:$AD$35,"SOC_P",'3_보호자행동'!$AZ$5:$AZ$35,"A"))&gt;(SUMIFS('1_바디시그널'!$AF$5:$AF$36,'1_바디시그널'!$AD$5:$AD$36,"SOC_P",'1_바디시그널'!$AZ$5:$AZ$36,"B")+SUMIFS('2_개행동'!$AF$5:$AF$26,'2_개행동'!$AD$5:$AD$26,"SOC_P",'2_개행동'!$AZ$5:$AZ$26,"B")+SUMIFS('3_보호자행동'!$AF$5:$AF$35,'3_보호자행동'!$AD$5:$AD$35,"SOC_P",'3_보호자행동'!$AZ$5:$AZ$35,"B")),"A",IF((SUMIFS('1_바디시그널'!$AF$5:$AF$36,'1_바디시그널'!$AD$5:$AD$36,"SOC_P",'1_바디시그널'!$AZ$5:$AZ$36,"B")+SUMIFS('2_개행동'!$AF$5:$AF$26,'2_개행동'!$AD$5:$AD$26,"SOC_P",'2_개행동'!$AZ$5:$AZ$26,"B")+SUMIFS('3_보호자행동'!$AF$5:$AF$35,'3_보호자행동'!$AD$5:$AD$35,"SOC_P",'3_보호자행동'!$AZ$5:$AZ$35,"B"))&gt;(SUMIFS('1_바디시그널'!$AF$5:$AF$36,'1_바디시그널'!$AD$5:$AD$36,"SOC_P",'1_바디시그널'!$AZ$5:$AZ$36,"A")+SUMIFS('2_개행동'!$AF$5:$AF$26,'2_개행동'!$AD$5:$AD$26,"SOC_P",'2_개행동'!$AZ$5:$AZ$26,"A")+SUMIFS('3_보호자행동'!$AF$5:$AF$35,'3_보호자행동'!$AD$5:$AD$35,"SOC_P",'3_보호자행동'!$AZ$5:$AZ$35,"A")),"B","-")))</f>
        <v/>
      </c>
      <c r="J7" s="49">
        <f>IF((COUNTIFS('1_바디시그널'!$AD$5:$AD$36,"SOC_D",'1_바디시그널'!$AF$5:$AF$36,"&gt;=1")+COUNTIFS('2_개행동'!$AD$5:$AD$26,"SOC_D",'2_개행동'!$AF$5:$AF$26,"&gt;=1")+COUNTIFS('3_보호자행동'!$AD$5:$AD$35,"SOC_D",'3_보호자행동'!$AF$5:$AF$35,"&gt;=1"))=0,"",MAX(_xlfn.MAXIFS('1_바디시그널'!$AF$5:$AF$36,'1_바디시그널'!$AD$5:$AD$36,"SOC_D"),_xlfn.MAXIFS('2_개행동'!$AF$5:$AF$26,'2_개행동'!$AD$5:$AD$26,"SOC_D"),_xlfn.MAXIFS('3_보호자행동'!$AF$5:$AF$35,'3_보호자행동'!$AD$5:$AD$35,"SOC_D")))</f>
        <v/>
      </c>
      <c r="K7" s="49">
        <f>IF((COUNTIFS('1_바디시그널'!$AD$5:$AD$36,"SOC_D",'1_바디시그널'!$AF$5:$AF$36,"&gt;=1")+COUNTIFS('2_개행동'!$AD$5:$AD$26,"SOC_D",'2_개행동'!$AF$5:$AF$26,"&gt;=1")+COUNTIFS('3_보호자행동'!$AD$5:$AD$35,"SOC_D",'3_보호자행동'!$AF$5:$AF$35,"&gt;=1"))=0,"",ROUND((SUMIFS('1_바디시그널'!$AF$5:$AF$36,'1_바디시그널'!$AD$5:$AD$36,"SOC_D",'1_바디시그널'!$AF$5:$AF$36,"&gt;=1")+SUMIFS('2_개행동'!$AF$5:$AF$26,'2_개행동'!$AD$5:$AD$26,"SOC_D",'2_개행동'!$AF$5:$AF$26,"&gt;=1")+SUMIFS('3_보호자행동'!$AF$5:$AF$35,'3_보호자행동'!$AD$5:$AD$35,"SOC_D",'3_보호자행동'!$AF$5:$AF$35,"&gt;=1"))/(COUNTIFS('1_바디시그널'!$AD$5:$AD$36,"SOC_D",'1_바디시그널'!$AF$5:$AF$36,"&gt;=1")+COUNTIFS('2_개행동'!$AD$5:$AD$26,"SOC_D",'2_개행동'!$AF$5:$AF$26,"&gt;=1")+COUNTIFS('3_보호자행동'!$AD$5:$AD$35,"SOC_D",'3_보호자행동'!$AF$5:$AF$35,"&gt;=1")),2))</f>
        <v/>
      </c>
      <c r="L7" s="49">
        <f>IF((COUNTIFS('1_바디시그널'!$AD$5:$AD$36,"SOC_D",'1_바디시그널'!$AF$5:$AF$36,"&gt;=1")+COUNTIFS('2_개행동'!$AD$5:$AD$26,"SOC_D",'2_개행동'!$AF$5:$AF$26,"&gt;=1")+COUNTIFS('3_보호자행동'!$AD$5:$AD$35,"SOC_D",'3_보호자행동'!$AF$5:$AF$35,"&gt;=1"))=0,"",IF((SUMIFS('1_바디시그널'!$AF$5:$AF$36,'1_바디시그널'!$AD$5:$AD$36,"SOC_D",'1_바디시그널'!$AZ$5:$AZ$36,"A")+SUMIFS('2_개행동'!$AF$5:$AF$26,'2_개행동'!$AD$5:$AD$26,"SOC_D",'2_개행동'!$AZ$5:$AZ$26,"A")+SUMIFS('3_보호자행동'!$AF$5:$AF$35,'3_보호자행동'!$AD$5:$AD$35,"SOC_D",'3_보호자행동'!$AZ$5:$AZ$35,"A"))&gt;(SUMIFS('1_바디시그널'!$AF$5:$AF$36,'1_바디시그널'!$AD$5:$AD$36,"SOC_D",'1_바디시그널'!$AZ$5:$AZ$36,"B")+SUMIFS('2_개행동'!$AF$5:$AF$26,'2_개행동'!$AD$5:$AD$26,"SOC_D",'2_개행동'!$AZ$5:$AZ$26,"B")+SUMIFS('3_보호자행동'!$AF$5:$AF$35,'3_보호자행동'!$AD$5:$AD$35,"SOC_D",'3_보호자행동'!$AZ$5:$AZ$35,"B")),"A",IF((SUMIFS('1_바디시그널'!$AF$5:$AF$36,'1_바디시그널'!$AD$5:$AD$36,"SOC_D",'1_바디시그널'!$AZ$5:$AZ$36,"B")+SUMIFS('2_개행동'!$AF$5:$AF$26,'2_개행동'!$AD$5:$AD$26,"SOC_D",'2_개행동'!$AZ$5:$AZ$26,"B")+SUMIFS('3_보호자행동'!$AF$5:$AF$35,'3_보호자행동'!$AD$5:$AD$35,"SOC_D",'3_보호자행동'!$AZ$5:$AZ$35,"B"))&gt;(SUMIFS('1_바디시그널'!$AF$5:$AF$36,'1_바디시그널'!$AD$5:$AD$36,"SOC_D",'1_바디시그널'!$AZ$5:$AZ$36,"A")+SUMIFS('2_개행동'!$AF$5:$AF$26,'2_개행동'!$AD$5:$AD$26,"SOC_D",'2_개행동'!$AZ$5:$AZ$26,"A")+SUMIFS('3_보호자행동'!$AF$5:$AF$35,'3_보호자행동'!$AD$5:$AD$35,"SOC_D",'3_보호자행동'!$AZ$5:$AZ$35,"A")),"B","-")))</f>
        <v/>
      </c>
      <c r="M7" s="49">
        <f>IF((COUNTIFS('1_바디시그널'!$AD$5:$AD$36,"SOC_E",'1_바디시그널'!$AF$5:$AF$36,"&gt;=1")+COUNTIFS('2_개행동'!$AD$5:$AD$26,"SOC_E",'2_개행동'!$AF$5:$AF$26,"&gt;=1")+COUNTIFS('3_보호자행동'!$AD$5:$AD$35,"SOC_E",'3_보호자행동'!$AF$5:$AF$35,"&gt;=1"))=0,"",MAX(_xlfn.MAXIFS('1_바디시그널'!$AF$5:$AF$36,'1_바디시그널'!$AD$5:$AD$36,"SOC_E"),_xlfn.MAXIFS('2_개행동'!$AF$5:$AF$26,'2_개행동'!$AD$5:$AD$26,"SOC_E"),_xlfn.MAXIFS('3_보호자행동'!$AF$5:$AF$35,'3_보호자행동'!$AD$5:$AD$35,"SOC_E")))</f>
        <v/>
      </c>
      <c r="N7" s="49">
        <f>IF((COUNTIFS('1_바디시그널'!$AD$5:$AD$36,"SOC_E",'1_바디시그널'!$AF$5:$AF$36,"&gt;=1")+COUNTIFS('2_개행동'!$AD$5:$AD$26,"SOC_E",'2_개행동'!$AF$5:$AF$26,"&gt;=1")+COUNTIFS('3_보호자행동'!$AD$5:$AD$35,"SOC_E",'3_보호자행동'!$AF$5:$AF$35,"&gt;=1"))=0,"",ROUND((SUMIFS('1_바디시그널'!$AF$5:$AF$36,'1_바디시그널'!$AD$5:$AD$36,"SOC_E",'1_바디시그널'!$AF$5:$AF$36,"&gt;=1")+SUMIFS('2_개행동'!$AF$5:$AF$26,'2_개행동'!$AD$5:$AD$26,"SOC_E",'2_개행동'!$AF$5:$AF$26,"&gt;=1")+SUMIFS('3_보호자행동'!$AF$5:$AF$35,'3_보호자행동'!$AD$5:$AD$35,"SOC_E",'3_보호자행동'!$AF$5:$AF$35,"&gt;=1"))/(COUNTIFS('1_바디시그널'!$AD$5:$AD$36,"SOC_E",'1_바디시그널'!$AF$5:$AF$36,"&gt;=1")+COUNTIFS('2_개행동'!$AD$5:$AD$26,"SOC_E",'2_개행동'!$AF$5:$AF$26,"&gt;=1")+COUNTIFS('3_보호자행동'!$AD$5:$AD$35,"SOC_E",'3_보호자행동'!$AF$5:$AF$35,"&gt;=1")),2))</f>
        <v/>
      </c>
      <c r="O7" s="49">
        <f>IF((COUNTIFS('1_바디시그널'!$AD$5:$AD$36,"SOC_E",'1_바디시그널'!$AF$5:$AF$36,"&gt;=1")+COUNTIFS('2_개행동'!$AD$5:$AD$26,"SOC_E",'2_개행동'!$AF$5:$AF$26,"&gt;=1")+COUNTIFS('3_보호자행동'!$AD$5:$AD$35,"SOC_E",'3_보호자행동'!$AF$5:$AF$35,"&gt;=1"))=0,"",IF((SUMIFS('1_바디시그널'!$AF$5:$AF$36,'1_바디시그널'!$AD$5:$AD$36,"SOC_E",'1_바디시그널'!$AZ$5:$AZ$36,"A")+SUMIFS('2_개행동'!$AF$5:$AF$26,'2_개행동'!$AD$5:$AD$26,"SOC_E",'2_개행동'!$AZ$5:$AZ$26,"A")+SUMIFS('3_보호자행동'!$AF$5:$AF$35,'3_보호자행동'!$AD$5:$AD$35,"SOC_E",'3_보호자행동'!$AZ$5:$AZ$35,"A"))&gt;(SUMIFS('1_바디시그널'!$AF$5:$AF$36,'1_바디시그널'!$AD$5:$AD$36,"SOC_E",'1_바디시그널'!$AZ$5:$AZ$36,"B")+SUMIFS('2_개행동'!$AF$5:$AF$26,'2_개행동'!$AD$5:$AD$26,"SOC_E",'2_개행동'!$AZ$5:$AZ$26,"B")+SUMIFS('3_보호자행동'!$AF$5:$AF$35,'3_보호자행동'!$AD$5:$AD$35,"SOC_E",'3_보호자행동'!$AZ$5:$AZ$35,"B")),"A",IF((SUMIFS('1_바디시그널'!$AF$5:$AF$36,'1_바디시그널'!$AD$5:$AD$36,"SOC_E",'1_바디시그널'!$AZ$5:$AZ$36,"B")+SUMIFS('2_개행동'!$AF$5:$AF$26,'2_개행동'!$AD$5:$AD$26,"SOC_E",'2_개행동'!$AZ$5:$AZ$26,"B")+SUMIFS('3_보호자행동'!$AF$5:$AF$35,'3_보호자행동'!$AD$5:$AD$35,"SOC_E",'3_보호자행동'!$AZ$5:$AZ$35,"B"))&gt;(SUMIFS('1_바디시그널'!$AF$5:$AF$36,'1_바디시그널'!$AD$5:$AD$36,"SOC_E",'1_바디시그널'!$AZ$5:$AZ$36,"A")+SUMIFS('2_개행동'!$AF$5:$AF$26,'2_개행동'!$AD$5:$AD$26,"SOC_E",'2_개행동'!$AZ$5:$AZ$26,"A")+SUMIFS('3_보호자행동'!$AF$5:$AF$35,'3_보호자행동'!$AD$5:$AD$35,"SOC_E",'3_보호자행동'!$AZ$5:$AZ$35,"A")),"B","-")))</f>
        <v/>
      </c>
      <c r="P7" s="49">
        <f>IF((COUNTIFS('1_바디시그널'!$AD$5:$AD$36,"ATT",'1_바디시그널'!$AF$5:$AF$36,"&gt;=1")+COUNTIFS('2_개행동'!$AD$5:$AD$26,"ATT",'2_개행동'!$AF$5:$AF$26,"&gt;=1")+COUNTIFS('3_보호자행동'!$AD$5:$AD$35,"ATT",'3_보호자행동'!$AF$5:$AF$35,"&gt;=1"))=0,"",MAX(_xlfn.MAXIFS('1_바디시그널'!$AF$5:$AF$36,'1_바디시그널'!$AD$5:$AD$36,"ATT"),_xlfn.MAXIFS('2_개행동'!$AF$5:$AF$26,'2_개행동'!$AD$5:$AD$26,"ATT"),_xlfn.MAXIFS('3_보호자행동'!$AF$5:$AF$35,'3_보호자행동'!$AD$5:$AD$35,"ATT")))</f>
        <v/>
      </c>
      <c r="Q7" s="49">
        <f>IF((COUNTIFS('1_바디시그널'!$AD$5:$AD$36,"ATT",'1_바디시그널'!$AF$5:$AF$36,"&gt;=1")+COUNTIFS('2_개행동'!$AD$5:$AD$26,"ATT",'2_개행동'!$AF$5:$AF$26,"&gt;=1")+COUNTIFS('3_보호자행동'!$AD$5:$AD$35,"ATT",'3_보호자행동'!$AF$5:$AF$35,"&gt;=1"))=0,"",ROUND((SUMIFS('1_바디시그널'!$AF$5:$AF$36,'1_바디시그널'!$AD$5:$AD$36,"ATT",'1_바디시그널'!$AF$5:$AF$36,"&gt;=1")+SUMIFS('2_개행동'!$AF$5:$AF$26,'2_개행동'!$AD$5:$AD$26,"ATT",'2_개행동'!$AF$5:$AF$26,"&gt;=1")+SUMIFS('3_보호자행동'!$AF$5:$AF$35,'3_보호자행동'!$AD$5:$AD$35,"ATT",'3_보호자행동'!$AF$5:$AF$35,"&gt;=1"))/(COUNTIFS('1_바디시그널'!$AD$5:$AD$36,"ATT",'1_바디시그널'!$AF$5:$AF$36,"&gt;=1")+COUNTIFS('2_개행동'!$AD$5:$AD$26,"ATT",'2_개행동'!$AF$5:$AF$26,"&gt;=1")+COUNTIFS('3_보호자행동'!$AD$5:$AD$35,"ATT",'3_보호자행동'!$AF$5:$AF$35,"&gt;=1")),2))</f>
        <v/>
      </c>
      <c r="R7" s="49">
        <f>IF((COUNTIFS('1_바디시그널'!$AD$5:$AD$36,"ATT",'1_바디시그널'!$AF$5:$AF$36,"&gt;=1")+COUNTIFS('2_개행동'!$AD$5:$AD$26,"ATT",'2_개행동'!$AF$5:$AF$26,"&gt;=1")+COUNTIFS('3_보호자행동'!$AD$5:$AD$35,"ATT",'3_보호자행동'!$AF$5:$AF$35,"&gt;=1"))=0,"",IF((SUMIFS('1_바디시그널'!$AF$5:$AF$36,'1_바디시그널'!$AD$5:$AD$36,"ATT",'1_바디시그널'!$AZ$5:$AZ$36,"A")+SUMIFS('2_개행동'!$AF$5:$AF$26,'2_개행동'!$AD$5:$AD$26,"ATT",'2_개행동'!$AZ$5:$AZ$26,"A")+SUMIFS('3_보호자행동'!$AF$5:$AF$35,'3_보호자행동'!$AD$5:$AD$35,"ATT",'3_보호자행동'!$AZ$5:$AZ$35,"A"))&gt;(SUMIFS('1_바디시그널'!$AF$5:$AF$36,'1_바디시그널'!$AD$5:$AD$36,"ATT",'1_바디시그널'!$AZ$5:$AZ$36,"B")+SUMIFS('2_개행동'!$AF$5:$AF$26,'2_개행동'!$AD$5:$AD$26,"ATT",'2_개행동'!$AZ$5:$AZ$26,"B")+SUMIFS('3_보호자행동'!$AF$5:$AF$35,'3_보호자행동'!$AD$5:$AD$35,"ATT",'3_보호자행동'!$AZ$5:$AZ$35,"B")),"A",IF((SUMIFS('1_바디시그널'!$AF$5:$AF$36,'1_바디시그널'!$AD$5:$AD$36,"ATT",'1_바디시그널'!$AZ$5:$AZ$36,"B")+SUMIFS('2_개행동'!$AF$5:$AF$26,'2_개행동'!$AD$5:$AD$26,"ATT",'2_개행동'!$AZ$5:$AZ$26,"B")+SUMIFS('3_보호자행동'!$AF$5:$AF$35,'3_보호자행동'!$AD$5:$AD$35,"ATT",'3_보호자행동'!$AZ$5:$AZ$35,"B"))&gt;(SUMIFS('1_바디시그널'!$AF$5:$AF$36,'1_바디시그널'!$AD$5:$AD$36,"ATT",'1_바디시그널'!$AZ$5:$AZ$36,"A")+SUMIFS('2_개행동'!$AF$5:$AF$26,'2_개행동'!$AD$5:$AD$26,"ATT",'2_개행동'!$AZ$5:$AZ$26,"A")+SUMIFS('3_보호자행동'!$AF$5:$AF$35,'3_보호자행동'!$AD$5:$AD$35,"ATT",'3_보호자행동'!$AZ$5:$AZ$35,"A")),"B","-")))</f>
        <v/>
      </c>
      <c r="S7" s="49">
        <f>IF((COUNTIFS('1_바디시그널'!$AD$5:$AD$36,"CON",'1_바디시그널'!$AF$5:$AF$36,"&gt;=1")+COUNTIFS('2_개행동'!$AD$5:$AD$26,"CON",'2_개행동'!$AF$5:$AF$26,"&gt;=1")+COUNTIFS('3_보호자행동'!$AD$5:$AD$35,"CON",'3_보호자행동'!$AF$5:$AF$35,"&gt;=1"))=0,"",MAX(_xlfn.MAXIFS('1_바디시그널'!$AF$5:$AF$36,'1_바디시그널'!$AD$5:$AD$36,"CON"),_xlfn.MAXIFS('2_개행동'!$AF$5:$AF$26,'2_개행동'!$AD$5:$AD$26,"CON"),_xlfn.MAXIFS('3_보호자행동'!$AF$5:$AF$35,'3_보호자행동'!$AD$5:$AD$35,"CON")))</f>
        <v/>
      </c>
      <c r="T7" s="49">
        <f>IF((COUNTIFS('1_바디시그널'!$AD$5:$AD$36,"CON",'1_바디시그널'!$AF$5:$AF$36,"&gt;=1")+COUNTIFS('2_개행동'!$AD$5:$AD$26,"CON",'2_개행동'!$AF$5:$AF$26,"&gt;=1")+COUNTIFS('3_보호자행동'!$AD$5:$AD$35,"CON",'3_보호자행동'!$AF$5:$AF$35,"&gt;=1"))=0,"",ROUND((SUMIFS('1_바디시그널'!$AF$5:$AF$36,'1_바디시그널'!$AD$5:$AD$36,"CON",'1_바디시그널'!$AF$5:$AF$36,"&gt;=1")+SUMIFS('2_개행동'!$AF$5:$AF$26,'2_개행동'!$AD$5:$AD$26,"CON",'2_개행동'!$AF$5:$AF$26,"&gt;=1")+SUMIFS('3_보호자행동'!$AF$5:$AF$35,'3_보호자행동'!$AD$5:$AD$35,"CON",'3_보호자행동'!$AF$5:$AF$35,"&gt;=1"))/(COUNTIFS('1_바디시그널'!$AD$5:$AD$36,"CON",'1_바디시그널'!$AF$5:$AF$36,"&gt;=1")+COUNTIFS('2_개행동'!$AD$5:$AD$26,"CON",'2_개행동'!$AF$5:$AF$26,"&gt;=1")+COUNTIFS('3_보호자행동'!$AD$5:$AD$35,"CON",'3_보호자행동'!$AF$5:$AF$35,"&gt;=1")),2))</f>
        <v/>
      </c>
      <c r="U7" s="49">
        <f>IF((COUNTIFS('1_바디시그널'!$AD$5:$AD$36,"CON",'1_바디시그널'!$AF$5:$AF$36,"&gt;=1")+COUNTIFS('2_개행동'!$AD$5:$AD$26,"CON",'2_개행동'!$AF$5:$AF$26,"&gt;=1")+COUNTIFS('3_보호자행동'!$AD$5:$AD$35,"CON",'3_보호자행동'!$AF$5:$AF$35,"&gt;=1"))=0,"",IF((SUMIFS('1_바디시그널'!$AF$5:$AF$36,'1_바디시그널'!$AD$5:$AD$36,"CON",'1_바디시그널'!$AZ$5:$AZ$36,"A")+SUMIFS('2_개행동'!$AF$5:$AF$26,'2_개행동'!$AD$5:$AD$26,"CON",'2_개행동'!$AZ$5:$AZ$26,"A")+SUMIFS('3_보호자행동'!$AF$5:$AF$35,'3_보호자행동'!$AD$5:$AD$35,"CON",'3_보호자행동'!$AZ$5:$AZ$35,"A"))&gt;(SUMIFS('1_바디시그널'!$AF$5:$AF$36,'1_바디시그널'!$AD$5:$AD$36,"CON",'1_바디시그널'!$AZ$5:$AZ$36,"B")+SUMIFS('2_개행동'!$AF$5:$AF$26,'2_개행동'!$AD$5:$AD$26,"CON",'2_개행동'!$AZ$5:$AZ$26,"B")+SUMIFS('3_보호자행동'!$AF$5:$AF$35,'3_보호자행동'!$AD$5:$AD$35,"CON",'3_보호자행동'!$AZ$5:$AZ$35,"B")),"A",IF((SUMIFS('1_바디시그널'!$AF$5:$AF$36,'1_바디시그널'!$AD$5:$AD$36,"CON",'1_바디시그널'!$AZ$5:$AZ$36,"B")+SUMIFS('2_개행동'!$AF$5:$AF$26,'2_개행동'!$AD$5:$AD$26,"CON",'2_개행동'!$AZ$5:$AZ$26,"B")+SUMIFS('3_보호자행동'!$AF$5:$AF$35,'3_보호자행동'!$AD$5:$AD$35,"CON",'3_보호자행동'!$AZ$5:$AZ$35,"B"))&gt;(SUMIFS('1_바디시그널'!$AF$5:$AF$36,'1_바디시그널'!$AD$5:$AD$36,"CON",'1_바디시그널'!$AZ$5:$AZ$36,"A")+SUMIFS('2_개행동'!$AF$5:$AF$26,'2_개행동'!$AD$5:$AD$26,"CON",'2_개행동'!$AZ$5:$AZ$26,"A")+SUMIFS('3_보호자행동'!$AF$5:$AF$35,'3_보호자행동'!$AD$5:$AD$35,"CON",'3_보호자행동'!$AZ$5:$AZ$35,"A")),"B","-")))</f>
        <v/>
      </c>
      <c r="V7" s="48">
        <f>IF(COUNT(X7:AA7)=0,"",ROUND(MAX(X7:AA7)-MIN(X7:AA7),2))</f>
        <v/>
      </c>
      <c r="W7" s="47" t="n"/>
      <c r="X7" s="49">
        <f>IFERROR(SUMIFS('3_보호자행동'!$AF$5:$AF$35,'3_보호자행동'!$A$5:$A$35,"입장",'3_보호자행동'!$AF$5:$AF$35,"&gt;=1")/COUNTIFS('3_보호자행동'!$A$5:$A$35,"입장",'3_보호자행동'!$AF$5:$AF$35,"&gt;=1"),"")</f>
        <v/>
      </c>
      <c r="Y7" s="49">
        <f>IFERROR(SUMIFS('3_보호자행동'!$AF$5:$AF$35,'3_보호자행동'!$A$5:$A$35,"분리",'3_보호자행동'!$AF$5:$AF$35,"&gt;=1")/COUNTIFS('3_보호자행동'!$A$5:$A$35,"분리",'3_보호자행동'!$AF$5:$AF$35,"&gt;=1"),"")</f>
        <v/>
      </c>
      <c r="Z7" s="49">
        <f>IFERROR(SUMIFS('3_보호자행동'!$AF$5:$AF$35,'3_보호자행동'!$A$5:$A$35,"훈련",'3_보호자행동'!$AF$5:$AF$35,"&gt;=1")/COUNTIFS('3_보호자행동'!$A$5:$A$35,"훈련",'3_보호자행동'!$AF$5:$AF$35,"&gt;=1"),"")</f>
        <v/>
      </c>
      <c r="AA7" s="49">
        <f>IFERROR(SUMIFS('3_보호자행동'!$AF$5:$AF$35,'3_보호자행동'!$A$5:$A$35,"놀이",'3_보호자행동'!$AF$5:$AF$35,"&gt;=1")/COUNTIFS('3_보호자행동'!$A$5:$A$35,"놀이",'3_보호자행동'!$AF$5:$AF$35,"&gt;=1"),"")</f>
        <v/>
      </c>
      <c r="AB7">
        <f>IF((COUNTIFS('1_바디시그널'!$AD$5:$AD$36,"TRN",'1_바디시그널'!$AF$5:$AF$36,"&gt;=1")+COUNTIFS('2_개행동'!$AD$5:$AD$26,"TRN",'2_개행동'!$AF$5:$AF$26,"&gt;=1")+COUNTIFS('3_보호자행동'!$AD$5:$AD$35,"TRN",'3_보호자행동'!$AF$5:$AF$35,"&gt;=1"))=0,"",MAX(_xlfn.MAXIFS('1_바디시그널'!$AF$5:$AF$36,'1_바디시그널'!$AD$5:$AD$36,"TRN"),_xlfn.MAXIFS('2_개행동'!$AF$5:$AF$26,'2_개행동'!$AD$5:$AD$26,"TRN"),_xlfn.MAXIFS('3_보호자행동'!$AF$5:$AF$35,'3_보호자행동'!$AD$5:$AD$35,"TRN")))</f>
        <v/>
      </c>
      <c r="AC7">
        <f>IF((COUNTIFS('1_바디시그널'!$AD$5:$AD$36,"TRN",'1_바디시그널'!$AF$5:$AF$36,"&gt;=1")+COUNTIFS('2_개행동'!$AD$5:$AD$26,"TRN",'2_개행동'!$AF$5:$AF$26,"&gt;=1")+COUNTIFS('3_보호자행동'!$AD$5:$AD$35,"TRN",'3_보호자행동'!$AF$5:$AF$35,"&gt;=1"))=0,"",ROUND((SUMIFS('1_바디시그널'!$AF$5:$AF$36,'1_바디시그널'!$AD$5:$AD$36,"TRN",'1_바디시그널'!$AF$5:$AF$36,"&gt;=1")+SUMIFS('2_개행동'!$AF$5:$AF$26,'2_개행동'!$AD$5:$AD$26,"TRN",'2_개행동'!$AF$5:$AF$26,"&gt;=1")+SUMIFS('3_보호자행동'!$AF$5:$AF$35,'3_보호자행동'!$AD$5:$AD$35,"TRN",'3_보호자행동'!$AF$5:$AF$35,"&gt;=1"))/(COUNTIFS('1_바디시그널'!$AD$5:$AD$36,"TRN",'1_바디시그널'!$AF$5:$AF$36,"&gt;=1")+COUNTIFS('2_개행동'!$AD$5:$AD$26,"TRN",'2_개행동'!$AF$5:$AF$26,"&gt;=1")+COUNTIFS('3_보호자행동'!$AD$5:$AD$35,"TRN",'3_보호자행동'!$AF$5:$AF$35,"&gt;=1")),2))</f>
        <v/>
      </c>
      <c r="AD7">
        <f>IF((COUNTIFS('1_바디시그널'!$AD$5:$AD$36,"TRN",'1_바디시그널'!$AF$5:$AF$36,"&gt;=1")+COUNTIFS('2_개행동'!$AD$5:$AD$26,"TRN",'2_개행동'!$AF$5:$AF$26,"&gt;=1")+COUNTIFS('3_보호자행동'!$AD$5:$AD$35,"TRN",'3_보호자행동'!$AF$5:$AF$35,"&gt;=1"))=0,"",IF((SUMIFS('1_바디시그널'!$AF$5:$AF$36,'1_바디시그널'!$AD$5:$AD$36,"TRN",'1_바디시그널'!$AZ$5:$AZ$36,"A")+SUMIFS('2_개행동'!$AF$5:$AF$26,'2_개행동'!$AD$5:$AD$26,"TRN",'2_개행동'!$AZ$5:$AZ$26,"A")+SUMIFS('3_보호자행동'!$AF$5:$AF$35,'3_보호자행동'!$AD$5:$AD$35,"TRN",'3_보호자행동'!$AZ$5:$AZ$35,"A"))&gt;(SUMIFS('1_바디시그널'!$AF$5:$AF$36,'1_바디시그널'!$AD$5:$AD$36,"TRN",'1_바디시그널'!$AZ$5:$AZ$36,"B")+SUMIFS('2_개행동'!$AF$5:$AF$26,'2_개행동'!$AD$5:$AD$26,"TRN",'2_개행동'!$AZ$5:$AZ$26,"B")+SUMIFS('3_보호자행동'!$AF$5:$AF$35,'3_보호자행동'!$AD$5:$AD$35,"TRN",'3_보호자행동'!$AZ$5:$AZ$35,"B")),"A",IF((SUMIFS('1_바디시그널'!$AF$5:$AF$36,'1_바디시그널'!$AD$5:$AD$36,"TRN",'1_바디시그널'!$AZ$5:$AZ$36,"B")+SUMIFS('2_개행동'!$AF$5:$AF$26,'2_개행동'!$AD$5:$AD$26,"TRN",'2_개행동'!$AZ$5:$AZ$26,"B")+SUMIFS('3_보호자행동'!$AF$5:$AF$35,'3_보호자행동'!$AD$5:$AD$35,"TRN",'3_보호자행동'!$AZ$5:$AZ$35,"B"))&gt;(SUMIFS('1_바디시그널'!$AF$5:$AF$36,'1_바디시그널'!$AD$5:$AD$36,"TRN",'1_바디시그널'!$AZ$5:$AZ$36,"A")+SUMIFS('2_개행동'!$AF$5:$AF$26,'2_개행동'!$AD$5:$AD$26,"TRN",'2_개행동'!$AZ$5:$AZ$26,"A")+SUMIFS('3_보호자행동'!$AF$5:$AF$35,'3_보호자행동'!$AD$5:$AD$35,"TRN",'3_보호자행동'!$AZ$5:$AZ$35,"A")),"B","-")))</f>
        <v/>
      </c>
      <c r="AE7">
        <f>IF('2_개행동'!$K$11="","",'2_개행동'!$K$11&amp;IF('2_개행동'!$K$11=3," [B]",IF('2_개행동'!$K$11=1,""," [A]")))</f>
        <v/>
      </c>
    </row>
    <row r="8" ht="18.75" customHeight="1" s="1">
      <c r="A8" s="46" t="n">
        <v>3</v>
      </c>
      <c r="B8" s="47" t="n"/>
      <c r="C8" s="47" t="n"/>
      <c r="D8" s="48">
        <f>IF((COUNTIFS('1_바디시그널'!$AD$5:$AD$36,"EDU",'1_바디시그널'!$AG$5:$AG$36,"&gt;=1")+COUNTIFS('2_개행동'!$AD$5:$AD$26,"EDU",'2_개행동'!$AG$5:$AG$26,"&gt;=1")+COUNTIFS('3_보호자행동'!$AD$5:$AD$35,"EDU",'3_보호자행동'!$AG$5:$AG$35,"&gt;=1"))=0,"",MAX(_xlfn.MAXIFS('1_바디시그널'!$AG$5:$AG$36,'1_바디시그널'!$AD$5:$AD$36,"EDU"),_xlfn.MAXIFS('2_개행동'!$AG$5:$AG$26,'2_개행동'!$AD$5:$AD$26,"EDU"),_xlfn.MAXIFS('3_보호자행동'!$AG$5:$AG$35,'3_보호자행동'!$AD$5:$AD$35,"EDU")))</f>
        <v/>
      </c>
      <c r="E8" s="49">
        <f>IF((COUNTIFS('1_바디시그널'!$AD$5:$AD$36,"EDU",'1_바디시그널'!$AG$5:$AG$36,"&gt;=1")+COUNTIFS('2_개행동'!$AD$5:$AD$26,"EDU",'2_개행동'!$AG$5:$AG$26,"&gt;=1")+COUNTIFS('3_보호자행동'!$AD$5:$AD$35,"EDU",'3_보호자행동'!$AG$5:$AG$35,"&gt;=1"))=0,"",ROUND((SUMIFS('1_바디시그널'!$AG$5:$AG$36,'1_바디시그널'!$AD$5:$AD$36,"EDU",'1_바디시그널'!$AG$5:$AG$36,"&gt;=1")+SUMIFS('2_개행동'!$AG$5:$AG$26,'2_개행동'!$AD$5:$AD$26,"EDU",'2_개행동'!$AG$5:$AG$26,"&gt;=1")+SUMIFS('3_보호자행동'!$AG$5:$AG$35,'3_보호자행동'!$AD$5:$AD$35,"EDU",'3_보호자행동'!$AG$5:$AG$35,"&gt;=1"))/(COUNTIFS('1_바디시그널'!$AD$5:$AD$36,"EDU",'1_바디시그널'!$AG$5:$AG$36,"&gt;=1")+COUNTIFS('2_개행동'!$AD$5:$AD$26,"EDU",'2_개행동'!$AG$5:$AG$26,"&gt;=1")+COUNTIFS('3_보호자행동'!$AD$5:$AD$35,"EDU",'3_보호자행동'!$AG$5:$AG$35,"&gt;=1")),2))</f>
        <v/>
      </c>
      <c r="F8" s="49">
        <f>IF((COUNTIFS('1_바디시그널'!$AD$5:$AD$36,"EDU",'1_바디시그널'!$AG$5:$AG$36,"&gt;=1")+COUNTIFS('2_개행동'!$AD$5:$AD$26,"EDU",'2_개행동'!$AG$5:$AG$26,"&gt;=1")+COUNTIFS('3_보호자행동'!$AD$5:$AD$35,"EDU",'3_보호자행동'!$AG$5:$AG$35,"&gt;=1"))=0,"",IF((SUMIFS('1_바디시그널'!$AG$5:$AG$36,'1_바디시그널'!$AD$5:$AD$36,"EDU",'1_바디시그널'!$BA$5:$BA$36,"A")+SUMIFS('2_개행동'!$AG$5:$AG$26,'2_개행동'!$AD$5:$AD$26,"EDU",'2_개행동'!$BA$5:$BA$26,"A")+SUMIFS('3_보호자행동'!$AG$5:$AG$35,'3_보호자행동'!$AD$5:$AD$35,"EDU",'3_보호자행동'!$BA$5:$BA$35,"A"))&gt;(SUMIFS('1_바디시그널'!$AG$5:$AG$36,'1_바디시그널'!$AD$5:$AD$36,"EDU",'1_바디시그널'!$BA$5:$BA$36,"B")+SUMIFS('2_개행동'!$AG$5:$AG$26,'2_개행동'!$AD$5:$AD$26,"EDU",'2_개행동'!$BA$5:$BA$26,"B")+SUMIFS('3_보호자행동'!$AG$5:$AG$35,'3_보호자행동'!$AD$5:$AD$35,"EDU",'3_보호자행동'!$BA$5:$BA$35,"B")),"A",IF((SUMIFS('1_바디시그널'!$AG$5:$AG$36,'1_바디시그널'!$AD$5:$AD$36,"EDU",'1_바디시그널'!$BA$5:$BA$36,"B")+SUMIFS('2_개행동'!$AG$5:$AG$26,'2_개행동'!$AD$5:$AD$26,"EDU",'2_개행동'!$BA$5:$BA$26,"B")+SUMIFS('3_보호자행동'!$AG$5:$AG$35,'3_보호자행동'!$AD$5:$AD$35,"EDU",'3_보호자행동'!$BA$5:$BA$35,"B"))&gt;(SUMIFS('1_바디시그널'!$AG$5:$AG$36,'1_바디시그널'!$AD$5:$AD$36,"EDU",'1_바디시그널'!$BA$5:$BA$36,"A")+SUMIFS('2_개행동'!$AG$5:$AG$26,'2_개행동'!$AD$5:$AD$26,"EDU",'2_개행동'!$BA$5:$BA$26,"A")+SUMIFS('3_보호자행동'!$AG$5:$AG$35,'3_보호자행동'!$AD$5:$AD$35,"EDU",'3_보호자행동'!$BA$5:$BA$35,"A")),"B","-")))</f>
        <v/>
      </c>
      <c r="G8" s="49">
        <f>IF((COUNTIFS('1_바디시그널'!$AD$5:$AD$36,"SOC_P",'1_바디시그널'!$AG$5:$AG$36,"&gt;=1")+COUNTIFS('2_개행동'!$AD$5:$AD$26,"SOC_P",'2_개행동'!$AG$5:$AG$26,"&gt;=1")+COUNTIFS('3_보호자행동'!$AD$5:$AD$35,"SOC_P",'3_보호자행동'!$AG$5:$AG$35,"&gt;=1"))=0,"",MAX(_xlfn.MAXIFS('1_바디시그널'!$AG$5:$AG$36,'1_바디시그널'!$AD$5:$AD$36,"SOC_P"),_xlfn.MAXIFS('2_개행동'!$AG$5:$AG$26,'2_개행동'!$AD$5:$AD$26,"SOC_P"),_xlfn.MAXIFS('3_보호자행동'!$AG$5:$AG$35,'3_보호자행동'!$AD$5:$AD$35,"SOC_P")))</f>
        <v/>
      </c>
      <c r="H8" s="49">
        <f>IF((COUNTIFS('1_바디시그널'!$AD$5:$AD$36,"SOC_P",'1_바디시그널'!$AG$5:$AG$36,"&gt;=1")+COUNTIFS('2_개행동'!$AD$5:$AD$26,"SOC_P",'2_개행동'!$AG$5:$AG$26,"&gt;=1")+COUNTIFS('3_보호자행동'!$AD$5:$AD$35,"SOC_P",'3_보호자행동'!$AG$5:$AG$35,"&gt;=1"))=0,"",ROUND((SUMIFS('1_바디시그널'!$AG$5:$AG$36,'1_바디시그널'!$AD$5:$AD$36,"SOC_P",'1_바디시그널'!$AG$5:$AG$36,"&gt;=1")+SUMIFS('2_개행동'!$AG$5:$AG$26,'2_개행동'!$AD$5:$AD$26,"SOC_P",'2_개행동'!$AG$5:$AG$26,"&gt;=1")+SUMIFS('3_보호자행동'!$AG$5:$AG$35,'3_보호자행동'!$AD$5:$AD$35,"SOC_P",'3_보호자행동'!$AG$5:$AG$35,"&gt;=1"))/(COUNTIFS('1_바디시그널'!$AD$5:$AD$36,"SOC_P",'1_바디시그널'!$AG$5:$AG$36,"&gt;=1")+COUNTIFS('2_개행동'!$AD$5:$AD$26,"SOC_P",'2_개행동'!$AG$5:$AG$26,"&gt;=1")+COUNTIFS('3_보호자행동'!$AD$5:$AD$35,"SOC_P",'3_보호자행동'!$AG$5:$AG$35,"&gt;=1")),2))</f>
        <v/>
      </c>
      <c r="I8" s="49">
        <f>IF((COUNTIFS('1_바디시그널'!$AD$5:$AD$36,"SOC_P",'1_바디시그널'!$AG$5:$AG$36,"&gt;=1")+COUNTIFS('2_개행동'!$AD$5:$AD$26,"SOC_P",'2_개행동'!$AG$5:$AG$26,"&gt;=1")+COUNTIFS('3_보호자행동'!$AD$5:$AD$35,"SOC_P",'3_보호자행동'!$AG$5:$AG$35,"&gt;=1"))=0,"",IF((SUMIFS('1_바디시그널'!$AG$5:$AG$36,'1_바디시그널'!$AD$5:$AD$36,"SOC_P",'1_바디시그널'!$BA$5:$BA$36,"A")+SUMIFS('2_개행동'!$AG$5:$AG$26,'2_개행동'!$AD$5:$AD$26,"SOC_P",'2_개행동'!$BA$5:$BA$26,"A")+SUMIFS('3_보호자행동'!$AG$5:$AG$35,'3_보호자행동'!$AD$5:$AD$35,"SOC_P",'3_보호자행동'!$BA$5:$BA$35,"A"))&gt;(SUMIFS('1_바디시그널'!$AG$5:$AG$36,'1_바디시그널'!$AD$5:$AD$36,"SOC_P",'1_바디시그널'!$BA$5:$BA$36,"B")+SUMIFS('2_개행동'!$AG$5:$AG$26,'2_개행동'!$AD$5:$AD$26,"SOC_P",'2_개행동'!$BA$5:$BA$26,"B")+SUMIFS('3_보호자행동'!$AG$5:$AG$35,'3_보호자행동'!$AD$5:$AD$35,"SOC_P",'3_보호자행동'!$BA$5:$BA$35,"B")),"A",IF((SUMIFS('1_바디시그널'!$AG$5:$AG$36,'1_바디시그널'!$AD$5:$AD$36,"SOC_P",'1_바디시그널'!$BA$5:$BA$36,"B")+SUMIFS('2_개행동'!$AG$5:$AG$26,'2_개행동'!$AD$5:$AD$26,"SOC_P",'2_개행동'!$BA$5:$BA$26,"B")+SUMIFS('3_보호자행동'!$AG$5:$AG$35,'3_보호자행동'!$AD$5:$AD$35,"SOC_P",'3_보호자행동'!$BA$5:$BA$35,"B"))&gt;(SUMIFS('1_바디시그널'!$AG$5:$AG$36,'1_바디시그널'!$AD$5:$AD$36,"SOC_P",'1_바디시그널'!$BA$5:$BA$36,"A")+SUMIFS('2_개행동'!$AG$5:$AG$26,'2_개행동'!$AD$5:$AD$26,"SOC_P",'2_개행동'!$BA$5:$BA$26,"A")+SUMIFS('3_보호자행동'!$AG$5:$AG$35,'3_보호자행동'!$AD$5:$AD$35,"SOC_P",'3_보호자행동'!$BA$5:$BA$35,"A")),"B","-")))</f>
        <v/>
      </c>
      <c r="J8" s="49">
        <f>IF((COUNTIFS('1_바디시그널'!$AD$5:$AD$36,"SOC_D",'1_바디시그널'!$AG$5:$AG$36,"&gt;=1")+COUNTIFS('2_개행동'!$AD$5:$AD$26,"SOC_D",'2_개행동'!$AG$5:$AG$26,"&gt;=1")+COUNTIFS('3_보호자행동'!$AD$5:$AD$35,"SOC_D",'3_보호자행동'!$AG$5:$AG$35,"&gt;=1"))=0,"",MAX(_xlfn.MAXIFS('1_바디시그널'!$AG$5:$AG$36,'1_바디시그널'!$AD$5:$AD$36,"SOC_D"),_xlfn.MAXIFS('2_개행동'!$AG$5:$AG$26,'2_개행동'!$AD$5:$AD$26,"SOC_D"),_xlfn.MAXIFS('3_보호자행동'!$AG$5:$AG$35,'3_보호자행동'!$AD$5:$AD$35,"SOC_D")))</f>
        <v/>
      </c>
      <c r="K8" s="49">
        <f>IF((COUNTIFS('1_바디시그널'!$AD$5:$AD$36,"SOC_D",'1_바디시그널'!$AG$5:$AG$36,"&gt;=1")+COUNTIFS('2_개행동'!$AD$5:$AD$26,"SOC_D",'2_개행동'!$AG$5:$AG$26,"&gt;=1")+COUNTIFS('3_보호자행동'!$AD$5:$AD$35,"SOC_D",'3_보호자행동'!$AG$5:$AG$35,"&gt;=1"))=0,"",ROUND((SUMIFS('1_바디시그널'!$AG$5:$AG$36,'1_바디시그널'!$AD$5:$AD$36,"SOC_D",'1_바디시그널'!$AG$5:$AG$36,"&gt;=1")+SUMIFS('2_개행동'!$AG$5:$AG$26,'2_개행동'!$AD$5:$AD$26,"SOC_D",'2_개행동'!$AG$5:$AG$26,"&gt;=1")+SUMIFS('3_보호자행동'!$AG$5:$AG$35,'3_보호자행동'!$AD$5:$AD$35,"SOC_D",'3_보호자행동'!$AG$5:$AG$35,"&gt;=1"))/(COUNTIFS('1_바디시그널'!$AD$5:$AD$36,"SOC_D",'1_바디시그널'!$AG$5:$AG$36,"&gt;=1")+COUNTIFS('2_개행동'!$AD$5:$AD$26,"SOC_D",'2_개행동'!$AG$5:$AG$26,"&gt;=1")+COUNTIFS('3_보호자행동'!$AD$5:$AD$35,"SOC_D",'3_보호자행동'!$AG$5:$AG$35,"&gt;=1")),2))</f>
        <v/>
      </c>
      <c r="L8" s="49">
        <f>IF((COUNTIFS('1_바디시그널'!$AD$5:$AD$36,"SOC_D",'1_바디시그널'!$AG$5:$AG$36,"&gt;=1")+COUNTIFS('2_개행동'!$AD$5:$AD$26,"SOC_D",'2_개행동'!$AG$5:$AG$26,"&gt;=1")+COUNTIFS('3_보호자행동'!$AD$5:$AD$35,"SOC_D",'3_보호자행동'!$AG$5:$AG$35,"&gt;=1"))=0,"",IF((SUMIFS('1_바디시그널'!$AG$5:$AG$36,'1_바디시그널'!$AD$5:$AD$36,"SOC_D",'1_바디시그널'!$BA$5:$BA$36,"A")+SUMIFS('2_개행동'!$AG$5:$AG$26,'2_개행동'!$AD$5:$AD$26,"SOC_D",'2_개행동'!$BA$5:$BA$26,"A")+SUMIFS('3_보호자행동'!$AG$5:$AG$35,'3_보호자행동'!$AD$5:$AD$35,"SOC_D",'3_보호자행동'!$BA$5:$BA$35,"A"))&gt;(SUMIFS('1_바디시그널'!$AG$5:$AG$36,'1_바디시그널'!$AD$5:$AD$36,"SOC_D",'1_바디시그널'!$BA$5:$BA$36,"B")+SUMIFS('2_개행동'!$AG$5:$AG$26,'2_개행동'!$AD$5:$AD$26,"SOC_D",'2_개행동'!$BA$5:$BA$26,"B")+SUMIFS('3_보호자행동'!$AG$5:$AG$35,'3_보호자행동'!$AD$5:$AD$35,"SOC_D",'3_보호자행동'!$BA$5:$BA$35,"B")),"A",IF((SUMIFS('1_바디시그널'!$AG$5:$AG$36,'1_바디시그널'!$AD$5:$AD$36,"SOC_D",'1_바디시그널'!$BA$5:$BA$36,"B")+SUMIFS('2_개행동'!$AG$5:$AG$26,'2_개행동'!$AD$5:$AD$26,"SOC_D",'2_개행동'!$BA$5:$BA$26,"B")+SUMIFS('3_보호자행동'!$AG$5:$AG$35,'3_보호자행동'!$AD$5:$AD$35,"SOC_D",'3_보호자행동'!$BA$5:$BA$35,"B"))&gt;(SUMIFS('1_바디시그널'!$AG$5:$AG$36,'1_바디시그널'!$AD$5:$AD$36,"SOC_D",'1_바디시그널'!$BA$5:$BA$36,"A")+SUMIFS('2_개행동'!$AG$5:$AG$26,'2_개행동'!$AD$5:$AD$26,"SOC_D",'2_개행동'!$BA$5:$BA$26,"A")+SUMIFS('3_보호자행동'!$AG$5:$AG$35,'3_보호자행동'!$AD$5:$AD$35,"SOC_D",'3_보호자행동'!$BA$5:$BA$35,"A")),"B","-")))</f>
        <v/>
      </c>
      <c r="M8" s="49">
        <f>IF((COUNTIFS('1_바디시그널'!$AD$5:$AD$36,"SOC_E",'1_바디시그널'!$AG$5:$AG$36,"&gt;=1")+COUNTIFS('2_개행동'!$AD$5:$AD$26,"SOC_E",'2_개행동'!$AG$5:$AG$26,"&gt;=1")+COUNTIFS('3_보호자행동'!$AD$5:$AD$35,"SOC_E",'3_보호자행동'!$AG$5:$AG$35,"&gt;=1"))=0,"",MAX(_xlfn.MAXIFS('1_바디시그널'!$AG$5:$AG$36,'1_바디시그널'!$AD$5:$AD$36,"SOC_E"),_xlfn.MAXIFS('2_개행동'!$AG$5:$AG$26,'2_개행동'!$AD$5:$AD$26,"SOC_E"),_xlfn.MAXIFS('3_보호자행동'!$AG$5:$AG$35,'3_보호자행동'!$AD$5:$AD$35,"SOC_E")))</f>
        <v/>
      </c>
      <c r="N8" s="49">
        <f>IF((COUNTIFS('1_바디시그널'!$AD$5:$AD$36,"SOC_E",'1_바디시그널'!$AG$5:$AG$36,"&gt;=1")+COUNTIFS('2_개행동'!$AD$5:$AD$26,"SOC_E",'2_개행동'!$AG$5:$AG$26,"&gt;=1")+COUNTIFS('3_보호자행동'!$AD$5:$AD$35,"SOC_E",'3_보호자행동'!$AG$5:$AG$35,"&gt;=1"))=0,"",ROUND((SUMIFS('1_바디시그널'!$AG$5:$AG$36,'1_바디시그널'!$AD$5:$AD$36,"SOC_E",'1_바디시그널'!$AG$5:$AG$36,"&gt;=1")+SUMIFS('2_개행동'!$AG$5:$AG$26,'2_개행동'!$AD$5:$AD$26,"SOC_E",'2_개행동'!$AG$5:$AG$26,"&gt;=1")+SUMIFS('3_보호자행동'!$AG$5:$AG$35,'3_보호자행동'!$AD$5:$AD$35,"SOC_E",'3_보호자행동'!$AG$5:$AG$35,"&gt;=1"))/(COUNTIFS('1_바디시그널'!$AD$5:$AD$36,"SOC_E",'1_바디시그널'!$AG$5:$AG$36,"&gt;=1")+COUNTIFS('2_개행동'!$AD$5:$AD$26,"SOC_E",'2_개행동'!$AG$5:$AG$26,"&gt;=1")+COUNTIFS('3_보호자행동'!$AD$5:$AD$35,"SOC_E",'3_보호자행동'!$AG$5:$AG$35,"&gt;=1")),2))</f>
        <v/>
      </c>
      <c r="O8" s="49">
        <f>IF((COUNTIFS('1_바디시그널'!$AD$5:$AD$36,"SOC_E",'1_바디시그널'!$AG$5:$AG$36,"&gt;=1")+COUNTIFS('2_개행동'!$AD$5:$AD$26,"SOC_E",'2_개행동'!$AG$5:$AG$26,"&gt;=1")+COUNTIFS('3_보호자행동'!$AD$5:$AD$35,"SOC_E",'3_보호자행동'!$AG$5:$AG$35,"&gt;=1"))=0,"",IF((SUMIFS('1_바디시그널'!$AG$5:$AG$36,'1_바디시그널'!$AD$5:$AD$36,"SOC_E",'1_바디시그널'!$BA$5:$BA$36,"A")+SUMIFS('2_개행동'!$AG$5:$AG$26,'2_개행동'!$AD$5:$AD$26,"SOC_E",'2_개행동'!$BA$5:$BA$26,"A")+SUMIFS('3_보호자행동'!$AG$5:$AG$35,'3_보호자행동'!$AD$5:$AD$35,"SOC_E",'3_보호자행동'!$BA$5:$BA$35,"A"))&gt;(SUMIFS('1_바디시그널'!$AG$5:$AG$36,'1_바디시그널'!$AD$5:$AD$36,"SOC_E",'1_바디시그널'!$BA$5:$BA$36,"B")+SUMIFS('2_개행동'!$AG$5:$AG$26,'2_개행동'!$AD$5:$AD$26,"SOC_E",'2_개행동'!$BA$5:$BA$26,"B")+SUMIFS('3_보호자행동'!$AG$5:$AG$35,'3_보호자행동'!$AD$5:$AD$35,"SOC_E",'3_보호자행동'!$BA$5:$BA$35,"B")),"A",IF((SUMIFS('1_바디시그널'!$AG$5:$AG$36,'1_바디시그널'!$AD$5:$AD$36,"SOC_E",'1_바디시그널'!$BA$5:$BA$36,"B")+SUMIFS('2_개행동'!$AG$5:$AG$26,'2_개행동'!$AD$5:$AD$26,"SOC_E",'2_개행동'!$BA$5:$BA$26,"B")+SUMIFS('3_보호자행동'!$AG$5:$AG$35,'3_보호자행동'!$AD$5:$AD$35,"SOC_E",'3_보호자행동'!$BA$5:$BA$35,"B"))&gt;(SUMIFS('1_바디시그널'!$AG$5:$AG$36,'1_바디시그널'!$AD$5:$AD$36,"SOC_E",'1_바디시그널'!$BA$5:$BA$36,"A")+SUMIFS('2_개행동'!$AG$5:$AG$26,'2_개행동'!$AD$5:$AD$26,"SOC_E",'2_개행동'!$BA$5:$BA$26,"A")+SUMIFS('3_보호자행동'!$AG$5:$AG$35,'3_보호자행동'!$AD$5:$AD$35,"SOC_E",'3_보호자행동'!$BA$5:$BA$35,"A")),"B","-")))</f>
        <v/>
      </c>
      <c r="P8" s="49">
        <f>IF((COUNTIFS('1_바디시그널'!$AD$5:$AD$36,"ATT",'1_바디시그널'!$AG$5:$AG$36,"&gt;=1")+COUNTIFS('2_개행동'!$AD$5:$AD$26,"ATT",'2_개행동'!$AG$5:$AG$26,"&gt;=1")+COUNTIFS('3_보호자행동'!$AD$5:$AD$35,"ATT",'3_보호자행동'!$AG$5:$AG$35,"&gt;=1"))=0,"",MAX(_xlfn.MAXIFS('1_바디시그널'!$AG$5:$AG$36,'1_바디시그널'!$AD$5:$AD$36,"ATT"),_xlfn.MAXIFS('2_개행동'!$AG$5:$AG$26,'2_개행동'!$AD$5:$AD$26,"ATT"),_xlfn.MAXIFS('3_보호자행동'!$AG$5:$AG$35,'3_보호자행동'!$AD$5:$AD$35,"ATT")))</f>
        <v/>
      </c>
      <c r="Q8" s="49">
        <f>IF((COUNTIFS('1_바디시그널'!$AD$5:$AD$36,"ATT",'1_바디시그널'!$AG$5:$AG$36,"&gt;=1")+COUNTIFS('2_개행동'!$AD$5:$AD$26,"ATT",'2_개행동'!$AG$5:$AG$26,"&gt;=1")+COUNTIFS('3_보호자행동'!$AD$5:$AD$35,"ATT",'3_보호자행동'!$AG$5:$AG$35,"&gt;=1"))=0,"",ROUND((SUMIFS('1_바디시그널'!$AG$5:$AG$36,'1_바디시그널'!$AD$5:$AD$36,"ATT",'1_바디시그널'!$AG$5:$AG$36,"&gt;=1")+SUMIFS('2_개행동'!$AG$5:$AG$26,'2_개행동'!$AD$5:$AD$26,"ATT",'2_개행동'!$AG$5:$AG$26,"&gt;=1")+SUMIFS('3_보호자행동'!$AG$5:$AG$35,'3_보호자행동'!$AD$5:$AD$35,"ATT",'3_보호자행동'!$AG$5:$AG$35,"&gt;=1"))/(COUNTIFS('1_바디시그널'!$AD$5:$AD$36,"ATT",'1_바디시그널'!$AG$5:$AG$36,"&gt;=1")+COUNTIFS('2_개행동'!$AD$5:$AD$26,"ATT",'2_개행동'!$AG$5:$AG$26,"&gt;=1")+COUNTIFS('3_보호자행동'!$AD$5:$AD$35,"ATT",'3_보호자행동'!$AG$5:$AG$35,"&gt;=1")),2))</f>
        <v/>
      </c>
      <c r="R8" s="49">
        <f>IF((COUNTIFS('1_바디시그널'!$AD$5:$AD$36,"ATT",'1_바디시그널'!$AG$5:$AG$36,"&gt;=1")+COUNTIFS('2_개행동'!$AD$5:$AD$26,"ATT",'2_개행동'!$AG$5:$AG$26,"&gt;=1")+COUNTIFS('3_보호자행동'!$AD$5:$AD$35,"ATT",'3_보호자행동'!$AG$5:$AG$35,"&gt;=1"))=0,"",IF((SUMIFS('1_바디시그널'!$AG$5:$AG$36,'1_바디시그널'!$AD$5:$AD$36,"ATT",'1_바디시그널'!$BA$5:$BA$36,"A")+SUMIFS('2_개행동'!$AG$5:$AG$26,'2_개행동'!$AD$5:$AD$26,"ATT",'2_개행동'!$BA$5:$BA$26,"A")+SUMIFS('3_보호자행동'!$AG$5:$AG$35,'3_보호자행동'!$AD$5:$AD$35,"ATT",'3_보호자행동'!$BA$5:$BA$35,"A"))&gt;(SUMIFS('1_바디시그널'!$AG$5:$AG$36,'1_바디시그널'!$AD$5:$AD$36,"ATT",'1_바디시그널'!$BA$5:$BA$36,"B")+SUMIFS('2_개행동'!$AG$5:$AG$26,'2_개행동'!$AD$5:$AD$26,"ATT",'2_개행동'!$BA$5:$BA$26,"B")+SUMIFS('3_보호자행동'!$AG$5:$AG$35,'3_보호자행동'!$AD$5:$AD$35,"ATT",'3_보호자행동'!$BA$5:$BA$35,"B")),"A",IF((SUMIFS('1_바디시그널'!$AG$5:$AG$36,'1_바디시그널'!$AD$5:$AD$36,"ATT",'1_바디시그널'!$BA$5:$BA$36,"B")+SUMIFS('2_개행동'!$AG$5:$AG$26,'2_개행동'!$AD$5:$AD$26,"ATT",'2_개행동'!$BA$5:$BA$26,"B")+SUMIFS('3_보호자행동'!$AG$5:$AG$35,'3_보호자행동'!$AD$5:$AD$35,"ATT",'3_보호자행동'!$BA$5:$BA$35,"B"))&gt;(SUMIFS('1_바디시그널'!$AG$5:$AG$36,'1_바디시그널'!$AD$5:$AD$36,"ATT",'1_바디시그널'!$BA$5:$BA$36,"A")+SUMIFS('2_개행동'!$AG$5:$AG$26,'2_개행동'!$AD$5:$AD$26,"ATT",'2_개행동'!$BA$5:$BA$26,"A")+SUMIFS('3_보호자행동'!$AG$5:$AG$35,'3_보호자행동'!$AD$5:$AD$35,"ATT",'3_보호자행동'!$BA$5:$BA$35,"A")),"B","-")))</f>
        <v/>
      </c>
      <c r="S8" s="49">
        <f>IF((COUNTIFS('1_바디시그널'!$AD$5:$AD$36,"CON",'1_바디시그널'!$AG$5:$AG$36,"&gt;=1")+COUNTIFS('2_개행동'!$AD$5:$AD$26,"CON",'2_개행동'!$AG$5:$AG$26,"&gt;=1")+COUNTIFS('3_보호자행동'!$AD$5:$AD$35,"CON",'3_보호자행동'!$AG$5:$AG$35,"&gt;=1"))=0,"",MAX(_xlfn.MAXIFS('1_바디시그널'!$AG$5:$AG$36,'1_바디시그널'!$AD$5:$AD$36,"CON"),_xlfn.MAXIFS('2_개행동'!$AG$5:$AG$26,'2_개행동'!$AD$5:$AD$26,"CON"),_xlfn.MAXIFS('3_보호자행동'!$AG$5:$AG$35,'3_보호자행동'!$AD$5:$AD$35,"CON")))</f>
        <v/>
      </c>
      <c r="T8" s="49">
        <f>IF((COUNTIFS('1_바디시그널'!$AD$5:$AD$36,"CON",'1_바디시그널'!$AG$5:$AG$36,"&gt;=1")+COUNTIFS('2_개행동'!$AD$5:$AD$26,"CON",'2_개행동'!$AG$5:$AG$26,"&gt;=1")+COUNTIFS('3_보호자행동'!$AD$5:$AD$35,"CON",'3_보호자행동'!$AG$5:$AG$35,"&gt;=1"))=0,"",ROUND((SUMIFS('1_바디시그널'!$AG$5:$AG$36,'1_바디시그널'!$AD$5:$AD$36,"CON",'1_바디시그널'!$AG$5:$AG$36,"&gt;=1")+SUMIFS('2_개행동'!$AG$5:$AG$26,'2_개행동'!$AD$5:$AD$26,"CON",'2_개행동'!$AG$5:$AG$26,"&gt;=1")+SUMIFS('3_보호자행동'!$AG$5:$AG$35,'3_보호자행동'!$AD$5:$AD$35,"CON",'3_보호자행동'!$AG$5:$AG$35,"&gt;=1"))/(COUNTIFS('1_바디시그널'!$AD$5:$AD$36,"CON",'1_바디시그널'!$AG$5:$AG$36,"&gt;=1")+COUNTIFS('2_개행동'!$AD$5:$AD$26,"CON",'2_개행동'!$AG$5:$AG$26,"&gt;=1")+COUNTIFS('3_보호자행동'!$AD$5:$AD$35,"CON",'3_보호자행동'!$AG$5:$AG$35,"&gt;=1")),2))</f>
        <v/>
      </c>
      <c r="U8" s="49">
        <f>IF((COUNTIFS('1_바디시그널'!$AD$5:$AD$36,"CON",'1_바디시그널'!$AG$5:$AG$36,"&gt;=1")+COUNTIFS('2_개행동'!$AD$5:$AD$26,"CON",'2_개행동'!$AG$5:$AG$26,"&gt;=1")+COUNTIFS('3_보호자행동'!$AD$5:$AD$35,"CON",'3_보호자행동'!$AG$5:$AG$35,"&gt;=1"))=0,"",IF((SUMIFS('1_바디시그널'!$AG$5:$AG$36,'1_바디시그널'!$AD$5:$AD$36,"CON",'1_바디시그널'!$BA$5:$BA$36,"A")+SUMIFS('2_개행동'!$AG$5:$AG$26,'2_개행동'!$AD$5:$AD$26,"CON",'2_개행동'!$BA$5:$BA$26,"A")+SUMIFS('3_보호자행동'!$AG$5:$AG$35,'3_보호자행동'!$AD$5:$AD$35,"CON",'3_보호자행동'!$BA$5:$BA$35,"A"))&gt;(SUMIFS('1_바디시그널'!$AG$5:$AG$36,'1_바디시그널'!$AD$5:$AD$36,"CON",'1_바디시그널'!$BA$5:$BA$36,"B")+SUMIFS('2_개행동'!$AG$5:$AG$26,'2_개행동'!$AD$5:$AD$26,"CON",'2_개행동'!$BA$5:$BA$26,"B")+SUMIFS('3_보호자행동'!$AG$5:$AG$35,'3_보호자행동'!$AD$5:$AD$35,"CON",'3_보호자행동'!$BA$5:$BA$35,"B")),"A",IF((SUMIFS('1_바디시그널'!$AG$5:$AG$36,'1_바디시그널'!$AD$5:$AD$36,"CON",'1_바디시그널'!$BA$5:$BA$36,"B")+SUMIFS('2_개행동'!$AG$5:$AG$26,'2_개행동'!$AD$5:$AD$26,"CON",'2_개행동'!$BA$5:$BA$26,"B")+SUMIFS('3_보호자행동'!$AG$5:$AG$35,'3_보호자행동'!$AD$5:$AD$35,"CON",'3_보호자행동'!$BA$5:$BA$35,"B"))&gt;(SUMIFS('1_바디시그널'!$AG$5:$AG$36,'1_바디시그널'!$AD$5:$AD$36,"CON",'1_바디시그널'!$BA$5:$BA$36,"A")+SUMIFS('2_개행동'!$AG$5:$AG$26,'2_개행동'!$AD$5:$AD$26,"CON",'2_개행동'!$BA$5:$BA$26,"A")+SUMIFS('3_보호자행동'!$AG$5:$AG$35,'3_보호자행동'!$AD$5:$AD$35,"CON",'3_보호자행동'!$BA$5:$BA$35,"A")),"B","-")))</f>
        <v/>
      </c>
      <c r="V8" s="48">
        <f>IF(COUNT(X8:AA8)=0,"",ROUND(MAX(X8:AA8)-MIN(X8:AA8),2))</f>
        <v/>
      </c>
      <c r="W8" s="47" t="n"/>
      <c r="X8" s="49">
        <f>IFERROR(SUMIFS('3_보호자행동'!$AG$5:$AG$35,'3_보호자행동'!$A$5:$A$35,"입장",'3_보호자행동'!$AG$5:$AG$35,"&gt;=1")/COUNTIFS('3_보호자행동'!$A$5:$A$35,"입장",'3_보호자행동'!$AG$5:$AG$35,"&gt;=1"),"")</f>
        <v/>
      </c>
      <c r="Y8" s="49">
        <f>IFERROR(SUMIFS('3_보호자행동'!$AG$5:$AG$35,'3_보호자행동'!$A$5:$A$35,"분리",'3_보호자행동'!$AG$5:$AG$35,"&gt;=1")/COUNTIFS('3_보호자행동'!$A$5:$A$35,"분리",'3_보호자행동'!$AG$5:$AG$35,"&gt;=1"),"")</f>
        <v/>
      </c>
      <c r="Z8" s="49">
        <f>IFERROR(SUMIFS('3_보호자행동'!$AG$5:$AG$35,'3_보호자행동'!$A$5:$A$35,"훈련",'3_보호자행동'!$AG$5:$AG$35,"&gt;=1")/COUNTIFS('3_보호자행동'!$A$5:$A$35,"훈련",'3_보호자행동'!$AG$5:$AG$35,"&gt;=1"),"")</f>
        <v/>
      </c>
      <c r="AA8" s="49">
        <f>IFERROR(SUMIFS('3_보호자행동'!$AG$5:$AG$35,'3_보호자행동'!$A$5:$A$35,"놀이",'3_보호자행동'!$AG$5:$AG$35,"&gt;=1")/COUNTIFS('3_보호자행동'!$A$5:$A$35,"놀이",'3_보호자행동'!$AG$5:$AG$35,"&gt;=1"),"")</f>
        <v/>
      </c>
      <c r="AB8">
        <f>IF((COUNTIFS('1_바디시그널'!$AD$5:$AD$36,"TRN",'1_바디시그널'!$AG$5:$AG$36,"&gt;=1")+COUNTIFS('2_개행동'!$AD$5:$AD$26,"TRN",'2_개행동'!$AG$5:$AG$26,"&gt;=1")+COUNTIFS('3_보호자행동'!$AD$5:$AD$35,"TRN",'3_보호자행동'!$AG$5:$AG$35,"&gt;=1"))=0,"",MAX(_xlfn.MAXIFS('1_바디시그널'!$AG$5:$AG$36,'1_바디시그널'!$AD$5:$AD$36,"TRN"),_xlfn.MAXIFS('2_개행동'!$AG$5:$AG$26,'2_개행동'!$AD$5:$AD$26,"TRN"),_xlfn.MAXIFS('3_보호자행동'!$AG$5:$AG$35,'3_보호자행동'!$AD$5:$AD$35,"TRN")))</f>
        <v/>
      </c>
      <c r="AC8">
        <f>IF((COUNTIFS('1_바디시그널'!$AD$5:$AD$36,"TRN",'1_바디시그널'!$AG$5:$AG$36,"&gt;=1")+COUNTIFS('2_개행동'!$AD$5:$AD$26,"TRN",'2_개행동'!$AG$5:$AG$26,"&gt;=1")+COUNTIFS('3_보호자행동'!$AD$5:$AD$35,"TRN",'3_보호자행동'!$AG$5:$AG$35,"&gt;=1"))=0,"",ROUND((SUMIFS('1_바디시그널'!$AG$5:$AG$36,'1_바디시그널'!$AD$5:$AD$36,"TRN",'1_바디시그널'!$AG$5:$AG$36,"&gt;=1")+SUMIFS('2_개행동'!$AG$5:$AG$26,'2_개행동'!$AD$5:$AD$26,"TRN",'2_개행동'!$AG$5:$AG$26,"&gt;=1")+SUMIFS('3_보호자행동'!$AG$5:$AG$35,'3_보호자행동'!$AD$5:$AD$35,"TRN",'3_보호자행동'!$AG$5:$AG$35,"&gt;=1"))/(COUNTIFS('1_바디시그널'!$AD$5:$AD$36,"TRN",'1_바디시그널'!$AG$5:$AG$36,"&gt;=1")+COUNTIFS('2_개행동'!$AD$5:$AD$26,"TRN",'2_개행동'!$AG$5:$AG$26,"&gt;=1")+COUNTIFS('3_보호자행동'!$AD$5:$AD$35,"TRN",'3_보호자행동'!$AG$5:$AG$35,"&gt;=1")),2))</f>
        <v/>
      </c>
      <c r="AD8">
        <f>IF((COUNTIFS('1_바디시그널'!$AD$5:$AD$36,"TRN",'1_바디시그널'!$AG$5:$AG$36,"&gt;=1")+COUNTIFS('2_개행동'!$AD$5:$AD$26,"TRN",'2_개행동'!$AG$5:$AG$26,"&gt;=1")+COUNTIFS('3_보호자행동'!$AD$5:$AD$35,"TRN",'3_보호자행동'!$AG$5:$AG$35,"&gt;=1"))=0,"",IF((SUMIFS('1_바디시그널'!$AG$5:$AG$36,'1_바디시그널'!$AD$5:$AD$36,"TRN",'1_바디시그널'!$BA$5:$BA$36,"A")+SUMIFS('2_개행동'!$AG$5:$AG$26,'2_개행동'!$AD$5:$AD$26,"TRN",'2_개행동'!$BA$5:$BA$26,"A")+SUMIFS('3_보호자행동'!$AG$5:$AG$35,'3_보호자행동'!$AD$5:$AD$35,"TRN",'3_보호자행동'!$BA$5:$BA$35,"A"))&gt;(SUMIFS('1_바디시그널'!$AG$5:$AG$36,'1_바디시그널'!$AD$5:$AD$36,"TRN",'1_바디시그널'!$BA$5:$BA$36,"B")+SUMIFS('2_개행동'!$AG$5:$AG$26,'2_개행동'!$AD$5:$AD$26,"TRN",'2_개행동'!$BA$5:$BA$26,"B")+SUMIFS('3_보호자행동'!$AG$5:$AG$35,'3_보호자행동'!$AD$5:$AD$35,"TRN",'3_보호자행동'!$BA$5:$BA$35,"B")),"A",IF((SUMIFS('1_바디시그널'!$AG$5:$AG$36,'1_바디시그널'!$AD$5:$AD$36,"TRN",'1_바디시그널'!$BA$5:$BA$36,"B")+SUMIFS('2_개행동'!$AG$5:$AG$26,'2_개행동'!$AD$5:$AD$26,"TRN",'2_개행동'!$BA$5:$BA$26,"B")+SUMIFS('3_보호자행동'!$AG$5:$AG$35,'3_보호자행동'!$AD$5:$AD$35,"TRN",'3_보호자행동'!$BA$5:$BA$35,"B"))&gt;(SUMIFS('1_바디시그널'!$AG$5:$AG$36,'1_바디시그널'!$AD$5:$AD$36,"TRN",'1_바디시그널'!$BA$5:$BA$36,"A")+SUMIFS('2_개행동'!$AG$5:$AG$26,'2_개행동'!$AD$5:$AD$26,"TRN",'2_개행동'!$BA$5:$BA$26,"A")+SUMIFS('3_보호자행동'!$AG$5:$AG$35,'3_보호자행동'!$AD$5:$AD$35,"TRN",'3_보호자행동'!$BA$5:$BA$35,"A")),"B","-")))</f>
        <v/>
      </c>
      <c r="AE8">
        <f>IF('2_개행동'!$L$11="","",'2_개행동'!$L$11&amp;IF('2_개행동'!$L$11=3," [B]",IF('2_개행동'!$L$11=1,""," [A]")))</f>
        <v/>
      </c>
    </row>
    <row r="9" ht="18.75" customHeight="1" s="1">
      <c r="A9" s="46" t="n">
        <v>4</v>
      </c>
      <c r="B9" s="47" t="n"/>
      <c r="C9" s="47" t="n"/>
      <c r="D9" s="48">
        <f>IF((COUNTIFS('1_바디시그널'!$AD$5:$AD$36,"EDU",'1_바디시그널'!$AH$5:$AH$36,"&gt;=1")+COUNTIFS('2_개행동'!$AD$5:$AD$26,"EDU",'2_개행동'!$AH$5:$AH$26,"&gt;=1")+COUNTIFS('3_보호자행동'!$AD$5:$AD$35,"EDU",'3_보호자행동'!$AH$5:$AH$35,"&gt;=1"))=0,"",MAX(_xlfn.MAXIFS('1_바디시그널'!$AH$5:$AH$36,'1_바디시그널'!$AD$5:$AD$36,"EDU"),_xlfn.MAXIFS('2_개행동'!$AH$5:$AH$26,'2_개행동'!$AD$5:$AD$26,"EDU"),_xlfn.MAXIFS('3_보호자행동'!$AH$5:$AH$35,'3_보호자행동'!$AD$5:$AD$35,"EDU")))</f>
        <v/>
      </c>
      <c r="E9" s="49">
        <f>IF((COUNTIFS('1_바디시그널'!$AD$5:$AD$36,"EDU",'1_바디시그널'!$AH$5:$AH$36,"&gt;=1")+COUNTIFS('2_개행동'!$AD$5:$AD$26,"EDU",'2_개행동'!$AH$5:$AH$26,"&gt;=1")+COUNTIFS('3_보호자행동'!$AD$5:$AD$35,"EDU",'3_보호자행동'!$AH$5:$AH$35,"&gt;=1"))=0,"",ROUND((SUMIFS('1_바디시그널'!$AH$5:$AH$36,'1_바디시그널'!$AD$5:$AD$36,"EDU",'1_바디시그널'!$AH$5:$AH$36,"&gt;=1")+SUMIFS('2_개행동'!$AH$5:$AH$26,'2_개행동'!$AD$5:$AD$26,"EDU",'2_개행동'!$AH$5:$AH$26,"&gt;=1")+SUMIFS('3_보호자행동'!$AH$5:$AH$35,'3_보호자행동'!$AD$5:$AD$35,"EDU",'3_보호자행동'!$AH$5:$AH$35,"&gt;=1"))/(COUNTIFS('1_바디시그널'!$AD$5:$AD$36,"EDU",'1_바디시그널'!$AH$5:$AH$36,"&gt;=1")+COUNTIFS('2_개행동'!$AD$5:$AD$26,"EDU",'2_개행동'!$AH$5:$AH$26,"&gt;=1")+COUNTIFS('3_보호자행동'!$AD$5:$AD$35,"EDU",'3_보호자행동'!$AH$5:$AH$35,"&gt;=1")),2))</f>
        <v/>
      </c>
      <c r="F9" s="49">
        <f>IF((COUNTIFS('1_바디시그널'!$AD$5:$AD$36,"EDU",'1_바디시그널'!$AH$5:$AH$36,"&gt;=1")+COUNTIFS('2_개행동'!$AD$5:$AD$26,"EDU",'2_개행동'!$AH$5:$AH$26,"&gt;=1")+COUNTIFS('3_보호자행동'!$AD$5:$AD$35,"EDU",'3_보호자행동'!$AH$5:$AH$35,"&gt;=1"))=0,"",IF((SUMIFS('1_바디시그널'!$AH$5:$AH$36,'1_바디시그널'!$AD$5:$AD$36,"EDU",'1_바디시그널'!$BB$5:$BB$36,"A")+SUMIFS('2_개행동'!$AH$5:$AH$26,'2_개행동'!$AD$5:$AD$26,"EDU",'2_개행동'!$BB$5:$BB$26,"A")+SUMIFS('3_보호자행동'!$AH$5:$AH$35,'3_보호자행동'!$AD$5:$AD$35,"EDU",'3_보호자행동'!$BB$5:$BB$35,"A"))&gt;(SUMIFS('1_바디시그널'!$AH$5:$AH$36,'1_바디시그널'!$AD$5:$AD$36,"EDU",'1_바디시그널'!$BB$5:$BB$36,"B")+SUMIFS('2_개행동'!$AH$5:$AH$26,'2_개행동'!$AD$5:$AD$26,"EDU",'2_개행동'!$BB$5:$BB$26,"B")+SUMIFS('3_보호자행동'!$AH$5:$AH$35,'3_보호자행동'!$AD$5:$AD$35,"EDU",'3_보호자행동'!$BB$5:$BB$35,"B")),"A",IF((SUMIFS('1_바디시그널'!$AH$5:$AH$36,'1_바디시그널'!$AD$5:$AD$36,"EDU",'1_바디시그널'!$BB$5:$BB$36,"B")+SUMIFS('2_개행동'!$AH$5:$AH$26,'2_개행동'!$AD$5:$AD$26,"EDU",'2_개행동'!$BB$5:$BB$26,"B")+SUMIFS('3_보호자행동'!$AH$5:$AH$35,'3_보호자행동'!$AD$5:$AD$35,"EDU",'3_보호자행동'!$BB$5:$BB$35,"B"))&gt;(SUMIFS('1_바디시그널'!$AH$5:$AH$36,'1_바디시그널'!$AD$5:$AD$36,"EDU",'1_바디시그널'!$BB$5:$BB$36,"A")+SUMIFS('2_개행동'!$AH$5:$AH$26,'2_개행동'!$AD$5:$AD$26,"EDU",'2_개행동'!$BB$5:$BB$26,"A")+SUMIFS('3_보호자행동'!$AH$5:$AH$35,'3_보호자행동'!$AD$5:$AD$35,"EDU",'3_보호자행동'!$BB$5:$BB$35,"A")),"B","-")))</f>
        <v/>
      </c>
      <c r="G9" s="49">
        <f>IF((COUNTIFS('1_바디시그널'!$AD$5:$AD$36,"SOC_P",'1_바디시그널'!$AH$5:$AH$36,"&gt;=1")+COUNTIFS('2_개행동'!$AD$5:$AD$26,"SOC_P",'2_개행동'!$AH$5:$AH$26,"&gt;=1")+COUNTIFS('3_보호자행동'!$AD$5:$AD$35,"SOC_P",'3_보호자행동'!$AH$5:$AH$35,"&gt;=1"))=0,"",MAX(_xlfn.MAXIFS('1_바디시그널'!$AH$5:$AH$36,'1_바디시그널'!$AD$5:$AD$36,"SOC_P"),_xlfn.MAXIFS('2_개행동'!$AH$5:$AH$26,'2_개행동'!$AD$5:$AD$26,"SOC_P"),_xlfn.MAXIFS('3_보호자행동'!$AH$5:$AH$35,'3_보호자행동'!$AD$5:$AD$35,"SOC_P")))</f>
        <v/>
      </c>
      <c r="H9" s="49">
        <f>IF((COUNTIFS('1_바디시그널'!$AD$5:$AD$36,"SOC_P",'1_바디시그널'!$AH$5:$AH$36,"&gt;=1")+COUNTIFS('2_개행동'!$AD$5:$AD$26,"SOC_P",'2_개행동'!$AH$5:$AH$26,"&gt;=1")+COUNTIFS('3_보호자행동'!$AD$5:$AD$35,"SOC_P",'3_보호자행동'!$AH$5:$AH$35,"&gt;=1"))=0,"",ROUND((SUMIFS('1_바디시그널'!$AH$5:$AH$36,'1_바디시그널'!$AD$5:$AD$36,"SOC_P",'1_바디시그널'!$AH$5:$AH$36,"&gt;=1")+SUMIFS('2_개행동'!$AH$5:$AH$26,'2_개행동'!$AD$5:$AD$26,"SOC_P",'2_개행동'!$AH$5:$AH$26,"&gt;=1")+SUMIFS('3_보호자행동'!$AH$5:$AH$35,'3_보호자행동'!$AD$5:$AD$35,"SOC_P",'3_보호자행동'!$AH$5:$AH$35,"&gt;=1"))/(COUNTIFS('1_바디시그널'!$AD$5:$AD$36,"SOC_P",'1_바디시그널'!$AH$5:$AH$36,"&gt;=1")+COUNTIFS('2_개행동'!$AD$5:$AD$26,"SOC_P",'2_개행동'!$AH$5:$AH$26,"&gt;=1")+COUNTIFS('3_보호자행동'!$AD$5:$AD$35,"SOC_P",'3_보호자행동'!$AH$5:$AH$35,"&gt;=1")),2))</f>
        <v/>
      </c>
      <c r="I9" s="49">
        <f>IF((COUNTIFS('1_바디시그널'!$AD$5:$AD$36,"SOC_P",'1_바디시그널'!$AH$5:$AH$36,"&gt;=1")+COUNTIFS('2_개행동'!$AD$5:$AD$26,"SOC_P",'2_개행동'!$AH$5:$AH$26,"&gt;=1")+COUNTIFS('3_보호자행동'!$AD$5:$AD$35,"SOC_P",'3_보호자행동'!$AH$5:$AH$35,"&gt;=1"))=0,"",IF((SUMIFS('1_바디시그널'!$AH$5:$AH$36,'1_바디시그널'!$AD$5:$AD$36,"SOC_P",'1_바디시그널'!$BB$5:$BB$36,"A")+SUMIFS('2_개행동'!$AH$5:$AH$26,'2_개행동'!$AD$5:$AD$26,"SOC_P",'2_개행동'!$BB$5:$BB$26,"A")+SUMIFS('3_보호자행동'!$AH$5:$AH$35,'3_보호자행동'!$AD$5:$AD$35,"SOC_P",'3_보호자행동'!$BB$5:$BB$35,"A"))&gt;(SUMIFS('1_바디시그널'!$AH$5:$AH$36,'1_바디시그널'!$AD$5:$AD$36,"SOC_P",'1_바디시그널'!$BB$5:$BB$36,"B")+SUMIFS('2_개행동'!$AH$5:$AH$26,'2_개행동'!$AD$5:$AD$26,"SOC_P",'2_개행동'!$BB$5:$BB$26,"B")+SUMIFS('3_보호자행동'!$AH$5:$AH$35,'3_보호자행동'!$AD$5:$AD$35,"SOC_P",'3_보호자행동'!$BB$5:$BB$35,"B")),"A",IF((SUMIFS('1_바디시그널'!$AH$5:$AH$36,'1_바디시그널'!$AD$5:$AD$36,"SOC_P",'1_바디시그널'!$BB$5:$BB$36,"B")+SUMIFS('2_개행동'!$AH$5:$AH$26,'2_개행동'!$AD$5:$AD$26,"SOC_P",'2_개행동'!$BB$5:$BB$26,"B")+SUMIFS('3_보호자행동'!$AH$5:$AH$35,'3_보호자행동'!$AD$5:$AD$35,"SOC_P",'3_보호자행동'!$BB$5:$BB$35,"B"))&gt;(SUMIFS('1_바디시그널'!$AH$5:$AH$36,'1_바디시그널'!$AD$5:$AD$36,"SOC_P",'1_바디시그널'!$BB$5:$BB$36,"A")+SUMIFS('2_개행동'!$AH$5:$AH$26,'2_개행동'!$AD$5:$AD$26,"SOC_P",'2_개행동'!$BB$5:$BB$26,"A")+SUMIFS('3_보호자행동'!$AH$5:$AH$35,'3_보호자행동'!$AD$5:$AD$35,"SOC_P",'3_보호자행동'!$BB$5:$BB$35,"A")),"B","-")))</f>
        <v/>
      </c>
      <c r="J9" s="49">
        <f>IF((COUNTIFS('1_바디시그널'!$AD$5:$AD$36,"SOC_D",'1_바디시그널'!$AH$5:$AH$36,"&gt;=1")+COUNTIFS('2_개행동'!$AD$5:$AD$26,"SOC_D",'2_개행동'!$AH$5:$AH$26,"&gt;=1")+COUNTIFS('3_보호자행동'!$AD$5:$AD$35,"SOC_D",'3_보호자행동'!$AH$5:$AH$35,"&gt;=1"))=0,"",MAX(_xlfn.MAXIFS('1_바디시그널'!$AH$5:$AH$36,'1_바디시그널'!$AD$5:$AD$36,"SOC_D"),_xlfn.MAXIFS('2_개행동'!$AH$5:$AH$26,'2_개행동'!$AD$5:$AD$26,"SOC_D"),_xlfn.MAXIFS('3_보호자행동'!$AH$5:$AH$35,'3_보호자행동'!$AD$5:$AD$35,"SOC_D")))</f>
        <v/>
      </c>
      <c r="K9" s="49">
        <f>IF((COUNTIFS('1_바디시그널'!$AD$5:$AD$36,"SOC_D",'1_바디시그널'!$AH$5:$AH$36,"&gt;=1")+COUNTIFS('2_개행동'!$AD$5:$AD$26,"SOC_D",'2_개행동'!$AH$5:$AH$26,"&gt;=1")+COUNTIFS('3_보호자행동'!$AD$5:$AD$35,"SOC_D",'3_보호자행동'!$AH$5:$AH$35,"&gt;=1"))=0,"",ROUND((SUMIFS('1_바디시그널'!$AH$5:$AH$36,'1_바디시그널'!$AD$5:$AD$36,"SOC_D",'1_바디시그널'!$AH$5:$AH$36,"&gt;=1")+SUMIFS('2_개행동'!$AH$5:$AH$26,'2_개행동'!$AD$5:$AD$26,"SOC_D",'2_개행동'!$AH$5:$AH$26,"&gt;=1")+SUMIFS('3_보호자행동'!$AH$5:$AH$35,'3_보호자행동'!$AD$5:$AD$35,"SOC_D",'3_보호자행동'!$AH$5:$AH$35,"&gt;=1"))/(COUNTIFS('1_바디시그널'!$AD$5:$AD$36,"SOC_D",'1_바디시그널'!$AH$5:$AH$36,"&gt;=1")+COUNTIFS('2_개행동'!$AD$5:$AD$26,"SOC_D",'2_개행동'!$AH$5:$AH$26,"&gt;=1")+COUNTIFS('3_보호자행동'!$AD$5:$AD$35,"SOC_D",'3_보호자행동'!$AH$5:$AH$35,"&gt;=1")),2))</f>
        <v/>
      </c>
      <c r="L9" s="49">
        <f>IF((COUNTIFS('1_바디시그널'!$AD$5:$AD$36,"SOC_D",'1_바디시그널'!$AH$5:$AH$36,"&gt;=1")+COUNTIFS('2_개행동'!$AD$5:$AD$26,"SOC_D",'2_개행동'!$AH$5:$AH$26,"&gt;=1")+COUNTIFS('3_보호자행동'!$AD$5:$AD$35,"SOC_D",'3_보호자행동'!$AH$5:$AH$35,"&gt;=1"))=0,"",IF((SUMIFS('1_바디시그널'!$AH$5:$AH$36,'1_바디시그널'!$AD$5:$AD$36,"SOC_D",'1_바디시그널'!$BB$5:$BB$36,"A")+SUMIFS('2_개행동'!$AH$5:$AH$26,'2_개행동'!$AD$5:$AD$26,"SOC_D",'2_개행동'!$BB$5:$BB$26,"A")+SUMIFS('3_보호자행동'!$AH$5:$AH$35,'3_보호자행동'!$AD$5:$AD$35,"SOC_D",'3_보호자행동'!$BB$5:$BB$35,"A"))&gt;(SUMIFS('1_바디시그널'!$AH$5:$AH$36,'1_바디시그널'!$AD$5:$AD$36,"SOC_D",'1_바디시그널'!$BB$5:$BB$36,"B")+SUMIFS('2_개행동'!$AH$5:$AH$26,'2_개행동'!$AD$5:$AD$26,"SOC_D",'2_개행동'!$BB$5:$BB$26,"B")+SUMIFS('3_보호자행동'!$AH$5:$AH$35,'3_보호자행동'!$AD$5:$AD$35,"SOC_D",'3_보호자행동'!$BB$5:$BB$35,"B")),"A",IF((SUMIFS('1_바디시그널'!$AH$5:$AH$36,'1_바디시그널'!$AD$5:$AD$36,"SOC_D",'1_바디시그널'!$BB$5:$BB$36,"B")+SUMIFS('2_개행동'!$AH$5:$AH$26,'2_개행동'!$AD$5:$AD$26,"SOC_D",'2_개행동'!$BB$5:$BB$26,"B")+SUMIFS('3_보호자행동'!$AH$5:$AH$35,'3_보호자행동'!$AD$5:$AD$35,"SOC_D",'3_보호자행동'!$BB$5:$BB$35,"B"))&gt;(SUMIFS('1_바디시그널'!$AH$5:$AH$36,'1_바디시그널'!$AD$5:$AD$36,"SOC_D",'1_바디시그널'!$BB$5:$BB$36,"A")+SUMIFS('2_개행동'!$AH$5:$AH$26,'2_개행동'!$AD$5:$AD$26,"SOC_D",'2_개행동'!$BB$5:$BB$26,"A")+SUMIFS('3_보호자행동'!$AH$5:$AH$35,'3_보호자행동'!$AD$5:$AD$35,"SOC_D",'3_보호자행동'!$BB$5:$BB$35,"A")),"B","-")))</f>
        <v/>
      </c>
      <c r="M9" s="49">
        <f>IF((COUNTIFS('1_바디시그널'!$AD$5:$AD$36,"SOC_E",'1_바디시그널'!$AH$5:$AH$36,"&gt;=1")+COUNTIFS('2_개행동'!$AD$5:$AD$26,"SOC_E",'2_개행동'!$AH$5:$AH$26,"&gt;=1")+COUNTIFS('3_보호자행동'!$AD$5:$AD$35,"SOC_E",'3_보호자행동'!$AH$5:$AH$35,"&gt;=1"))=0,"",MAX(_xlfn.MAXIFS('1_바디시그널'!$AH$5:$AH$36,'1_바디시그널'!$AD$5:$AD$36,"SOC_E"),_xlfn.MAXIFS('2_개행동'!$AH$5:$AH$26,'2_개행동'!$AD$5:$AD$26,"SOC_E"),_xlfn.MAXIFS('3_보호자행동'!$AH$5:$AH$35,'3_보호자행동'!$AD$5:$AD$35,"SOC_E")))</f>
        <v/>
      </c>
      <c r="N9" s="49">
        <f>IF((COUNTIFS('1_바디시그널'!$AD$5:$AD$36,"SOC_E",'1_바디시그널'!$AH$5:$AH$36,"&gt;=1")+COUNTIFS('2_개행동'!$AD$5:$AD$26,"SOC_E",'2_개행동'!$AH$5:$AH$26,"&gt;=1")+COUNTIFS('3_보호자행동'!$AD$5:$AD$35,"SOC_E",'3_보호자행동'!$AH$5:$AH$35,"&gt;=1"))=0,"",ROUND((SUMIFS('1_바디시그널'!$AH$5:$AH$36,'1_바디시그널'!$AD$5:$AD$36,"SOC_E",'1_바디시그널'!$AH$5:$AH$36,"&gt;=1")+SUMIFS('2_개행동'!$AH$5:$AH$26,'2_개행동'!$AD$5:$AD$26,"SOC_E",'2_개행동'!$AH$5:$AH$26,"&gt;=1")+SUMIFS('3_보호자행동'!$AH$5:$AH$35,'3_보호자행동'!$AD$5:$AD$35,"SOC_E",'3_보호자행동'!$AH$5:$AH$35,"&gt;=1"))/(COUNTIFS('1_바디시그널'!$AD$5:$AD$36,"SOC_E",'1_바디시그널'!$AH$5:$AH$36,"&gt;=1")+COUNTIFS('2_개행동'!$AD$5:$AD$26,"SOC_E",'2_개행동'!$AH$5:$AH$26,"&gt;=1")+COUNTIFS('3_보호자행동'!$AD$5:$AD$35,"SOC_E",'3_보호자행동'!$AH$5:$AH$35,"&gt;=1")),2))</f>
        <v/>
      </c>
      <c r="O9" s="49">
        <f>IF((COUNTIFS('1_바디시그널'!$AD$5:$AD$36,"SOC_E",'1_바디시그널'!$AH$5:$AH$36,"&gt;=1")+COUNTIFS('2_개행동'!$AD$5:$AD$26,"SOC_E",'2_개행동'!$AH$5:$AH$26,"&gt;=1")+COUNTIFS('3_보호자행동'!$AD$5:$AD$35,"SOC_E",'3_보호자행동'!$AH$5:$AH$35,"&gt;=1"))=0,"",IF((SUMIFS('1_바디시그널'!$AH$5:$AH$36,'1_바디시그널'!$AD$5:$AD$36,"SOC_E",'1_바디시그널'!$BB$5:$BB$36,"A")+SUMIFS('2_개행동'!$AH$5:$AH$26,'2_개행동'!$AD$5:$AD$26,"SOC_E",'2_개행동'!$BB$5:$BB$26,"A")+SUMIFS('3_보호자행동'!$AH$5:$AH$35,'3_보호자행동'!$AD$5:$AD$35,"SOC_E",'3_보호자행동'!$BB$5:$BB$35,"A"))&gt;(SUMIFS('1_바디시그널'!$AH$5:$AH$36,'1_바디시그널'!$AD$5:$AD$36,"SOC_E",'1_바디시그널'!$BB$5:$BB$36,"B")+SUMIFS('2_개행동'!$AH$5:$AH$26,'2_개행동'!$AD$5:$AD$26,"SOC_E",'2_개행동'!$BB$5:$BB$26,"B")+SUMIFS('3_보호자행동'!$AH$5:$AH$35,'3_보호자행동'!$AD$5:$AD$35,"SOC_E",'3_보호자행동'!$BB$5:$BB$35,"B")),"A",IF((SUMIFS('1_바디시그널'!$AH$5:$AH$36,'1_바디시그널'!$AD$5:$AD$36,"SOC_E",'1_바디시그널'!$BB$5:$BB$36,"B")+SUMIFS('2_개행동'!$AH$5:$AH$26,'2_개행동'!$AD$5:$AD$26,"SOC_E",'2_개행동'!$BB$5:$BB$26,"B")+SUMIFS('3_보호자행동'!$AH$5:$AH$35,'3_보호자행동'!$AD$5:$AD$35,"SOC_E",'3_보호자행동'!$BB$5:$BB$35,"B"))&gt;(SUMIFS('1_바디시그널'!$AH$5:$AH$36,'1_바디시그널'!$AD$5:$AD$36,"SOC_E",'1_바디시그널'!$BB$5:$BB$36,"A")+SUMIFS('2_개행동'!$AH$5:$AH$26,'2_개행동'!$AD$5:$AD$26,"SOC_E",'2_개행동'!$BB$5:$BB$26,"A")+SUMIFS('3_보호자행동'!$AH$5:$AH$35,'3_보호자행동'!$AD$5:$AD$35,"SOC_E",'3_보호자행동'!$BB$5:$BB$35,"A")),"B","-")))</f>
        <v/>
      </c>
      <c r="P9" s="49">
        <f>IF((COUNTIFS('1_바디시그널'!$AD$5:$AD$36,"ATT",'1_바디시그널'!$AH$5:$AH$36,"&gt;=1")+COUNTIFS('2_개행동'!$AD$5:$AD$26,"ATT",'2_개행동'!$AH$5:$AH$26,"&gt;=1")+COUNTIFS('3_보호자행동'!$AD$5:$AD$35,"ATT",'3_보호자행동'!$AH$5:$AH$35,"&gt;=1"))=0,"",MAX(_xlfn.MAXIFS('1_바디시그널'!$AH$5:$AH$36,'1_바디시그널'!$AD$5:$AD$36,"ATT"),_xlfn.MAXIFS('2_개행동'!$AH$5:$AH$26,'2_개행동'!$AD$5:$AD$26,"ATT"),_xlfn.MAXIFS('3_보호자행동'!$AH$5:$AH$35,'3_보호자행동'!$AD$5:$AD$35,"ATT")))</f>
        <v/>
      </c>
      <c r="Q9" s="49">
        <f>IF((COUNTIFS('1_바디시그널'!$AD$5:$AD$36,"ATT",'1_바디시그널'!$AH$5:$AH$36,"&gt;=1")+COUNTIFS('2_개행동'!$AD$5:$AD$26,"ATT",'2_개행동'!$AH$5:$AH$26,"&gt;=1")+COUNTIFS('3_보호자행동'!$AD$5:$AD$35,"ATT",'3_보호자행동'!$AH$5:$AH$35,"&gt;=1"))=0,"",ROUND((SUMIFS('1_바디시그널'!$AH$5:$AH$36,'1_바디시그널'!$AD$5:$AD$36,"ATT",'1_바디시그널'!$AH$5:$AH$36,"&gt;=1")+SUMIFS('2_개행동'!$AH$5:$AH$26,'2_개행동'!$AD$5:$AD$26,"ATT",'2_개행동'!$AH$5:$AH$26,"&gt;=1")+SUMIFS('3_보호자행동'!$AH$5:$AH$35,'3_보호자행동'!$AD$5:$AD$35,"ATT",'3_보호자행동'!$AH$5:$AH$35,"&gt;=1"))/(COUNTIFS('1_바디시그널'!$AD$5:$AD$36,"ATT",'1_바디시그널'!$AH$5:$AH$36,"&gt;=1")+COUNTIFS('2_개행동'!$AD$5:$AD$26,"ATT",'2_개행동'!$AH$5:$AH$26,"&gt;=1")+COUNTIFS('3_보호자행동'!$AD$5:$AD$35,"ATT",'3_보호자행동'!$AH$5:$AH$35,"&gt;=1")),2))</f>
        <v/>
      </c>
      <c r="R9" s="49">
        <f>IF((COUNTIFS('1_바디시그널'!$AD$5:$AD$36,"ATT",'1_바디시그널'!$AH$5:$AH$36,"&gt;=1")+COUNTIFS('2_개행동'!$AD$5:$AD$26,"ATT",'2_개행동'!$AH$5:$AH$26,"&gt;=1")+COUNTIFS('3_보호자행동'!$AD$5:$AD$35,"ATT",'3_보호자행동'!$AH$5:$AH$35,"&gt;=1"))=0,"",IF((SUMIFS('1_바디시그널'!$AH$5:$AH$36,'1_바디시그널'!$AD$5:$AD$36,"ATT",'1_바디시그널'!$BB$5:$BB$36,"A")+SUMIFS('2_개행동'!$AH$5:$AH$26,'2_개행동'!$AD$5:$AD$26,"ATT",'2_개행동'!$BB$5:$BB$26,"A")+SUMIFS('3_보호자행동'!$AH$5:$AH$35,'3_보호자행동'!$AD$5:$AD$35,"ATT",'3_보호자행동'!$BB$5:$BB$35,"A"))&gt;(SUMIFS('1_바디시그널'!$AH$5:$AH$36,'1_바디시그널'!$AD$5:$AD$36,"ATT",'1_바디시그널'!$BB$5:$BB$36,"B")+SUMIFS('2_개행동'!$AH$5:$AH$26,'2_개행동'!$AD$5:$AD$26,"ATT",'2_개행동'!$BB$5:$BB$26,"B")+SUMIFS('3_보호자행동'!$AH$5:$AH$35,'3_보호자행동'!$AD$5:$AD$35,"ATT",'3_보호자행동'!$BB$5:$BB$35,"B")),"A",IF((SUMIFS('1_바디시그널'!$AH$5:$AH$36,'1_바디시그널'!$AD$5:$AD$36,"ATT",'1_바디시그널'!$BB$5:$BB$36,"B")+SUMIFS('2_개행동'!$AH$5:$AH$26,'2_개행동'!$AD$5:$AD$26,"ATT",'2_개행동'!$BB$5:$BB$26,"B")+SUMIFS('3_보호자행동'!$AH$5:$AH$35,'3_보호자행동'!$AD$5:$AD$35,"ATT",'3_보호자행동'!$BB$5:$BB$35,"B"))&gt;(SUMIFS('1_바디시그널'!$AH$5:$AH$36,'1_바디시그널'!$AD$5:$AD$36,"ATT",'1_바디시그널'!$BB$5:$BB$36,"A")+SUMIFS('2_개행동'!$AH$5:$AH$26,'2_개행동'!$AD$5:$AD$26,"ATT",'2_개행동'!$BB$5:$BB$26,"A")+SUMIFS('3_보호자행동'!$AH$5:$AH$35,'3_보호자행동'!$AD$5:$AD$35,"ATT",'3_보호자행동'!$BB$5:$BB$35,"A")),"B","-")))</f>
        <v/>
      </c>
      <c r="S9" s="49">
        <f>IF((COUNTIFS('1_바디시그널'!$AD$5:$AD$36,"CON",'1_바디시그널'!$AH$5:$AH$36,"&gt;=1")+COUNTIFS('2_개행동'!$AD$5:$AD$26,"CON",'2_개행동'!$AH$5:$AH$26,"&gt;=1")+COUNTIFS('3_보호자행동'!$AD$5:$AD$35,"CON",'3_보호자행동'!$AH$5:$AH$35,"&gt;=1"))=0,"",MAX(_xlfn.MAXIFS('1_바디시그널'!$AH$5:$AH$36,'1_바디시그널'!$AD$5:$AD$36,"CON"),_xlfn.MAXIFS('2_개행동'!$AH$5:$AH$26,'2_개행동'!$AD$5:$AD$26,"CON"),_xlfn.MAXIFS('3_보호자행동'!$AH$5:$AH$35,'3_보호자행동'!$AD$5:$AD$35,"CON")))</f>
        <v/>
      </c>
      <c r="T9" s="49">
        <f>IF((COUNTIFS('1_바디시그널'!$AD$5:$AD$36,"CON",'1_바디시그널'!$AH$5:$AH$36,"&gt;=1")+COUNTIFS('2_개행동'!$AD$5:$AD$26,"CON",'2_개행동'!$AH$5:$AH$26,"&gt;=1")+COUNTIFS('3_보호자행동'!$AD$5:$AD$35,"CON",'3_보호자행동'!$AH$5:$AH$35,"&gt;=1"))=0,"",ROUND((SUMIFS('1_바디시그널'!$AH$5:$AH$36,'1_바디시그널'!$AD$5:$AD$36,"CON",'1_바디시그널'!$AH$5:$AH$36,"&gt;=1")+SUMIFS('2_개행동'!$AH$5:$AH$26,'2_개행동'!$AD$5:$AD$26,"CON",'2_개행동'!$AH$5:$AH$26,"&gt;=1")+SUMIFS('3_보호자행동'!$AH$5:$AH$35,'3_보호자행동'!$AD$5:$AD$35,"CON",'3_보호자행동'!$AH$5:$AH$35,"&gt;=1"))/(COUNTIFS('1_바디시그널'!$AD$5:$AD$36,"CON",'1_바디시그널'!$AH$5:$AH$36,"&gt;=1")+COUNTIFS('2_개행동'!$AD$5:$AD$26,"CON",'2_개행동'!$AH$5:$AH$26,"&gt;=1")+COUNTIFS('3_보호자행동'!$AD$5:$AD$35,"CON",'3_보호자행동'!$AH$5:$AH$35,"&gt;=1")),2))</f>
        <v/>
      </c>
      <c r="U9" s="49">
        <f>IF((COUNTIFS('1_바디시그널'!$AD$5:$AD$36,"CON",'1_바디시그널'!$AH$5:$AH$36,"&gt;=1")+COUNTIFS('2_개행동'!$AD$5:$AD$26,"CON",'2_개행동'!$AH$5:$AH$26,"&gt;=1")+COUNTIFS('3_보호자행동'!$AD$5:$AD$35,"CON",'3_보호자행동'!$AH$5:$AH$35,"&gt;=1"))=0,"",IF((SUMIFS('1_바디시그널'!$AH$5:$AH$36,'1_바디시그널'!$AD$5:$AD$36,"CON",'1_바디시그널'!$BB$5:$BB$36,"A")+SUMIFS('2_개행동'!$AH$5:$AH$26,'2_개행동'!$AD$5:$AD$26,"CON",'2_개행동'!$BB$5:$BB$26,"A")+SUMIFS('3_보호자행동'!$AH$5:$AH$35,'3_보호자행동'!$AD$5:$AD$35,"CON",'3_보호자행동'!$BB$5:$BB$35,"A"))&gt;(SUMIFS('1_바디시그널'!$AH$5:$AH$36,'1_바디시그널'!$AD$5:$AD$36,"CON",'1_바디시그널'!$BB$5:$BB$36,"B")+SUMIFS('2_개행동'!$AH$5:$AH$26,'2_개행동'!$AD$5:$AD$26,"CON",'2_개행동'!$BB$5:$BB$26,"B")+SUMIFS('3_보호자행동'!$AH$5:$AH$35,'3_보호자행동'!$AD$5:$AD$35,"CON",'3_보호자행동'!$BB$5:$BB$35,"B")),"A",IF((SUMIFS('1_바디시그널'!$AH$5:$AH$36,'1_바디시그널'!$AD$5:$AD$36,"CON",'1_바디시그널'!$BB$5:$BB$36,"B")+SUMIFS('2_개행동'!$AH$5:$AH$26,'2_개행동'!$AD$5:$AD$26,"CON",'2_개행동'!$BB$5:$BB$26,"B")+SUMIFS('3_보호자행동'!$AH$5:$AH$35,'3_보호자행동'!$AD$5:$AD$35,"CON",'3_보호자행동'!$BB$5:$BB$35,"B"))&gt;(SUMIFS('1_바디시그널'!$AH$5:$AH$36,'1_바디시그널'!$AD$5:$AD$36,"CON",'1_바디시그널'!$BB$5:$BB$36,"A")+SUMIFS('2_개행동'!$AH$5:$AH$26,'2_개행동'!$AD$5:$AD$26,"CON",'2_개행동'!$BB$5:$BB$26,"A")+SUMIFS('3_보호자행동'!$AH$5:$AH$35,'3_보호자행동'!$AD$5:$AD$35,"CON",'3_보호자행동'!$BB$5:$BB$35,"A")),"B","-")))</f>
        <v/>
      </c>
      <c r="V9" s="48">
        <f>IF(COUNT(X9:AA9)=0,"",ROUND(MAX(X9:AA9)-MIN(X9:AA9),2))</f>
        <v/>
      </c>
      <c r="W9" s="47" t="n"/>
      <c r="X9" s="49">
        <f>IFERROR(SUMIFS('3_보호자행동'!$AH$5:$AH$35,'3_보호자행동'!$A$5:$A$35,"입장",'3_보호자행동'!$AH$5:$AH$35,"&gt;=1")/COUNTIFS('3_보호자행동'!$A$5:$A$35,"입장",'3_보호자행동'!$AH$5:$AH$35,"&gt;=1"),"")</f>
        <v/>
      </c>
      <c r="Y9" s="49">
        <f>IFERROR(SUMIFS('3_보호자행동'!$AH$5:$AH$35,'3_보호자행동'!$A$5:$A$35,"분리",'3_보호자행동'!$AH$5:$AH$35,"&gt;=1")/COUNTIFS('3_보호자행동'!$A$5:$A$35,"분리",'3_보호자행동'!$AH$5:$AH$35,"&gt;=1"),"")</f>
        <v/>
      </c>
      <c r="Z9" s="49">
        <f>IFERROR(SUMIFS('3_보호자행동'!$AH$5:$AH$35,'3_보호자행동'!$A$5:$A$35,"훈련",'3_보호자행동'!$AH$5:$AH$35,"&gt;=1")/COUNTIFS('3_보호자행동'!$A$5:$A$35,"훈련",'3_보호자행동'!$AH$5:$AH$35,"&gt;=1"),"")</f>
        <v/>
      </c>
      <c r="AA9" s="49">
        <f>IFERROR(SUMIFS('3_보호자행동'!$AH$5:$AH$35,'3_보호자행동'!$A$5:$A$35,"놀이",'3_보호자행동'!$AH$5:$AH$35,"&gt;=1")/COUNTIFS('3_보호자행동'!$A$5:$A$35,"놀이",'3_보호자행동'!$AH$5:$AH$35,"&gt;=1"),"")</f>
        <v/>
      </c>
      <c r="AB9">
        <f>IF((COUNTIFS('1_바디시그널'!$AD$5:$AD$36,"TRN",'1_바디시그널'!$AH$5:$AH$36,"&gt;=1")+COUNTIFS('2_개행동'!$AD$5:$AD$26,"TRN",'2_개행동'!$AH$5:$AH$26,"&gt;=1")+COUNTIFS('3_보호자행동'!$AD$5:$AD$35,"TRN",'3_보호자행동'!$AH$5:$AH$35,"&gt;=1"))=0,"",MAX(_xlfn.MAXIFS('1_바디시그널'!$AH$5:$AH$36,'1_바디시그널'!$AD$5:$AD$36,"TRN"),_xlfn.MAXIFS('2_개행동'!$AH$5:$AH$26,'2_개행동'!$AD$5:$AD$26,"TRN"),_xlfn.MAXIFS('3_보호자행동'!$AH$5:$AH$35,'3_보호자행동'!$AD$5:$AD$35,"TRN")))</f>
        <v/>
      </c>
      <c r="AC9">
        <f>IF((COUNTIFS('1_바디시그널'!$AD$5:$AD$36,"TRN",'1_바디시그널'!$AH$5:$AH$36,"&gt;=1")+COUNTIFS('2_개행동'!$AD$5:$AD$26,"TRN",'2_개행동'!$AH$5:$AH$26,"&gt;=1")+COUNTIFS('3_보호자행동'!$AD$5:$AD$35,"TRN",'3_보호자행동'!$AH$5:$AH$35,"&gt;=1"))=0,"",ROUND((SUMIFS('1_바디시그널'!$AH$5:$AH$36,'1_바디시그널'!$AD$5:$AD$36,"TRN",'1_바디시그널'!$AH$5:$AH$36,"&gt;=1")+SUMIFS('2_개행동'!$AH$5:$AH$26,'2_개행동'!$AD$5:$AD$26,"TRN",'2_개행동'!$AH$5:$AH$26,"&gt;=1")+SUMIFS('3_보호자행동'!$AH$5:$AH$35,'3_보호자행동'!$AD$5:$AD$35,"TRN",'3_보호자행동'!$AH$5:$AH$35,"&gt;=1"))/(COUNTIFS('1_바디시그널'!$AD$5:$AD$36,"TRN",'1_바디시그널'!$AH$5:$AH$36,"&gt;=1")+COUNTIFS('2_개행동'!$AD$5:$AD$26,"TRN",'2_개행동'!$AH$5:$AH$26,"&gt;=1")+COUNTIFS('3_보호자행동'!$AD$5:$AD$35,"TRN",'3_보호자행동'!$AH$5:$AH$35,"&gt;=1")),2))</f>
        <v/>
      </c>
      <c r="AD9">
        <f>IF((COUNTIFS('1_바디시그널'!$AD$5:$AD$36,"TRN",'1_바디시그널'!$AH$5:$AH$36,"&gt;=1")+COUNTIFS('2_개행동'!$AD$5:$AD$26,"TRN",'2_개행동'!$AH$5:$AH$26,"&gt;=1")+COUNTIFS('3_보호자행동'!$AD$5:$AD$35,"TRN",'3_보호자행동'!$AH$5:$AH$35,"&gt;=1"))=0,"",IF((SUMIFS('1_바디시그널'!$AH$5:$AH$36,'1_바디시그널'!$AD$5:$AD$36,"TRN",'1_바디시그널'!$BB$5:$BB$36,"A")+SUMIFS('2_개행동'!$AH$5:$AH$26,'2_개행동'!$AD$5:$AD$26,"TRN",'2_개행동'!$BB$5:$BB$26,"A")+SUMIFS('3_보호자행동'!$AH$5:$AH$35,'3_보호자행동'!$AD$5:$AD$35,"TRN",'3_보호자행동'!$BB$5:$BB$35,"A"))&gt;(SUMIFS('1_바디시그널'!$AH$5:$AH$36,'1_바디시그널'!$AD$5:$AD$36,"TRN",'1_바디시그널'!$BB$5:$BB$36,"B")+SUMIFS('2_개행동'!$AH$5:$AH$26,'2_개행동'!$AD$5:$AD$26,"TRN",'2_개행동'!$BB$5:$BB$26,"B")+SUMIFS('3_보호자행동'!$AH$5:$AH$35,'3_보호자행동'!$AD$5:$AD$35,"TRN",'3_보호자행동'!$BB$5:$BB$35,"B")),"A",IF((SUMIFS('1_바디시그널'!$AH$5:$AH$36,'1_바디시그널'!$AD$5:$AD$36,"TRN",'1_바디시그널'!$BB$5:$BB$36,"B")+SUMIFS('2_개행동'!$AH$5:$AH$26,'2_개행동'!$AD$5:$AD$26,"TRN",'2_개행동'!$BB$5:$BB$26,"B")+SUMIFS('3_보호자행동'!$AH$5:$AH$35,'3_보호자행동'!$AD$5:$AD$35,"TRN",'3_보호자행동'!$BB$5:$BB$35,"B"))&gt;(SUMIFS('1_바디시그널'!$AH$5:$AH$36,'1_바디시그널'!$AD$5:$AD$36,"TRN",'1_바디시그널'!$BB$5:$BB$36,"A")+SUMIFS('2_개행동'!$AH$5:$AH$26,'2_개행동'!$AD$5:$AD$26,"TRN",'2_개행동'!$BB$5:$BB$26,"A")+SUMIFS('3_보호자행동'!$AH$5:$AH$35,'3_보호자행동'!$AD$5:$AD$35,"TRN",'3_보호자행동'!$BB$5:$BB$35,"A")),"B","-")))</f>
        <v/>
      </c>
      <c r="AE9">
        <f>IF('2_개행동'!$M$11="","",'2_개행동'!$M$11&amp;IF('2_개행동'!$M$11=3," [B]",IF('2_개행동'!$M$11=1,""," [A]")))</f>
        <v/>
      </c>
    </row>
    <row r="10" ht="18.75" customHeight="1" s="1">
      <c r="A10" s="46" t="n">
        <v>5</v>
      </c>
      <c r="B10" s="47" t="n"/>
      <c r="C10" s="47" t="n"/>
      <c r="D10" s="48">
        <f>IF((COUNTIFS('1_바디시그널'!$AD$5:$AD$36,"EDU",'1_바디시그널'!$AI$5:$AI$36,"&gt;=1")+COUNTIFS('2_개행동'!$AD$5:$AD$26,"EDU",'2_개행동'!$AI$5:$AI$26,"&gt;=1")+COUNTIFS('3_보호자행동'!$AD$5:$AD$35,"EDU",'3_보호자행동'!$AI$5:$AI$35,"&gt;=1"))=0,"",MAX(_xlfn.MAXIFS('1_바디시그널'!$AI$5:$AI$36,'1_바디시그널'!$AD$5:$AD$36,"EDU"),_xlfn.MAXIFS('2_개행동'!$AI$5:$AI$26,'2_개행동'!$AD$5:$AD$26,"EDU"),_xlfn.MAXIFS('3_보호자행동'!$AI$5:$AI$35,'3_보호자행동'!$AD$5:$AD$35,"EDU")))</f>
        <v/>
      </c>
      <c r="E10" s="49">
        <f>IF((COUNTIFS('1_바디시그널'!$AD$5:$AD$36,"EDU",'1_바디시그널'!$AI$5:$AI$36,"&gt;=1")+COUNTIFS('2_개행동'!$AD$5:$AD$26,"EDU",'2_개행동'!$AI$5:$AI$26,"&gt;=1")+COUNTIFS('3_보호자행동'!$AD$5:$AD$35,"EDU",'3_보호자행동'!$AI$5:$AI$35,"&gt;=1"))=0,"",ROUND((SUMIFS('1_바디시그널'!$AI$5:$AI$36,'1_바디시그널'!$AD$5:$AD$36,"EDU",'1_바디시그널'!$AI$5:$AI$36,"&gt;=1")+SUMIFS('2_개행동'!$AI$5:$AI$26,'2_개행동'!$AD$5:$AD$26,"EDU",'2_개행동'!$AI$5:$AI$26,"&gt;=1")+SUMIFS('3_보호자행동'!$AI$5:$AI$35,'3_보호자행동'!$AD$5:$AD$35,"EDU",'3_보호자행동'!$AI$5:$AI$35,"&gt;=1"))/(COUNTIFS('1_바디시그널'!$AD$5:$AD$36,"EDU",'1_바디시그널'!$AI$5:$AI$36,"&gt;=1")+COUNTIFS('2_개행동'!$AD$5:$AD$26,"EDU",'2_개행동'!$AI$5:$AI$26,"&gt;=1")+COUNTIFS('3_보호자행동'!$AD$5:$AD$35,"EDU",'3_보호자행동'!$AI$5:$AI$35,"&gt;=1")),2))</f>
        <v/>
      </c>
      <c r="F10" s="49">
        <f>IF((COUNTIFS('1_바디시그널'!$AD$5:$AD$36,"EDU",'1_바디시그널'!$AI$5:$AI$36,"&gt;=1")+COUNTIFS('2_개행동'!$AD$5:$AD$26,"EDU",'2_개행동'!$AI$5:$AI$26,"&gt;=1")+COUNTIFS('3_보호자행동'!$AD$5:$AD$35,"EDU",'3_보호자행동'!$AI$5:$AI$35,"&gt;=1"))=0,"",IF((SUMIFS('1_바디시그널'!$AI$5:$AI$36,'1_바디시그널'!$AD$5:$AD$36,"EDU",'1_바디시그널'!$BC$5:$BC$36,"A")+SUMIFS('2_개행동'!$AI$5:$AI$26,'2_개행동'!$AD$5:$AD$26,"EDU",'2_개행동'!$BC$5:$BC$26,"A")+SUMIFS('3_보호자행동'!$AI$5:$AI$35,'3_보호자행동'!$AD$5:$AD$35,"EDU",'3_보호자행동'!$BC$5:$BC$35,"A"))&gt;(SUMIFS('1_바디시그널'!$AI$5:$AI$36,'1_바디시그널'!$AD$5:$AD$36,"EDU",'1_바디시그널'!$BC$5:$BC$36,"B")+SUMIFS('2_개행동'!$AI$5:$AI$26,'2_개행동'!$AD$5:$AD$26,"EDU",'2_개행동'!$BC$5:$BC$26,"B")+SUMIFS('3_보호자행동'!$AI$5:$AI$35,'3_보호자행동'!$AD$5:$AD$35,"EDU",'3_보호자행동'!$BC$5:$BC$35,"B")),"A",IF((SUMIFS('1_바디시그널'!$AI$5:$AI$36,'1_바디시그널'!$AD$5:$AD$36,"EDU",'1_바디시그널'!$BC$5:$BC$36,"B")+SUMIFS('2_개행동'!$AI$5:$AI$26,'2_개행동'!$AD$5:$AD$26,"EDU",'2_개행동'!$BC$5:$BC$26,"B")+SUMIFS('3_보호자행동'!$AI$5:$AI$35,'3_보호자행동'!$AD$5:$AD$35,"EDU",'3_보호자행동'!$BC$5:$BC$35,"B"))&gt;(SUMIFS('1_바디시그널'!$AI$5:$AI$36,'1_바디시그널'!$AD$5:$AD$36,"EDU",'1_바디시그널'!$BC$5:$BC$36,"A")+SUMIFS('2_개행동'!$AI$5:$AI$26,'2_개행동'!$AD$5:$AD$26,"EDU",'2_개행동'!$BC$5:$BC$26,"A")+SUMIFS('3_보호자행동'!$AI$5:$AI$35,'3_보호자행동'!$AD$5:$AD$35,"EDU",'3_보호자행동'!$BC$5:$BC$35,"A")),"B","-")))</f>
        <v/>
      </c>
      <c r="G10" s="49">
        <f>IF((COUNTIFS('1_바디시그널'!$AD$5:$AD$36,"SOC_P",'1_바디시그널'!$AI$5:$AI$36,"&gt;=1")+COUNTIFS('2_개행동'!$AD$5:$AD$26,"SOC_P",'2_개행동'!$AI$5:$AI$26,"&gt;=1")+COUNTIFS('3_보호자행동'!$AD$5:$AD$35,"SOC_P",'3_보호자행동'!$AI$5:$AI$35,"&gt;=1"))=0,"",MAX(_xlfn.MAXIFS('1_바디시그널'!$AI$5:$AI$36,'1_바디시그널'!$AD$5:$AD$36,"SOC_P"),_xlfn.MAXIFS('2_개행동'!$AI$5:$AI$26,'2_개행동'!$AD$5:$AD$26,"SOC_P"),_xlfn.MAXIFS('3_보호자행동'!$AI$5:$AI$35,'3_보호자행동'!$AD$5:$AD$35,"SOC_P")))</f>
        <v/>
      </c>
      <c r="H10" s="49">
        <f>IF((COUNTIFS('1_바디시그널'!$AD$5:$AD$36,"SOC_P",'1_바디시그널'!$AI$5:$AI$36,"&gt;=1")+COUNTIFS('2_개행동'!$AD$5:$AD$26,"SOC_P",'2_개행동'!$AI$5:$AI$26,"&gt;=1")+COUNTIFS('3_보호자행동'!$AD$5:$AD$35,"SOC_P",'3_보호자행동'!$AI$5:$AI$35,"&gt;=1"))=0,"",ROUND((SUMIFS('1_바디시그널'!$AI$5:$AI$36,'1_바디시그널'!$AD$5:$AD$36,"SOC_P",'1_바디시그널'!$AI$5:$AI$36,"&gt;=1")+SUMIFS('2_개행동'!$AI$5:$AI$26,'2_개행동'!$AD$5:$AD$26,"SOC_P",'2_개행동'!$AI$5:$AI$26,"&gt;=1")+SUMIFS('3_보호자행동'!$AI$5:$AI$35,'3_보호자행동'!$AD$5:$AD$35,"SOC_P",'3_보호자행동'!$AI$5:$AI$35,"&gt;=1"))/(COUNTIFS('1_바디시그널'!$AD$5:$AD$36,"SOC_P",'1_바디시그널'!$AI$5:$AI$36,"&gt;=1")+COUNTIFS('2_개행동'!$AD$5:$AD$26,"SOC_P",'2_개행동'!$AI$5:$AI$26,"&gt;=1")+COUNTIFS('3_보호자행동'!$AD$5:$AD$35,"SOC_P",'3_보호자행동'!$AI$5:$AI$35,"&gt;=1")),2))</f>
        <v/>
      </c>
      <c r="I10" s="49">
        <f>IF((COUNTIFS('1_바디시그널'!$AD$5:$AD$36,"SOC_P",'1_바디시그널'!$AI$5:$AI$36,"&gt;=1")+COUNTIFS('2_개행동'!$AD$5:$AD$26,"SOC_P",'2_개행동'!$AI$5:$AI$26,"&gt;=1")+COUNTIFS('3_보호자행동'!$AD$5:$AD$35,"SOC_P",'3_보호자행동'!$AI$5:$AI$35,"&gt;=1"))=0,"",IF((SUMIFS('1_바디시그널'!$AI$5:$AI$36,'1_바디시그널'!$AD$5:$AD$36,"SOC_P",'1_바디시그널'!$BC$5:$BC$36,"A")+SUMIFS('2_개행동'!$AI$5:$AI$26,'2_개행동'!$AD$5:$AD$26,"SOC_P",'2_개행동'!$BC$5:$BC$26,"A")+SUMIFS('3_보호자행동'!$AI$5:$AI$35,'3_보호자행동'!$AD$5:$AD$35,"SOC_P",'3_보호자행동'!$BC$5:$BC$35,"A"))&gt;(SUMIFS('1_바디시그널'!$AI$5:$AI$36,'1_바디시그널'!$AD$5:$AD$36,"SOC_P",'1_바디시그널'!$BC$5:$BC$36,"B")+SUMIFS('2_개행동'!$AI$5:$AI$26,'2_개행동'!$AD$5:$AD$26,"SOC_P",'2_개행동'!$BC$5:$BC$26,"B")+SUMIFS('3_보호자행동'!$AI$5:$AI$35,'3_보호자행동'!$AD$5:$AD$35,"SOC_P",'3_보호자행동'!$BC$5:$BC$35,"B")),"A",IF((SUMIFS('1_바디시그널'!$AI$5:$AI$36,'1_바디시그널'!$AD$5:$AD$36,"SOC_P",'1_바디시그널'!$BC$5:$BC$36,"B")+SUMIFS('2_개행동'!$AI$5:$AI$26,'2_개행동'!$AD$5:$AD$26,"SOC_P",'2_개행동'!$BC$5:$BC$26,"B")+SUMIFS('3_보호자행동'!$AI$5:$AI$35,'3_보호자행동'!$AD$5:$AD$35,"SOC_P",'3_보호자행동'!$BC$5:$BC$35,"B"))&gt;(SUMIFS('1_바디시그널'!$AI$5:$AI$36,'1_바디시그널'!$AD$5:$AD$36,"SOC_P",'1_바디시그널'!$BC$5:$BC$36,"A")+SUMIFS('2_개행동'!$AI$5:$AI$26,'2_개행동'!$AD$5:$AD$26,"SOC_P",'2_개행동'!$BC$5:$BC$26,"A")+SUMIFS('3_보호자행동'!$AI$5:$AI$35,'3_보호자행동'!$AD$5:$AD$35,"SOC_P",'3_보호자행동'!$BC$5:$BC$35,"A")),"B","-")))</f>
        <v/>
      </c>
      <c r="J10" s="49">
        <f>IF((COUNTIFS('1_바디시그널'!$AD$5:$AD$36,"SOC_D",'1_바디시그널'!$AI$5:$AI$36,"&gt;=1")+COUNTIFS('2_개행동'!$AD$5:$AD$26,"SOC_D",'2_개행동'!$AI$5:$AI$26,"&gt;=1")+COUNTIFS('3_보호자행동'!$AD$5:$AD$35,"SOC_D",'3_보호자행동'!$AI$5:$AI$35,"&gt;=1"))=0,"",MAX(_xlfn.MAXIFS('1_바디시그널'!$AI$5:$AI$36,'1_바디시그널'!$AD$5:$AD$36,"SOC_D"),_xlfn.MAXIFS('2_개행동'!$AI$5:$AI$26,'2_개행동'!$AD$5:$AD$26,"SOC_D"),_xlfn.MAXIFS('3_보호자행동'!$AI$5:$AI$35,'3_보호자행동'!$AD$5:$AD$35,"SOC_D")))</f>
        <v/>
      </c>
      <c r="K10" s="49">
        <f>IF((COUNTIFS('1_바디시그널'!$AD$5:$AD$36,"SOC_D",'1_바디시그널'!$AI$5:$AI$36,"&gt;=1")+COUNTIFS('2_개행동'!$AD$5:$AD$26,"SOC_D",'2_개행동'!$AI$5:$AI$26,"&gt;=1")+COUNTIFS('3_보호자행동'!$AD$5:$AD$35,"SOC_D",'3_보호자행동'!$AI$5:$AI$35,"&gt;=1"))=0,"",ROUND((SUMIFS('1_바디시그널'!$AI$5:$AI$36,'1_바디시그널'!$AD$5:$AD$36,"SOC_D",'1_바디시그널'!$AI$5:$AI$36,"&gt;=1")+SUMIFS('2_개행동'!$AI$5:$AI$26,'2_개행동'!$AD$5:$AD$26,"SOC_D",'2_개행동'!$AI$5:$AI$26,"&gt;=1")+SUMIFS('3_보호자행동'!$AI$5:$AI$35,'3_보호자행동'!$AD$5:$AD$35,"SOC_D",'3_보호자행동'!$AI$5:$AI$35,"&gt;=1"))/(COUNTIFS('1_바디시그널'!$AD$5:$AD$36,"SOC_D",'1_바디시그널'!$AI$5:$AI$36,"&gt;=1")+COUNTIFS('2_개행동'!$AD$5:$AD$26,"SOC_D",'2_개행동'!$AI$5:$AI$26,"&gt;=1")+COUNTIFS('3_보호자행동'!$AD$5:$AD$35,"SOC_D",'3_보호자행동'!$AI$5:$AI$35,"&gt;=1")),2))</f>
        <v/>
      </c>
      <c r="L10" s="49">
        <f>IF((COUNTIFS('1_바디시그널'!$AD$5:$AD$36,"SOC_D",'1_바디시그널'!$AI$5:$AI$36,"&gt;=1")+COUNTIFS('2_개행동'!$AD$5:$AD$26,"SOC_D",'2_개행동'!$AI$5:$AI$26,"&gt;=1")+COUNTIFS('3_보호자행동'!$AD$5:$AD$35,"SOC_D",'3_보호자행동'!$AI$5:$AI$35,"&gt;=1"))=0,"",IF((SUMIFS('1_바디시그널'!$AI$5:$AI$36,'1_바디시그널'!$AD$5:$AD$36,"SOC_D",'1_바디시그널'!$BC$5:$BC$36,"A")+SUMIFS('2_개행동'!$AI$5:$AI$26,'2_개행동'!$AD$5:$AD$26,"SOC_D",'2_개행동'!$BC$5:$BC$26,"A")+SUMIFS('3_보호자행동'!$AI$5:$AI$35,'3_보호자행동'!$AD$5:$AD$35,"SOC_D",'3_보호자행동'!$BC$5:$BC$35,"A"))&gt;(SUMIFS('1_바디시그널'!$AI$5:$AI$36,'1_바디시그널'!$AD$5:$AD$36,"SOC_D",'1_바디시그널'!$BC$5:$BC$36,"B")+SUMIFS('2_개행동'!$AI$5:$AI$26,'2_개행동'!$AD$5:$AD$26,"SOC_D",'2_개행동'!$BC$5:$BC$26,"B")+SUMIFS('3_보호자행동'!$AI$5:$AI$35,'3_보호자행동'!$AD$5:$AD$35,"SOC_D",'3_보호자행동'!$BC$5:$BC$35,"B")),"A",IF((SUMIFS('1_바디시그널'!$AI$5:$AI$36,'1_바디시그널'!$AD$5:$AD$36,"SOC_D",'1_바디시그널'!$BC$5:$BC$36,"B")+SUMIFS('2_개행동'!$AI$5:$AI$26,'2_개행동'!$AD$5:$AD$26,"SOC_D",'2_개행동'!$BC$5:$BC$26,"B")+SUMIFS('3_보호자행동'!$AI$5:$AI$35,'3_보호자행동'!$AD$5:$AD$35,"SOC_D",'3_보호자행동'!$BC$5:$BC$35,"B"))&gt;(SUMIFS('1_바디시그널'!$AI$5:$AI$36,'1_바디시그널'!$AD$5:$AD$36,"SOC_D",'1_바디시그널'!$BC$5:$BC$36,"A")+SUMIFS('2_개행동'!$AI$5:$AI$26,'2_개행동'!$AD$5:$AD$26,"SOC_D",'2_개행동'!$BC$5:$BC$26,"A")+SUMIFS('3_보호자행동'!$AI$5:$AI$35,'3_보호자행동'!$AD$5:$AD$35,"SOC_D",'3_보호자행동'!$BC$5:$BC$35,"A")),"B","-")))</f>
        <v/>
      </c>
      <c r="M10" s="49">
        <f>IF((COUNTIFS('1_바디시그널'!$AD$5:$AD$36,"SOC_E",'1_바디시그널'!$AI$5:$AI$36,"&gt;=1")+COUNTIFS('2_개행동'!$AD$5:$AD$26,"SOC_E",'2_개행동'!$AI$5:$AI$26,"&gt;=1")+COUNTIFS('3_보호자행동'!$AD$5:$AD$35,"SOC_E",'3_보호자행동'!$AI$5:$AI$35,"&gt;=1"))=0,"",MAX(_xlfn.MAXIFS('1_바디시그널'!$AI$5:$AI$36,'1_바디시그널'!$AD$5:$AD$36,"SOC_E"),_xlfn.MAXIFS('2_개행동'!$AI$5:$AI$26,'2_개행동'!$AD$5:$AD$26,"SOC_E"),_xlfn.MAXIFS('3_보호자행동'!$AI$5:$AI$35,'3_보호자행동'!$AD$5:$AD$35,"SOC_E")))</f>
        <v/>
      </c>
      <c r="N10" s="49">
        <f>IF((COUNTIFS('1_바디시그널'!$AD$5:$AD$36,"SOC_E",'1_바디시그널'!$AI$5:$AI$36,"&gt;=1")+COUNTIFS('2_개행동'!$AD$5:$AD$26,"SOC_E",'2_개행동'!$AI$5:$AI$26,"&gt;=1")+COUNTIFS('3_보호자행동'!$AD$5:$AD$35,"SOC_E",'3_보호자행동'!$AI$5:$AI$35,"&gt;=1"))=0,"",ROUND((SUMIFS('1_바디시그널'!$AI$5:$AI$36,'1_바디시그널'!$AD$5:$AD$36,"SOC_E",'1_바디시그널'!$AI$5:$AI$36,"&gt;=1")+SUMIFS('2_개행동'!$AI$5:$AI$26,'2_개행동'!$AD$5:$AD$26,"SOC_E",'2_개행동'!$AI$5:$AI$26,"&gt;=1")+SUMIFS('3_보호자행동'!$AI$5:$AI$35,'3_보호자행동'!$AD$5:$AD$35,"SOC_E",'3_보호자행동'!$AI$5:$AI$35,"&gt;=1"))/(COUNTIFS('1_바디시그널'!$AD$5:$AD$36,"SOC_E",'1_바디시그널'!$AI$5:$AI$36,"&gt;=1")+COUNTIFS('2_개행동'!$AD$5:$AD$26,"SOC_E",'2_개행동'!$AI$5:$AI$26,"&gt;=1")+COUNTIFS('3_보호자행동'!$AD$5:$AD$35,"SOC_E",'3_보호자행동'!$AI$5:$AI$35,"&gt;=1")),2))</f>
        <v/>
      </c>
      <c r="O10" s="49">
        <f>IF((COUNTIFS('1_바디시그널'!$AD$5:$AD$36,"SOC_E",'1_바디시그널'!$AI$5:$AI$36,"&gt;=1")+COUNTIFS('2_개행동'!$AD$5:$AD$26,"SOC_E",'2_개행동'!$AI$5:$AI$26,"&gt;=1")+COUNTIFS('3_보호자행동'!$AD$5:$AD$35,"SOC_E",'3_보호자행동'!$AI$5:$AI$35,"&gt;=1"))=0,"",IF((SUMIFS('1_바디시그널'!$AI$5:$AI$36,'1_바디시그널'!$AD$5:$AD$36,"SOC_E",'1_바디시그널'!$BC$5:$BC$36,"A")+SUMIFS('2_개행동'!$AI$5:$AI$26,'2_개행동'!$AD$5:$AD$26,"SOC_E",'2_개행동'!$BC$5:$BC$26,"A")+SUMIFS('3_보호자행동'!$AI$5:$AI$35,'3_보호자행동'!$AD$5:$AD$35,"SOC_E",'3_보호자행동'!$BC$5:$BC$35,"A"))&gt;(SUMIFS('1_바디시그널'!$AI$5:$AI$36,'1_바디시그널'!$AD$5:$AD$36,"SOC_E",'1_바디시그널'!$BC$5:$BC$36,"B")+SUMIFS('2_개행동'!$AI$5:$AI$26,'2_개행동'!$AD$5:$AD$26,"SOC_E",'2_개행동'!$BC$5:$BC$26,"B")+SUMIFS('3_보호자행동'!$AI$5:$AI$35,'3_보호자행동'!$AD$5:$AD$35,"SOC_E",'3_보호자행동'!$BC$5:$BC$35,"B")),"A",IF((SUMIFS('1_바디시그널'!$AI$5:$AI$36,'1_바디시그널'!$AD$5:$AD$36,"SOC_E",'1_바디시그널'!$BC$5:$BC$36,"B")+SUMIFS('2_개행동'!$AI$5:$AI$26,'2_개행동'!$AD$5:$AD$26,"SOC_E",'2_개행동'!$BC$5:$BC$26,"B")+SUMIFS('3_보호자행동'!$AI$5:$AI$35,'3_보호자행동'!$AD$5:$AD$35,"SOC_E",'3_보호자행동'!$BC$5:$BC$35,"B"))&gt;(SUMIFS('1_바디시그널'!$AI$5:$AI$36,'1_바디시그널'!$AD$5:$AD$36,"SOC_E",'1_바디시그널'!$BC$5:$BC$36,"A")+SUMIFS('2_개행동'!$AI$5:$AI$26,'2_개행동'!$AD$5:$AD$26,"SOC_E",'2_개행동'!$BC$5:$BC$26,"A")+SUMIFS('3_보호자행동'!$AI$5:$AI$35,'3_보호자행동'!$AD$5:$AD$35,"SOC_E",'3_보호자행동'!$BC$5:$BC$35,"A")),"B","-")))</f>
        <v/>
      </c>
      <c r="P10" s="49">
        <f>IF((COUNTIFS('1_바디시그널'!$AD$5:$AD$36,"ATT",'1_바디시그널'!$AI$5:$AI$36,"&gt;=1")+COUNTIFS('2_개행동'!$AD$5:$AD$26,"ATT",'2_개행동'!$AI$5:$AI$26,"&gt;=1")+COUNTIFS('3_보호자행동'!$AD$5:$AD$35,"ATT",'3_보호자행동'!$AI$5:$AI$35,"&gt;=1"))=0,"",MAX(_xlfn.MAXIFS('1_바디시그널'!$AI$5:$AI$36,'1_바디시그널'!$AD$5:$AD$36,"ATT"),_xlfn.MAXIFS('2_개행동'!$AI$5:$AI$26,'2_개행동'!$AD$5:$AD$26,"ATT"),_xlfn.MAXIFS('3_보호자행동'!$AI$5:$AI$35,'3_보호자행동'!$AD$5:$AD$35,"ATT")))</f>
        <v/>
      </c>
      <c r="Q10" s="49">
        <f>IF((COUNTIFS('1_바디시그널'!$AD$5:$AD$36,"ATT",'1_바디시그널'!$AI$5:$AI$36,"&gt;=1")+COUNTIFS('2_개행동'!$AD$5:$AD$26,"ATT",'2_개행동'!$AI$5:$AI$26,"&gt;=1")+COUNTIFS('3_보호자행동'!$AD$5:$AD$35,"ATT",'3_보호자행동'!$AI$5:$AI$35,"&gt;=1"))=0,"",ROUND((SUMIFS('1_바디시그널'!$AI$5:$AI$36,'1_바디시그널'!$AD$5:$AD$36,"ATT",'1_바디시그널'!$AI$5:$AI$36,"&gt;=1")+SUMIFS('2_개행동'!$AI$5:$AI$26,'2_개행동'!$AD$5:$AD$26,"ATT",'2_개행동'!$AI$5:$AI$26,"&gt;=1")+SUMIFS('3_보호자행동'!$AI$5:$AI$35,'3_보호자행동'!$AD$5:$AD$35,"ATT",'3_보호자행동'!$AI$5:$AI$35,"&gt;=1"))/(COUNTIFS('1_바디시그널'!$AD$5:$AD$36,"ATT",'1_바디시그널'!$AI$5:$AI$36,"&gt;=1")+COUNTIFS('2_개행동'!$AD$5:$AD$26,"ATT",'2_개행동'!$AI$5:$AI$26,"&gt;=1")+COUNTIFS('3_보호자행동'!$AD$5:$AD$35,"ATT",'3_보호자행동'!$AI$5:$AI$35,"&gt;=1")),2))</f>
        <v/>
      </c>
      <c r="R10" s="49">
        <f>IF((COUNTIFS('1_바디시그널'!$AD$5:$AD$36,"ATT",'1_바디시그널'!$AI$5:$AI$36,"&gt;=1")+COUNTIFS('2_개행동'!$AD$5:$AD$26,"ATT",'2_개행동'!$AI$5:$AI$26,"&gt;=1")+COUNTIFS('3_보호자행동'!$AD$5:$AD$35,"ATT",'3_보호자행동'!$AI$5:$AI$35,"&gt;=1"))=0,"",IF((SUMIFS('1_바디시그널'!$AI$5:$AI$36,'1_바디시그널'!$AD$5:$AD$36,"ATT",'1_바디시그널'!$BC$5:$BC$36,"A")+SUMIFS('2_개행동'!$AI$5:$AI$26,'2_개행동'!$AD$5:$AD$26,"ATT",'2_개행동'!$BC$5:$BC$26,"A")+SUMIFS('3_보호자행동'!$AI$5:$AI$35,'3_보호자행동'!$AD$5:$AD$35,"ATT",'3_보호자행동'!$BC$5:$BC$35,"A"))&gt;(SUMIFS('1_바디시그널'!$AI$5:$AI$36,'1_바디시그널'!$AD$5:$AD$36,"ATT",'1_바디시그널'!$BC$5:$BC$36,"B")+SUMIFS('2_개행동'!$AI$5:$AI$26,'2_개행동'!$AD$5:$AD$26,"ATT",'2_개행동'!$BC$5:$BC$26,"B")+SUMIFS('3_보호자행동'!$AI$5:$AI$35,'3_보호자행동'!$AD$5:$AD$35,"ATT",'3_보호자행동'!$BC$5:$BC$35,"B")),"A",IF((SUMIFS('1_바디시그널'!$AI$5:$AI$36,'1_바디시그널'!$AD$5:$AD$36,"ATT",'1_바디시그널'!$BC$5:$BC$36,"B")+SUMIFS('2_개행동'!$AI$5:$AI$26,'2_개행동'!$AD$5:$AD$26,"ATT",'2_개행동'!$BC$5:$BC$26,"B")+SUMIFS('3_보호자행동'!$AI$5:$AI$35,'3_보호자행동'!$AD$5:$AD$35,"ATT",'3_보호자행동'!$BC$5:$BC$35,"B"))&gt;(SUMIFS('1_바디시그널'!$AI$5:$AI$36,'1_바디시그널'!$AD$5:$AD$36,"ATT",'1_바디시그널'!$BC$5:$BC$36,"A")+SUMIFS('2_개행동'!$AI$5:$AI$26,'2_개행동'!$AD$5:$AD$26,"ATT",'2_개행동'!$BC$5:$BC$26,"A")+SUMIFS('3_보호자행동'!$AI$5:$AI$35,'3_보호자행동'!$AD$5:$AD$35,"ATT",'3_보호자행동'!$BC$5:$BC$35,"A")),"B","-")))</f>
        <v/>
      </c>
      <c r="S10" s="49">
        <f>IF((COUNTIFS('1_바디시그널'!$AD$5:$AD$36,"CON",'1_바디시그널'!$AI$5:$AI$36,"&gt;=1")+COUNTIFS('2_개행동'!$AD$5:$AD$26,"CON",'2_개행동'!$AI$5:$AI$26,"&gt;=1")+COUNTIFS('3_보호자행동'!$AD$5:$AD$35,"CON",'3_보호자행동'!$AI$5:$AI$35,"&gt;=1"))=0,"",MAX(_xlfn.MAXIFS('1_바디시그널'!$AI$5:$AI$36,'1_바디시그널'!$AD$5:$AD$36,"CON"),_xlfn.MAXIFS('2_개행동'!$AI$5:$AI$26,'2_개행동'!$AD$5:$AD$26,"CON"),_xlfn.MAXIFS('3_보호자행동'!$AI$5:$AI$35,'3_보호자행동'!$AD$5:$AD$35,"CON")))</f>
        <v/>
      </c>
      <c r="T10" s="49">
        <f>IF((COUNTIFS('1_바디시그널'!$AD$5:$AD$36,"CON",'1_바디시그널'!$AI$5:$AI$36,"&gt;=1")+COUNTIFS('2_개행동'!$AD$5:$AD$26,"CON",'2_개행동'!$AI$5:$AI$26,"&gt;=1")+COUNTIFS('3_보호자행동'!$AD$5:$AD$35,"CON",'3_보호자행동'!$AI$5:$AI$35,"&gt;=1"))=0,"",ROUND((SUMIFS('1_바디시그널'!$AI$5:$AI$36,'1_바디시그널'!$AD$5:$AD$36,"CON",'1_바디시그널'!$AI$5:$AI$36,"&gt;=1")+SUMIFS('2_개행동'!$AI$5:$AI$26,'2_개행동'!$AD$5:$AD$26,"CON",'2_개행동'!$AI$5:$AI$26,"&gt;=1")+SUMIFS('3_보호자행동'!$AI$5:$AI$35,'3_보호자행동'!$AD$5:$AD$35,"CON",'3_보호자행동'!$AI$5:$AI$35,"&gt;=1"))/(COUNTIFS('1_바디시그널'!$AD$5:$AD$36,"CON",'1_바디시그널'!$AI$5:$AI$36,"&gt;=1")+COUNTIFS('2_개행동'!$AD$5:$AD$26,"CON",'2_개행동'!$AI$5:$AI$26,"&gt;=1")+COUNTIFS('3_보호자행동'!$AD$5:$AD$35,"CON",'3_보호자행동'!$AI$5:$AI$35,"&gt;=1")),2))</f>
        <v/>
      </c>
      <c r="U10" s="49">
        <f>IF((COUNTIFS('1_바디시그널'!$AD$5:$AD$36,"CON",'1_바디시그널'!$AI$5:$AI$36,"&gt;=1")+COUNTIFS('2_개행동'!$AD$5:$AD$26,"CON",'2_개행동'!$AI$5:$AI$26,"&gt;=1")+COUNTIFS('3_보호자행동'!$AD$5:$AD$35,"CON",'3_보호자행동'!$AI$5:$AI$35,"&gt;=1"))=0,"",IF((SUMIFS('1_바디시그널'!$AI$5:$AI$36,'1_바디시그널'!$AD$5:$AD$36,"CON",'1_바디시그널'!$BC$5:$BC$36,"A")+SUMIFS('2_개행동'!$AI$5:$AI$26,'2_개행동'!$AD$5:$AD$26,"CON",'2_개행동'!$BC$5:$BC$26,"A")+SUMIFS('3_보호자행동'!$AI$5:$AI$35,'3_보호자행동'!$AD$5:$AD$35,"CON",'3_보호자행동'!$BC$5:$BC$35,"A"))&gt;(SUMIFS('1_바디시그널'!$AI$5:$AI$36,'1_바디시그널'!$AD$5:$AD$36,"CON",'1_바디시그널'!$BC$5:$BC$36,"B")+SUMIFS('2_개행동'!$AI$5:$AI$26,'2_개행동'!$AD$5:$AD$26,"CON",'2_개행동'!$BC$5:$BC$26,"B")+SUMIFS('3_보호자행동'!$AI$5:$AI$35,'3_보호자행동'!$AD$5:$AD$35,"CON",'3_보호자행동'!$BC$5:$BC$35,"B")),"A",IF((SUMIFS('1_바디시그널'!$AI$5:$AI$36,'1_바디시그널'!$AD$5:$AD$36,"CON",'1_바디시그널'!$BC$5:$BC$36,"B")+SUMIFS('2_개행동'!$AI$5:$AI$26,'2_개행동'!$AD$5:$AD$26,"CON",'2_개행동'!$BC$5:$BC$26,"B")+SUMIFS('3_보호자행동'!$AI$5:$AI$35,'3_보호자행동'!$AD$5:$AD$35,"CON",'3_보호자행동'!$BC$5:$BC$35,"B"))&gt;(SUMIFS('1_바디시그널'!$AI$5:$AI$36,'1_바디시그널'!$AD$5:$AD$36,"CON",'1_바디시그널'!$BC$5:$BC$36,"A")+SUMIFS('2_개행동'!$AI$5:$AI$26,'2_개행동'!$AD$5:$AD$26,"CON",'2_개행동'!$BC$5:$BC$26,"A")+SUMIFS('3_보호자행동'!$AI$5:$AI$35,'3_보호자행동'!$AD$5:$AD$35,"CON",'3_보호자행동'!$BC$5:$BC$35,"A")),"B","-")))</f>
        <v/>
      </c>
      <c r="V10" s="48">
        <f>IF(COUNT(X10:AA10)=0,"",ROUND(MAX(X10:AA10)-MIN(X10:AA10),2))</f>
        <v/>
      </c>
      <c r="W10" s="47" t="n"/>
      <c r="X10" s="49">
        <f>IFERROR(SUMIFS('3_보호자행동'!$AI$5:$AI$35,'3_보호자행동'!$A$5:$A$35,"입장",'3_보호자행동'!$AI$5:$AI$35,"&gt;=1")/COUNTIFS('3_보호자행동'!$A$5:$A$35,"입장",'3_보호자행동'!$AI$5:$AI$35,"&gt;=1"),"")</f>
        <v/>
      </c>
      <c r="Y10" s="49">
        <f>IFERROR(SUMIFS('3_보호자행동'!$AI$5:$AI$35,'3_보호자행동'!$A$5:$A$35,"분리",'3_보호자행동'!$AI$5:$AI$35,"&gt;=1")/COUNTIFS('3_보호자행동'!$A$5:$A$35,"분리",'3_보호자행동'!$AI$5:$AI$35,"&gt;=1"),"")</f>
        <v/>
      </c>
      <c r="Z10" s="49">
        <f>IFERROR(SUMIFS('3_보호자행동'!$AI$5:$AI$35,'3_보호자행동'!$A$5:$A$35,"훈련",'3_보호자행동'!$AI$5:$AI$35,"&gt;=1")/COUNTIFS('3_보호자행동'!$A$5:$A$35,"훈련",'3_보호자행동'!$AI$5:$AI$35,"&gt;=1"),"")</f>
        <v/>
      </c>
      <c r="AA10" s="49">
        <f>IFERROR(SUMIFS('3_보호자행동'!$AI$5:$AI$35,'3_보호자행동'!$A$5:$A$35,"놀이",'3_보호자행동'!$AI$5:$AI$35,"&gt;=1")/COUNTIFS('3_보호자행동'!$A$5:$A$35,"놀이",'3_보호자행동'!$AI$5:$AI$35,"&gt;=1"),"")</f>
        <v/>
      </c>
      <c r="AB10">
        <f>IF((COUNTIFS('1_바디시그널'!$AD$5:$AD$36,"TRN",'1_바디시그널'!$AI$5:$AI$36,"&gt;=1")+COUNTIFS('2_개행동'!$AD$5:$AD$26,"TRN",'2_개행동'!$AI$5:$AI$26,"&gt;=1")+COUNTIFS('3_보호자행동'!$AD$5:$AD$35,"TRN",'3_보호자행동'!$AI$5:$AI$35,"&gt;=1"))=0,"",MAX(_xlfn.MAXIFS('1_바디시그널'!$AI$5:$AI$36,'1_바디시그널'!$AD$5:$AD$36,"TRN"),_xlfn.MAXIFS('2_개행동'!$AI$5:$AI$26,'2_개행동'!$AD$5:$AD$26,"TRN"),_xlfn.MAXIFS('3_보호자행동'!$AI$5:$AI$35,'3_보호자행동'!$AD$5:$AD$35,"TRN")))</f>
        <v/>
      </c>
      <c r="AC10">
        <f>IF((COUNTIFS('1_바디시그널'!$AD$5:$AD$36,"TRN",'1_바디시그널'!$AI$5:$AI$36,"&gt;=1")+COUNTIFS('2_개행동'!$AD$5:$AD$26,"TRN",'2_개행동'!$AI$5:$AI$26,"&gt;=1")+COUNTIFS('3_보호자행동'!$AD$5:$AD$35,"TRN",'3_보호자행동'!$AI$5:$AI$35,"&gt;=1"))=0,"",ROUND((SUMIFS('1_바디시그널'!$AI$5:$AI$36,'1_바디시그널'!$AD$5:$AD$36,"TRN",'1_바디시그널'!$AI$5:$AI$36,"&gt;=1")+SUMIFS('2_개행동'!$AI$5:$AI$26,'2_개행동'!$AD$5:$AD$26,"TRN",'2_개행동'!$AI$5:$AI$26,"&gt;=1")+SUMIFS('3_보호자행동'!$AI$5:$AI$35,'3_보호자행동'!$AD$5:$AD$35,"TRN",'3_보호자행동'!$AI$5:$AI$35,"&gt;=1"))/(COUNTIFS('1_바디시그널'!$AD$5:$AD$36,"TRN",'1_바디시그널'!$AI$5:$AI$36,"&gt;=1")+COUNTIFS('2_개행동'!$AD$5:$AD$26,"TRN",'2_개행동'!$AI$5:$AI$26,"&gt;=1")+COUNTIFS('3_보호자행동'!$AD$5:$AD$35,"TRN",'3_보호자행동'!$AI$5:$AI$35,"&gt;=1")),2))</f>
        <v/>
      </c>
      <c r="AD10">
        <f>IF((COUNTIFS('1_바디시그널'!$AD$5:$AD$36,"TRN",'1_바디시그널'!$AI$5:$AI$36,"&gt;=1")+COUNTIFS('2_개행동'!$AD$5:$AD$26,"TRN",'2_개행동'!$AI$5:$AI$26,"&gt;=1")+COUNTIFS('3_보호자행동'!$AD$5:$AD$35,"TRN",'3_보호자행동'!$AI$5:$AI$35,"&gt;=1"))=0,"",IF((SUMIFS('1_바디시그널'!$AI$5:$AI$36,'1_바디시그널'!$AD$5:$AD$36,"TRN",'1_바디시그널'!$BC$5:$BC$36,"A")+SUMIFS('2_개행동'!$AI$5:$AI$26,'2_개행동'!$AD$5:$AD$26,"TRN",'2_개행동'!$BC$5:$BC$26,"A")+SUMIFS('3_보호자행동'!$AI$5:$AI$35,'3_보호자행동'!$AD$5:$AD$35,"TRN",'3_보호자행동'!$BC$5:$BC$35,"A"))&gt;(SUMIFS('1_바디시그널'!$AI$5:$AI$36,'1_바디시그널'!$AD$5:$AD$36,"TRN",'1_바디시그널'!$BC$5:$BC$36,"B")+SUMIFS('2_개행동'!$AI$5:$AI$26,'2_개행동'!$AD$5:$AD$26,"TRN",'2_개행동'!$BC$5:$BC$26,"B")+SUMIFS('3_보호자행동'!$AI$5:$AI$35,'3_보호자행동'!$AD$5:$AD$35,"TRN",'3_보호자행동'!$BC$5:$BC$35,"B")),"A",IF((SUMIFS('1_바디시그널'!$AI$5:$AI$36,'1_바디시그널'!$AD$5:$AD$36,"TRN",'1_바디시그널'!$BC$5:$BC$36,"B")+SUMIFS('2_개행동'!$AI$5:$AI$26,'2_개행동'!$AD$5:$AD$26,"TRN",'2_개행동'!$BC$5:$BC$26,"B")+SUMIFS('3_보호자행동'!$AI$5:$AI$35,'3_보호자행동'!$AD$5:$AD$35,"TRN",'3_보호자행동'!$BC$5:$BC$35,"B"))&gt;(SUMIFS('1_바디시그널'!$AI$5:$AI$36,'1_바디시그널'!$AD$5:$AD$36,"TRN",'1_바디시그널'!$BC$5:$BC$36,"A")+SUMIFS('2_개행동'!$AI$5:$AI$26,'2_개행동'!$AD$5:$AD$26,"TRN",'2_개행동'!$BC$5:$BC$26,"A")+SUMIFS('3_보호자행동'!$AI$5:$AI$35,'3_보호자행동'!$AD$5:$AD$35,"TRN",'3_보호자행동'!$BC$5:$BC$35,"A")),"B","-")))</f>
        <v/>
      </c>
      <c r="AE10">
        <f>IF('2_개행동'!$N$11="","",'2_개행동'!$N$11&amp;IF('2_개행동'!$N$11=3," [B]",IF('2_개행동'!$N$11=1,""," [A]")))</f>
        <v/>
      </c>
    </row>
    <row r="11" ht="18.75" customHeight="1" s="1">
      <c r="A11" s="46" t="n">
        <v>6</v>
      </c>
      <c r="B11" s="47" t="n"/>
      <c r="C11" s="47" t="n"/>
      <c r="D11" s="48">
        <f>IF((COUNTIFS('1_바디시그널'!$AD$5:$AD$36,"EDU",'1_바디시그널'!$AJ$5:$AJ$36,"&gt;=1")+COUNTIFS('2_개행동'!$AD$5:$AD$26,"EDU",'2_개행동'!$AJ$5:$AJ$26,"&gt;=1")+COUNTIFS('3_보호자행동'!$AD$5:$AD$35,"EDU",'3_보호자행동'!$AJ$5:$AJ$35,"&gt;=1"))=0,"",MAX(_xlfn.MAXIFS('1_바디시그널'!$AJ$5:$AJ$36,'1_바디시그널'!$AD$5:$AD$36,"EDU"),_xlfn.MAXIFS('2_개행동'!$AJ$5:$AJ$26,'2_개행동'!$AD$5:$AD$26,"EDU"),_xlfn.MAXIFS('3_보호자행동'!$AJ$5:$AJ$35,'3_보호자행동'!$AD$5:$AD$35,"EDU")))</f>
        <v/>
      </c>
      <c r="E11" s="49">
        <f>IF((COUNTIFS('1_바디시그널'!$AD$5:$AD$36,"EDU",'1_바디시그널'!$AJ$5:$AJ$36,"&gt;=1")+COUNTIFS('2_개행동'!$AD$5:$AD$26,"EDU",'2_개행동'!$AJ$5:$AJ$26,"&gt;=1")+COUNTIFS('3_보호자행동'!$AD$5:$AD$35,"EDU",'3_보호자행동'!$AJ$5:$AJ$35,"&gt;=1"))=0,"",ROUND((SUMIFS('1_바디시그널'!$AJ$5:$AJ$36,'1_바디시그널'!$AD$5:$AD$36,"EDU",'1_바디시그널'!$AJ$5:$AJ$36,"&gt;=1")+SUMIFS('2_개행동'!$AJ$5:$AJ$26,'2_개행동'!$AD$5:$AD$26,"EDU",'2_개행동'!$AJ$5:$AJ$26,"&gt;=1")+SUMIFS('3_보호자행동'!$AJ$5:$AJ$35,'3_보호자행동'!$AD$5:$AD$35,"EDU",'3_보호자행동'!$AJ$5:$AJ$35,"&gt;=1"))/(COUNTIFS('1_바디시그널'!$AD$5:$AD$36,"EDU",'1_바디시그널'!$AJ$5:$AJ$36,"&gt;=1")+COUNTIFS('2_개행동'!$AD$5:$AD$26,"EDU",'2_개행동'!$AJ$5:$AJ$26,"&gt;=1")+COUNTIFS('3_보호자행동'!$AD$5:$AD$35,"EDU",'3_보호자행동'!$AJ$5:$AJ$35,"&gt;=1")),2))</f>
        <v/>
      </c>
      <c r="F11" s="49">
        <f>IF((COUNTIFS('1_바디시그널'!$AD$5:$AD$36,"EDU",'1_바디시그널'!$AJ$5:$AJ$36,"&gt;=1")+COUNTIFS('2_개행동'!$AD$5:$AD$26,"EDU",'2_개행동'!$AJ$5:$AJ$26,"&gt;=1")+COUNTIFS('3_보호자행동'!$AD$5:$AD$35,"EDU",'3_보호자행동'!$AJ$5:$AJ$35,"&gt;=1"))=0,"",IF((SUMIFS('1_바디시그널'!$AJ$5:$AJ$36,'1_바디시그널'!$AD$5:$AD$36,"EDU",'1_바디시그널'!$BD$5:$BD$36,"A")+SUMIFS('2_개행동'!$AJ$5:$AJ$26,'2_개행동'!$AD$5:$AD$26,"EDU",'2_개행동'!$BD$5:$BD$26,"A")+SUMIFS('3_보호자행동'!$AJ$5:$AJ$35,'3_보호자행동'!$AD$5:$AD$35,"EDU",'3_보호자행동'!$BD$5:$BD$35,"A"))&gt;(SUMIFS('1_바디시그널'!$AJ$5:$AJ$36,'1_바디시그널'!$AD$5:$AD$36,"EDU",'1_바디시그널'!$BD$5:$BD$36,"B")+SUMIFS('2_개행동'!$AJ$5:$AJ$26,'2_개행동'!$AD$5:$AD$26,"EDU",'2_개행동'!$BD$5:$BD$26,"B")+SUMIFS('3_보호자행동'!$AJ$5:$AJ$35,'3_보호자행동'!$AD$5:$AD$35,"EDU",'3_보호자행동'!$BD$5:$BD$35,"B")),"A",IF((SUMIFS('1_바디시그널'!$AJ$5:$AJ$36,'1_바디시그널'!$AD$5:$AD$36,"EDU",'1_바디시그널'!$BD$5:$BD$36,"B")+SUMIFS('2_개행동'!$AJ$5:$AJ$26,'2_개행동'!$AD$5:$AD$26,"EDU",'2_개행동'!$BD$5:$BD$26,"B")+SUMIFS('3_보호자행동'!$AJ$5:$AJ$35,'3_보호자행동'!$AD$5:$AD$35,"EDU",'3_보호자행동'!$BD$5:$BD$35,"B"))&gt;(SUMIFS('1_바디시그널'!$AJ$5:$AJ$36,'1_바디시그널'!$AD$5:$AD$36,"EDU",'1_바디시그널'!$BD$5:$BD$36,"A")+SUMIFS('2_개행동'!$AJ$5:$AJ$26,'2_개행동'!$AD$5:$AD$26,"EDU",'2_개행동'!$BD$5:$BD$26,"A")+SUMIFS('3_보호자행동'!$AJ$5:$AJ$35,'3_보호자행동'!$AD$5:$AD$35,"EDU",'3_보호자행동'!$BD$5:$BD$35,"A")),"B","-")))</f>
        <v/>
      </c>
      <c r="G11" s="49">
        <f>IF((COUNTIFS('1_바디시그널'!$AD$5:$AD$36,"SOC_P",'1_바디시그널'!$AJ$5:$AJ$36,"&gt;=1")+COUNTIFS('2_개행동'!$AD$5:$AD$26,"SOC_P",'2_개행동'!$AJ$5:$AJ$26,"&gt;=1")+COUNTIFS('3_보호자행동'!$AD$5:$AD$35,"SOC_P",'3_보호자행동'!$AJ$5:$AJ$35,"&gt;=1"))=0,"",MAX(_xlfn.MAXIFS('1_바디시그널'!$AJ$5:$AJ$36,'1_바디시그널'!$AD$5:$AD$36,"SOC_P"),_xlfn.MAXIFS('2_개행동'!$AJ$5:$AJ$26,'2_개행동'!$AD$5:$AD$26,"SOC_P"),_xlfn.MAXIFS('3_보호자행동'!$AJ$5:$AJ$35,'3_보호자행동'!$AD$5:$AD$35,"SOC_P")))</f>
        <v/>
      </c>
      <c r="H11" s="49">
        <f>IF((COUNTIFS('1_바디시그널'!$AD$5:$AD$36,"SOC_P",'1_바디시그널'!$AJ$5:$AJ$36,"&gt;=1")+COUNTIFS('2_개행동'!$AD$5:$AD$26,"SOC_P",'2_개행동'!$AJ$5:$AJ$26,"&gt;=1")+COUNTIFS('3_보호자행동'!$AD$5:$AD$35,"SOC_P",'3_보호자행동'!$AJ$5:$AJ$35,"&gt;=1"))=0,"",ROUND((SUMIFS('1_바디시그널'!$AJ$5:$AJ$36,'1_바디시그널'!$AD$5:$AD$36,"SOC_P",'1_바디시그널'!$AJ$5:$AJ$36,"&gt;=1")+SUMIFS('2_개행동'!$AJ$5:$AJ$26,'2_개행동'!$AD$5:$AD$26,"SOC_P",'2_개행동'!$AJ$5:$AJ$26,"&gt;=1")+SUMIFS('3_보호자행동'!$AJ$5:$AJ$35,'3_보호자행동'!$AD$5:$AD$35,"SOC_P",'3_보호자행동'!$AJ$5:$AJ$35,"&gt;=1"))/(COUNTIFS('1_바디시그널'!$AD$5:$AD$36,"SOC_P",'1_바디시그널'!$AJ$5:$AJ$36,"&gt;=1")+COUNTIFS('2_개행동'!$AD$5:$AD$26,"SOC_P",'2_개행동'!$AJ$5:$AJ$26,"&gt;=1")+COUNTIFS('3_보호자행동'!$AD$5:$AD$35,"SOC_P",'3_보호자행동'!$AJ$5:$AJ$35,"&gt;=1")),2))</f>
        <v/>
      </c>
      <c r="I11" s="49">
        <f>IF((COUNTIFS('1_바디시그널'!$AD$5:$AD$36,"SOC_P",'1_바디시그널'!$AJ$5:$AJ$36,"&gt;=1")+COUNTIFS('2_개행동'!$AD$5:$AD$26,"SOC_P",'2_개행동'!$AJ$5:$AJ$26,"&gt;=1")+COUNTIFS('3_보호자행동'!$AD$5:$AD$35,"SOC_P",'3_보호자행동'!$AJ$5:$AJ$35,"&gt;=1"))=0,"",IF((SUMIFS('1_바디시그널'!$AJ$5:$AJ$36,'1_바디시그널'!$AD$5:$AD$36,"SOC_P",'1_바디시그널'!$BD$5:$BD$36,"A")+SUMIFS('2_개행동'!$AJ$5:$AJ$26,'2_개행동'!$AD$5:$AD$26,"SOC_P",'2_개행동'!$BD$5:$BD$26,"A")+SUMIFS('3_보호자행동'!$AJ$5:$AJ$35,'3_보호자행동'!$AD$5:$AD$35,"SOC_P",'3_보호자행동'!$BD$5:$BD$35,"A"))&gt;(SUMIFS('1_바디시그널'!$AJ$5:$AJ$36,'1_바디시그널'!$AD$5:$AD$36,"SOC_P",'1_바디시그널'!$BD$5:$BD$36,"B")+SUMIFS('2_개행동'!$AJ$5:$AJ$26,'2_개행동'!$AD$5:$AD$26,"SOC_P",'2_개행동'!$BD$5:$BD$26,"B")+SUMIFS('3_보호자행동'!$AJ$5:$AJ$35,'3_보호자행동'!$AD$5:$AD$35,"SOC_P",'3_보호자행동'!$BD$5:$BD$35,"B")),"A",IF((SUMIFS('1_바디시그널'!$AJ$5:$AJ$36,'1_바디시그널'!$AD$5:$AD$36,"SOC_P",'1_바디시그널'!$BD$5:$BD$36,"B")+SUMIFS('2_개행동'!$AJ$5:$AJ$26,'2_개행동'!$AD$5:$AD$26,"SOC_P",'2_개행동'!$BD$5:$BD$26,"B")+SUMIFS('3_보호자행동'!$AJ$5:$AJ$35,'3_보호자행동'!$AD$5:$AD$35,"SOC_P",'3_보호자행동'!$BD$5:$BD$35,"B"))&gt;(SUMIFS('1_바디시그널'!$AJ$5:$AJ$36,'1_바디시그널'!$AD$5:$AD$36,"SOC_P",'1_바디시그널'!$BD$5:$BD$36,"A")+SUMIFS('2_개행동'!$AJ$5:$AJ$26,'2_개행동'!$AD$5:$AD$26,"SOC_P",'2_개행동'!$BD$5:$BD$26,"A")+SUMIFS('3_보호자행동'!$AJ$5:$AJ$35,'3_보호자행동'!$AD$5:$AD$35,"SOC_P",'3_보호자행동'!$BD$5:$BD$35,"A")),"B","-")))</f>
        <v/>
      </c>
      <c r="J11" s="49">
        <f>IF((COUNTIFS('1_바디시그널'!$AD$5:$AD$36,"SOC_D",'1_바디시그널'!$AJ$5:$AJ$36,"&gt;=1")+COUNTIFS('2_개행동'!$AD$5:$AD$26,"SOC_D",'2_개행동'!$AJ$5:$AJ$26,"&gt;=1")+COUNTIFS('3_보호자행동'!$AD$5:$AD$35,"SOC_D",'3_보호자행동'!$AJ$5:$AJ$35,"&gt;=1"))=0,"",MAX(_xlfn.MAXIFS('1_바디시그널'!$AJ$5:$AJ$36,'1_바디시그널'!$AD$5:$AD$36,"SOC_D"),_xlfn.MAXIFS('2_개행동'!$AJ$5:$AJ$26,'2_개행동'!$AD$5:$AD$26,"SOC_D"),_xlfn.MAXIFS('3_보호자행동'!$AJ$5:$AJ$35,'3_보호자행동'!$AD$5:$AD$35,"SOC_D")))</f>
        <v/>
      </c>
      <c r="K11" s="49">
        <f>IF((COUNTIFS('1_바디시그널'!$AD$5:$AD$36,"SOC_D",'1_바디시그널'!$AJ$5:$AJ$36,"&gt;=1")+COUNTIFS('2_개행동'!$AD$5:$AD$26,"SOC_D",'2_개행동'!$AJ$5:$AJ$26,"&gt;=1")+COUNTIFS('3_보호자행동'!$AD$5:$AD$35,"SOC_D",'3_보호자행동'!$AJ$5:$AJ$35,"&gt;=1"))=0,"",ROUND((SUMIFS('1_바디시그널'!$AJ$5:$AJ$36,'1_바디시그널'!$AD$5:$AD$36,"SOC_D",'1_바디시그널'!$AJ$5:$AJ$36,"&gt;=1")+SUMIFS('2_개행동'!$AJ$5:$AJ$26,'2_개행동'!$AD$5:$AD$26,"SOC_D",'2_개행동'!$AJ$5:$AJ$26,"&gt;=1")+SUMIFS('3_보호자행동'!$AJ$5:$AJ$35,'3_보호자행동'!$AD$5:$AD$35,"SOC_D",'3_보호자행동'!$AJ$5:$AJ$35,"&gt;=1"))/(COUNTIFS('1_바디시그널'!$AD$5:$AD$36,"SOC_D",'1_바디시그널'!$AJ$5:$AJ$36,"&gt;=1")+COUNTIFS('2_개행동'!$AD$5:$AD$26,"SOC_D",'2_개행동'!$AJ$5:$AJ$26,"&gt;=1")+COUNTIFS('3_보호자행동'!$AD$5:$AD$35,"SOC_D",'3_보호자행동'!$AJ$5:$AJ$35,"&gt;=1")),2))</f>
        <v/>
      </c>
      <c r="L11" s="49">
        <f>IF((COUNTIFS('1_바디시그널'!$AD$5:$AD$36,"SOC_D",'1_바디시그널'!$AJ$5:$AJ$36,"&gt;=1")+COUNTIFS('2_개행동'!$AD$5:$AD$26,"SOC_D",'2_개행동'!$AJ$5:$AJ$26,"&gt;=1")+COUNTIFS('3_보호자행동'!$AD$5:$AD$35,"SOC_D",'3_보호자행동'!$AJ$5:$AJ$35,"&gt;=1"))=0,"",IF((SUMIFS('1_바디시그널'!$AJ$5:$AJ$36,'1_바디시그널'!$AD$5:$AD$36,"SOC_D",'1_바디시그널'!$BD$5:$BD$36,"A")+SUMIFS('2_개행동'!$AJ$5:$AJ$26,'2_개행동'!$AD$5:$AD$26,"SOC_D",'2_개행동'!$BD$5:$BD$26,"A")+SUMIFS('3_보호자행동'!$AJ$5:$AJ$35,'3_보호자행동'!$AD$5:$AD$35,"SOC_D",'3_보호자행동'!$BD$5:$BD$35,"A"))&gt;(SUMIFS('1_바디시그널'!$AJ$5:$AJ$36,'1_바디시그널'!$AD$5:$AD$36,"SOC_D",'1_바디시그널'!$BD$5:$BD$36,"B")+SUMIFS('2_개행동'!$AJ$5:$AJ$26,'2_개행동'!$AD$5:$AD$26,"SOC_D",'2_개행동'!$BD$5:$BD$26,"B")+SUMIFS('3_보호자행동'!$AJ$5:$AJ$35,'3_보호자행동'!$AD$5:$AD$35,"SOC_D",'3_보호자행동'!$BD$5:$BD$35,"B")),"A",IF((SUMIFS('1_바디시그널'!$AJ$5:$AJ$36,'1_바디시그널'!$AD$5:$AD$36,"SOC_D",'1_바디시그널'!$BD$5:$BD$36,"B")+SUMIFS('2_개행동'!$AJ$5:$AJ$26,'2_개행동'!$AD$5:$AD$26,"SOC_D",'2_개행동'!$BD$5:$BD$26,"B")+SUMIFS('3_보호자행동'!$AJ$5:$AJ$35,'3_보호자행동'!$AD$5:$AD$35,"SOC_D",'3_보호자행동'!$BD$5:$BD$35,"B"))&gt;(SUMIFS('1_바디시그널'!$AJ$5:$AJ$36,'1_바디시그널'!$AD$5:$AD$36,"SOC_D",'1_바디시그널'!$BD$5:$BD$36,"A")+SUMIFS('2_개행동'!$AJ$5:$AJ$26,'2_개행동'!$AD$5:$AD$26,"SOC_D",'2_개행동'!$BD$5:$BD$26,"A")+SUMIFS('3_보호자행동'!$AJ$5:$AJ$35,'3_보호자행동'!$AD$5:$AD$35,"SOC_D",'3_보호자행동'!$BD$5:$BD$35,"A")),"B","-")))</f>
        <v/>
      </c>
      <c r="M11" s="49">
        <f>IF((COUNTIFS('1_바디시그널'!$AD$5:$AD$36,"SOC_E",'1_바디시그널'!$AJ$5:$AJ$36,"&gt;=1")+COUNTIFS('2_개행동'!$AD$5:$AD$26,"SOC_E",'2_개행동'!$AJ$5:$AJ$26,"&gt;=1")+COUNTIFS('3_보호자행동'!$AD$5:$AD$35,"SOC_E",'3_보호자행동'!$AJ$5:$AJ$35,"&gt;=1"))=0,"",MAX(_xlfn.MAXIFS('1_바디시그널'!$AJ$5:$AJ$36,'1_바디시그널'!$AD$5:$AD$36,"SOC_E"),_xlfn.MAXIFS('2_개행동'!$AJ$5:$AJ$26,'2_개행동'!$AD$5:$AD$26,"SOC_E"),_xlfn.MAXIFS('3_보호자행동'!$AJ$5:$AJ$35,'3_보호자행동'!$AD$5:$AD$35,"SOC_E")))</f>
        <v/>
      </c>
      <c r="N11" s="49">
        <f>IF((COUNTIFS('1_바디시그널'!$AD$5:$AD$36,"SOC_E",'1_바디시그널'!$AJ$5:$AJ$36,"&gt;=1")+COUNTIFS('2_개행동'!$AD$5:$AD$26,"SOC_E",'2_개행동'!$AJ$5:$AJ$26,"&gt;=1")+COUNTIFS('3_보호자행동'!$AD$5:$AD$35,"SOC_E",'3_보호자행동'!$AJ$5:$AJ$35,"&gt;=1"))=0,"",ROUND((SUMIFS('1_바디시그널'!$AJ$5:$AJ$36,'1_바디시그널'!$AD$5:$AD$36,"SOC_E",'1_바디시그널'!$AJ$5:$AJ$36,"&gt;=1")+SUMIFS('2_개행동'!$AJ$5:$AJ$26,'2_개행동'!$AD$5:$AD$26,"SOC_E",'2_개행동'!$AJ$5:$AJ$26,"&gt;=1")+SUMIFS('3_보호자행동'!$AJ$5:$AJ$35,'3_보호자행동'!$AD$5:$AD$35,"SOC_E",'3_보호자행동'!$AJ$5:$AJ$35,"&gt;=1"))/(COUNTIFS('1_바디시그널'!$AD$5:$AD$36,"SOC_E",'1_바디시그널'!$AJ$5:$AJ$36,"&gt;=1")+COUNTIFS('2_개행동'!$AD$5:$AD$26,"SOC_E",'2_개행동'!$AJ$5:$AJ$26,"&gt;=1")+COUNTIFS('3_보호자행동'!$AD$5:$AD$35,"SOC_E",'3_보호자행동'!$AJ$5:$AJ$35,"&gt;=1")),2))</f>
        <v/>
      </c>
      <c r="O11" s="49">
        <f>IF((COUNTIFS('1_바디시그널'!$AD$5:$AD$36,"SOC_E",'1_바디시그널'!$AJ$5:$AJ$36,"&gt;=1")+COUNTIFS('2_개행동'!$AD$5:$AD$26,"SOC_E",'2_개행동'!$AJ$5:$AJ$26,"&gt;=1")+COUNTIFS('3_보호자행동'!$AD$5:$AD$35,"SOC_E",'3_보호자행동'!$AJ$5:$AJ$35,"&gt;=1"))=0,"",IF((SUMIFS('1_바디시그널'!$AJ$5:$AJ$36,'1_바디시그널'!$AD$5:$AD$36,"SOC_E",'1_바디시그널'!$BD$5:$BD$36,"A")+SUMIFS('2_개행동'!$AJ$5:$AJ$26,'2_개행동'!$AD$5:$AD$26,"SOC_E",'2_개행동'!$BD$5:$BD$26,"A")+SUMIFS('3_보호자행동'!$AJ$5:$AJ$35,'3_보호자행동'!$AD$5:$AD$35,"SOC_E",'3_보호자행동'!$BD$5:$BD$35,"A"))&gt;(SUMIFS('1_바디시그널'!$AJ$5:$AJ$36,'1_바디시그널'!$AD$5:$AD$36,"SOC_E",'1_바디시그널'!$BD$5:$BD$36,"B")+SUMIFS('2_개행동'!$AJ$5:$AJ$26,'2_개행동'!$AD$5:$AD$26,"SOC_E",'2_개행동'!$BD$5:$BD$26,"B")+SUMIFS('3_보호자행동'!$AJ$5:$AJ$35,'3_보호자행동'!$AD$5:$AD$35,"SOC_E",'3_보호자행동'!$BD$5:$BD$35,"B")),"A",IF((SUMIFS('1_바디시그널'!$AJ$5:$AJ$36,'1_바디시그널'!$AD$5:$AD$36,"SOC_E",'1_바디시그널'!$BD$5:$BD$36,"B")+SUMIFS('2_개행동'!$AJ$5:$AJ$26,'2_개행동'!$AD$5:$AD$26,"SOC_E",'2_개행동'!$BD$5:$BD$26,"B")+SUMIFS('3_보호자행동'!$AJ$5:$AJ$35,'3_보호자행동'!$AD$5:$AD$35,"SOC_E",'3_보호자행동'!$BD$5:$BD$35,"B"))&gt;(SUMIFS('1_바디시그널'!$AJ$5:$AJ$36,'1_바디시그널'!$AD$5:$AD$36,"SOC_E",'1_바디시그널'!$BD$5:$BD$36,"A")+SUMIFS('2_개행동'!$AJ$5:$AJ$26,'2_개행동'!$AD$5:$AD$26,"SOC_E",'2_개행동'!$BD$5:$BD$26,"A")+SUMIFS('3_보호자행동'!$AJ$5:$AJ$35,'3_보호자행동'!$AD$5:$AD$35,"SOC_E",'3_보호자행동'!$BD$5:$BD$35,"A")),"B","-")))</f>
        <v/>
      </c>
      <c r="P11" s="49">
        <f>IF((COUNTIFS('1_바디시그널'!$AD$5:$AD$36,"ATT",'1_바디시그널'!$AJ$5:$AJ$36,"&gt;=1")+COUNTIFS('2_개행동'!$AD$5:$AD$26,"ATT",'2_개행동'!$AJ$5:$AJ$26,"&gt;=1")+COUNTIFS('3_보호자행동'!$AD$5:$AD$35,"ATT",'3_보호자행동'!$AJ$5:$AJ$35,"&gt;=1"))=0,"",MAX(_xlfn.MAXIFS('1_바디시그널'!$AJ$5:$AJ$36,'1_바디시그널'!$AD$5:$AD$36,"ATT"),_xlfn.MAXIFS('2_개행동'!$AJ$5:$AJ$26,'2_개행동'!$AD$5:$AD$26,"ATT"),_xlfn.MAXIFS('3_보호자행동'!$AJ$5:$AJ$35,'3_보호자행동'!$AD$5:$AD$35,"ATT")))</f>
        <v/>
      </c>
      <c r="Q11" s="49">
        <f>IF((COUNTIFS('1_바디시그널'!$AD$5:$AD$36,"ATT",'1_바디시그널'!$AJ$5:$AJ$36,"&gt;=1")+COUNTIFS('2_개행동'!$AD$5:$AD$26,"ATT",'2_개행동'!$AJ$5:$AJ$26,"&gt;=1")+COUNTIFS('3_보호자행동'!$AD$5:$AD$35,"ATT",'3_보호자행동'!$AJ$5:$AJ$35,"&gt;=1"))=0,"",ROUND((SUMIFS('1_바디시그널'!$AJ$5:$AJ$36,'1_바디시그널'!$AD$5:$AD$36,"ATT",'1_바디시그널'!$AJ$5:$AJ$36,"&gt;=1")+SUMIFS('2_개행동'!$AJ$5:$AJ$26,'2_개행동'!$AD$5:$AD$26,"ATT",'2_개행동'!$AJ$5:$AJ$26,"&gt;=1")+SUMIFS('3_보호자행동'!$AJ$5:$AJ$35,'3_보호자행동'!$AD$5:$AD$35,"ATT",'3_보호자행동'!$AJ$5:$AJ$35,"&gt;=1"))/(COUNTIFS('1_바디시그널'!$AD$5:$AD$36,"ATT",'1_바디시그널'!$AJ$5:$AJ$36,"&gt;=1")+COUNTIFS('2_개행동'!$AD$5:$AD$26,"ATT",'2_개행동'!$AJ$5:$AJ$26,"&gt;=1")+COUNTIFS('3_보호자행동'!$AD$5:$AD$35,"ATT",'3_보호자행동'!$AJ$5:$AJ$35,"&gt;=1")),2))</f>
        <v/>
      </c>
      <c r="R11" s="49">
        <f>IF((COUNTIFS('1_바디시그널'!$AD$5:$AD$36,"ATT",'1_바디시그널'!$AJ$5:$AJ$36,"&gt;=1")+COUNTIFS('2_개행동'!$AD$5:$AD$26,"ATT",'2_개행동'!$AJ$5:$AJ$26,"&gt;=1")+COUNTIFS('3_보호자행동'!$AD$5:$AD$35,"ATT",'3_보호자행동'!$AJ$5:$AJ$35,"&gt;=1"))=0,"",IF((SUMIFS('1_바디시그널'!$AJ$5:$AJ$36,'1_바디시그널'!$AD$5:$AD$36,"ATT",'1_바디시그널'!$BD$5:$BD$36,"A")+SUMIFS('2_개행동'!$AJ$5:$AJ$26,'2_개행동'!$AD$5:$AD$26,"ATT",'2_개행동'!$BD$5:$BD$26,"A")+SUMIFS('3_보호자행동'!$AJ$5:$AJ$35,'3_보호자행동'!$AD$5:$AD$35,"ATT",'3_보호자행동'!$BD$5:$BD$35,"A"))&gt;(SUMIFS('1_바디시그널'!$AJ$5:$AJ$36,'1_바디시그널'!$AD$5:$AD$36,"ATT",'1_바디시그널'!$BD$5:$BD$36,"B")+SUMIFS('2_개행동'!$AJ$5:$AJ$26,'2_개행동'!$AD$5:$AD$26,"ATT",'2_개행동'!$BD$5:$BD$26,"B")+SUMIFS('3_보호자행동'!$AJ$5:$AJ$35,'3_보호자행동'!$AD$5:$AD$35,"ATT",'3_보호자행동'!$BD$5:$BD$35,"B")),"A",IF((SUMIFS('1_바디시그널'!$AJ$5:$AJ$36,'1_바디시그널'!$AD$5:$AD$36,"ATT",'1_바디시그널'!$BD$5:$BD$36,"B")+SUMIFS('2_개행동'!$AJ$5:$AJ$26,'2_개행동'!$AD$5:$AD$26,"ATT",'2_개행동'!$BD$5:$BD$26,"B")+SUMIFS('3_보호자행동'!$AJ$5:$AJ$35,'3_보호자행동'!$AD$5:$AD$35,"ATT",'3_보호자행동'!$BD$5:$BD$35,"B"))&gt;(SUMIFS('1_바디시그널'!$AJ$5:$AJ$36,'1_바디시그널'!$AD$5:$AD$36,"ATT",'1_바디시그널'!$BD$5:$BD$36,"A")+SUMIFS('2_개행동'!$AJ$5:$AJ$26,'2_개행동'!$AD$5:$AD$26,"ATT",'2_개행동'!$BD$5:$BD$26,"A")+SUMIFS('3_보호자행동'!$AJ$5:$AJ$35,'3_보호자행동'!$AD$5:$AD$35,"ATT",'3_보호자행동'!$BD$5:$BD$35,"A")),"B","-")))</f>
        <v/>
      </c>
      <c r="S11" s="49">
        <f>IF((COUNTIFS('1_바디시그널'!$AD$5:$AD$36,"CON",'1_바디시그널'!$AJ$5:$AJ$36,"&gt;=1")+COUNTIFS('2_개행동'!$AD$5:$AD$26,"CON",'2_개행동'!$AJ$5:$AJ$26,"&gt;=1")+COUNTIFS('3_보호자행동'!$AD$5:$AD$35,"CON",'3_보호자행동'!$AJ$5:$AJ$35,"&gt;=1"))=0,"",MAX(_xlfn.MAXIFS('1_바디시그널'!$AJ$5:$AJ$36,'1_바디시그널'!$AD$5:$AD$36,"CON"),_xlfn.MAXIFS('2_개행동'!$AJ$5:$AJ$26,'2_개행동'!$AD$5:$AD$26,"CON"),_xlfn.MAXIFS('3_보호자행동'!$AJ$5:$AJ$35,'3_보호자행동'!$AD$5:$AD$35,"CON")))</f>
        <v/>
      </c>
      <c r="T11" s="49">
        <f>IF((COUNTIFS('1_바디시그널'!$AD$5:$AD$36,"CON",'1_바디시그널'!$AJ$5:$AJ$36,"&gt;=1")+COUNTIFS('2_개행동'!$AD$5:$AD$26,"CON",'2_개행동'!$AJ$5:$AJ$26,"&gt;=1")+COUNTIFS('3_보호자행동'!$AD$5:$AD$35,"CON",'3_보호자행동'!$AJ$5:$AJ$35,"&gt;=1"))=0,"",ROUND((SUMIFS('1_바디시그널'!$AJ$5:$AJ$36,'1_바디시그널'!$AD$5:$AD$36,"CON",'1_바디시그널'!$AJ$5:$AJ$36,"&gt;=1")+SUMIFS('2_개행동'!$AJ$5:$AJ$26,'2_개행동'!$AD$5:$AD$26,"CON",'2_개행동'!$AJ$5:$AJ$26,"&gt;=1")+SUMIFS('3_보호자행동'!$AJ$5:$AJ$35,'3_보호자행동'!$AD$5:$AD$35,"CON",'3_보호자행동'!$AJ$5:$AJ$35,"&gt;=1"))/(COUNTIFS('1_바디시그널'!$AD$5:$AD$36,"CON",'1_바디시그널'!$AJ$5:$AJ$36,"&gt;=1")+COUNTIFS('2_개행동'!$AD$5:$AD$26,"CON",'2_개행동'!$AJ$5:$AJ$26,"&gt;=1")+COUNTIFS('3_보호자행동'!$AD$5:$AD$35,"CON",'3_보호자행동'!$AJ$5:$AJ$35,"&gt;=1")),2))</f>
        <v/>
      </c>
      <c r="U11" s="49">
        <f>IF((COUNTIFS('1_바디시그널'!$AD$5:$AD$36,"CON",'1_바디시그널'!$AJ$5:$AJ$36,"&gt;=1")+COUNTIFS('2_개행동'!$AD$5:$AD$26,"CON",'2_개행동'!$AJ$5:$AJ$26,"&gt;=1")+COUNTIFS('3_보호자행동'!$AD$5:$AD$35,"CON",'3_보호자행동'!$AJ$5:$AJ$35,"&gt;=1"))=0,"",IF((SUMIFS('1_바디시그널'!$AJ$5:$AJ$36,'1_바디시그널'!$AD$5:$AD$36,"CON",'1_바디시그널'!$BD$5:$BD$36,"A")+SUMIFS('2_개행동'!$AJ$5:$AJ$26,'2_개행동'!$AD$5:$AD$26,"CON",'2_개행동'!$BD$5:$BD$26,"A")+SUMIFS('3_보호자행동'!$AJ$5:$AJ$35,'3_보호자행동'!$AD$5:$AD$35,"CON",'3_보호자행동'!$BD$5:$BD$35,"A"))&gt;(SUMIFS('1_바디시그널'!$AJ$5:$AJ$36,'1_바디시그널'!$AD$5:$AD$36,"CON",'1_바디시그널'!$BD$5:$BD$36,"B")+SUMIFS('2_개행동'!$AJ$5:$AJ$26,'2_개행동'!$AD$5:$AD$26,"CON",'2_개행동'!$BD$5:$BD$26,"B")+SUMIFS('3_보호자행동'!$AJ$5:$AJ$35,'3_보호자행동'!$AD$5:$AD$35,"CON",'3_보호자행동'!$BD$5:$BD$35,"B")),"A",IF((SUMIFS('1_바디시그널'!$AJ$5:$AJ$36,'1_바디시그널'!$AD$5:$AD$36,"CON",'1_바디시그널'!$BD$5:$BD$36,"B")+SUMIFS('2_개행동'!$AJ$5:$AJ$26,'2_개행동'!$AD$5:$AD$26,"CON",'2_개행동'!$BD$5:$BD$26,"B")+SUMIFS('3_보호자행동'!$AJ$5:$AJ$35,'3_보호자행동'!$AD$5:$AD$35,"CON",'3_보호자행동'!$BD$5:$BD$35,"B"))&gt;(SUMIFS('1_바디시그널'!$AJ$5:$AJ$36,'1_바디시그널'!$AD$5:$AD$36,"CON",'1_바디시그널'!$BD$5:$BD$36,"A")+SUMIFS('2_개행동'!$AJ$5:$AJ$26,'2_개행동'!$AD$5:$AD$26,"CON",'2_개행동'!$BD$5:$BD$26,"A")+SUMIFS('3_보호자행동'!$AJ$5:$AJ$35,'3_보호자행동'!$AD$5:$AD$35,"CON",'3_보호자행동'!$BD$5:$BD$35,"A")),"B","-")))</f>
        <v/>
      </c>
      <c r="V11" s="48">
        <f>IF(COUNT(X11:AA11)=0,"",ROUND(MAX(X11:AA11)-MIN(X11:AA11),2))</f>
        <v/>
      </c>
      <c r="W11" s="47" t="n"/>
      <c r="X11" s="49">
        <f>IFERROR(SUMIFS('3_보호자행동'!$AJ$5:$AJ$35,'3_보호자행동'!$A$5:$A$35,"입장",'3_보호자행동'!$AJ$5:$AJ$35,"&gt;=1")/COUNTIFS('3_보호자행동'!$A$5:$A$35,"입장",'3_보호자행동'!$AJ$5:$AJ$35,"&gt;=1"),"")</f>
        <v/>
      </c>
      <c r="Y11" s="49">
        <f>IFERROR(SUMIFS('3_보호자행동'!$AJ$5:$AJ$35,'3_보호자행동'!$A$5:$A$35,"분리",'3_보호자행동'!$AJ$5:$AJ$35,"&gt;=1")/COUNTIFS('3_보호자행동'!$A$5:$A$35,"분리",'3_보호자행동'!$AJ$5:$AJ$35,"&gt;=1"),"")</f>
        <v/>
      </c>
      <c r="Z11" s="49">
        <f>IFERROR(SUMIFS('3_보호자행동'!$AJ$5:$AJ$35,'3_보호자행동'!$A$5:$A$35,"훈련",'3_보호자행동'!$AJ$5:$AJ$35,"&gt;=1")/COUNTIFS('3_보호자행동'!$A$5:$A$35,"훈련",'3_보호자행동'!$AJ$5:$AJ$35,"&gt;=1"),"")</f>
        <v/>
      </c>
      <c r="AA11" s="49">
        <f>IFERROR(SUMIFS('3_보호자행동'!$AJ$5:$AJ$35,'3_보호자행동'!$A$5:$A$35,"놀이",'3_보호자행동'!$AJ$5:$AJ$35,"&gt;=1")/COUNTIFS('3_보호자행동'!$A$5:$A$35,"놀이",'3_보호자행동'!$AJ$5:$AJ$35,"&gt;=1"),"")</f>
        <v/>
      </c>
      <c r="AB11">
        <f>IF((COUNTIFS('1_바디시그널'!$AD$5:$AD$36,"TRN",'1_바디시그널'!$AJ$5:$AJ$36,"&gt;=1")+COUNTIFS('2_개행동'!$AD$5:$AD$26,"TRN",'2_개행동'!$AJ$5:$AJ$26,"&gt;=1")+COUNTIFS('3_보호자행동'!$AD$5:$AD$35,"TRN",'3_보호자행동'!$AJ$5:$AJ$35,"&gt;=1"))=0,"",MAX(_xlfn.MAXIFS('1_바디시그널'!$AJ$5:$AJ$36,'1_바디시그널'!$AD$5:$AD$36,"TRN"),_xlfn.MAXIFS('2_개행동'!$AJ$5:$AJ$26,'2_개행동'!$AD$5:$AD$26,"TRN"),_xlfn.MAXIFS('3_보호자행동'!$AJ$5:$AJ$35,'3_보호자행동'!$AD$5:$AD$35,"TRN")))</f>
        <v/>
      </c>
      <c r="AC11">
        <f>IF((COUNTIFS('1_바디시그널'!$AD$5:$AD$36,"TRN",'1_바디시그널'!$AJ$5:$AJ$36,"&gt;=1")+COUNTIFS('2_개행동'!$AD$5:$AD$26,"TRN",'2_개행동'!$AJ$5:$AJ$26,"&gt;=1")+COUNTIFS('3_보호자행동'!$AD$5:$AD$35,"TRN",'3_보호자행동'!$AJ$5:$AJ$35,"&gt;=1"))=0,"",ROUND((SUMIFS('1_바디시그널'!$AJ$5:$AJ$36,'1_바디시그널'!$AD$5:$AD$36,"TRN",'1_바디시그널'!$AJ$5:$AJ$36,"&gt;=1")+SUMIFS('2_개행동'!$AJ$5:$AJ$26,'2_개행동'!$AD$5:$AD$26,"TRN",'2_개행동'!$AJ$5:$AJ$26,"&gt;=1")+SUMIFS('3_보호자행동'!$AJ$5:$AJ$35,'3_보호자행동'!$AD$5:$AD$35,"TRN",'3_보호자행동'!$AJ$5:$AJ$35,"&gt;=1"))/(COUNTIFS('1_바디시그널'!$AD$5:$AD$36,"TRN",'1_바디시그널'!$AJ$5:$AJ$36,"&gt;=1")+COUNTIFS('2_개행동'!$AD$5:$AD$26,"TRN",'2_개행동'!$AJ$5:$AJ$26,"&gt;=1")+COUNTIFS('3_보호자행동'!$AD$5:$AD$35,"TRN",'3_보호자행동'!$AJ$5:$AJ$35,"&gt;=1")),2))</f>
        <v/>
      </c>
      <c r="AD11">
        <f>IF((COUNTIFS('1_바디시그널'!$AD$5:$AD$36,"TRN",'1_바디시그널'!$AJ$5:$AJ$36,"&gt;=1")+COUNTIFS('2_개행동'!$AD$5:$AD$26,"TRN",'2_개행동'!$AJ$5:$AJ$26,"&gt;=1")+COUNTIFS('3_보호자행동'!$AD$5:$AD$35,"TRN",'3_보호자행동'!$AJ$5:$AJ$35,"&gt;=1"))=0,"",IF((SUMIFS('1_바디시그널'!$AJ$5:$AJ$36,'1_바디시그널'!$AD$5:$AD$36,"TRN",'1_바디시그널'!$BD$5:$BD$36,"A")+SUMIFS('2_개행동'!$AJ$5:$AJ$26,'2_개행동'!$AD$5:$AD$26,"TRN",'2_개행동'!$BD$5:$BD$26,"A")+SUMIFS('3_보호자행동'!$AJ$5:$AJ$35,'3_보호자행동'!$AD$5:$AD$35,"TRN",'3_보호자행동'!$BD$5:$BD$35,"A"))&gt;(SUMIFS('1_바디시그널'!$AJ$5:$AJ$36,'1_바디시그널'!$AD$5:$AD$36,"TRN",'1_바디시그널'!$BD$5:$BD$36,"B")+SUMIFS('2_개행동'!$AJ$5:$AJ$26,'2_개행동'!$AD$5:$AD$26,"TRN",'2_개행동'!$BD$5:$BD$26,"B")+SUMIFS('3_보호자행동'!$AJ$5:$AJ$35,'3_보호자행동'!$AD$5:$AD$35,"TRN",'3_보호자행동'!$BD$5:$BD$35,"B")),"A",IF((SUMIFS('1_바디시그널'!$AJ$5:$AJ$36,'1_바디시그널'!$AD$5:$AD$36,"TRN",'1_바디시그널'!$BD$5:$BD$36,"B")+SUMIFS('2_개행동'!$AJ$5:$AJ$26,'2_개행동'!$AD$5:$AD$26,"TRN",'2_개행동'!$BD$5:$BD$26,"B")+SUMIFS('3_보호자행동'!$AJ$5:$AJ$35,'3_보호자행동'!$AD$5:$AD$35,"TRN",'3_보호자행동'!$BD$5:$BD$35,"B"))&gt;(SUMIFS('1_바디시그널'!$AJ$5:$AJ$36,'1_바디시그널'!$AD$5:$AD$36,"TRN",'1_바디시그널'!$BD$5:$BD$36,"A")+SUMIFS('2_개행동'!$AJ$5:$AJ$26,'2_개행동'!$AD$5:$AD$26,"TRN",'2_개행동'!$BD$5:$BD$26,"A")+SUMIFS('3_보호자행동'!$AJ$5:$AJ$35,'3_보호자행동'!$AD$5:$AD$35,"TRN",'3_보호자행동'!$BD$5:$BD$35,"A")),"B","-")))</f>
        <v/>
      </c>
      <c r="AE11">
        <f>IF('2_개행동'!$O$11="","",'2_개행동'!$O$11&amp;IF('2_개행동'!$O$11=3," [B]",IF('2_개행동'!$O$11=1,""," [A]")))</f>
        <v/>
      </c>
    </row>
    <row r="12" ht="18.75" customHeight="1" s="1">
      <c r="A12" s="46" t="n">
        <v>7</v>
      </c>
      <c r="B12" s="47" t="n"/>
      <c r="C12" s="47" t="n"/>
      <c r="D12" s="48">
        <f>IF((COUNTIFS('1_바디시그널'!$AD$5:$AD$36,"EDU",'1_바디시그널'!$AK$5:$AK$36,"&gt;=1")+COUNTIFS('2_개행동'!$AD$5:$AD$26,"EDU",'2_개행동'!$AK$5:$AK$26,"&gt;=1")+COUNTIFS('3_보호자행동'!$AD$5:$AD$35,"EDU",'3_보호자행동'!$AK$5:$AK$35,"&gt;=1"))=0,"",MAX(_xlfn.MAXIFS('1_바디시그널'!$AK$5:$AK$36,'1_바디시그널'!$AD$5:$AD$36,"EDU"),_xlfn.MAXIFS('2_개행동'!$AK$5:$AK$26,'2_개행동'!$AD$5:$AD$26,"EDU"),_xlfn.MAXIFS('3_보호자행동'!$AK$5:$AK$35,'3_보호자행동'!$AD$5:$AD$35,"EDU")))</f>
        <v/>
      </c>
      <c r="E12" s="49">
        <f>IF((COUNTIFS('1_바디시그널'!$AD$5:$AD$36,"EDU",'1_바디시그널'!$AK$5:$AK$36,"&gt;=1")+COUNTIFS('2_개행동'!$AD$5:$AD$26,"EDU",'2_개행동'!$AK$5:$AK$26,"&gt;=1")+COUNTIFS('3_보호자행동'!$AD$5:$AD$35,"EDU",'3_보호자행동'!$AK$5:$AK$35,"&gt;=1"))=0,"",ROUND((SUMIFS('1_바디시그널'!$AK$5:$AK$36,'1_바디시그널'!$AD$5:$AD$36,"EDU",'1_바디시그널'!$AK$5:$AK$36,"&gt;=1")+SUMIFS('2_개행동'!$AK$5:$AK$26,'2_개행동'!$AD$5:$AD$26,"EDU",'2_개행동'!$AK$5:$AK$26,"&gt;=1")+SUMIFS('3_보호자행동'!$AK$5:$AK$35,'3_보호자행동'!$AD$5:$AD$35,"EDU",'3_보호자행동'!$AK$5:$AK$35,"&gt;=1"))/(COUNTIFS('1_바디시그널'!$AD$5:$AD$36,"EDU",'1_바디시그널'!$AK$5:$AK$36,"&gt;=1")+COUNTIFS('2_개행동'!$AD$5:$AD$26,"EDU",'2_개행동'!$AK$5:$AK$26,"&gt;=1")+COUNTIFS('3_보호자행동'!$AD$5:$AD$35,"EDU",'3_보호자행동'!$AK$5:$AK$35,"&gt;=1")),2))</f>
        <v/>
      </c>
      <c r="F12" s="49">
        <f>IF((COUNTIFS('1_바디시그널'!$AD$5:$AD$36,"EDU",'1_바디시그널'!$AK$5:$AK$36,"&gt;=1")+COUNTIFS('2_개행동'!$AD$5:$AD$26,"EDU",'2_개행동'!$AK$5:$AK$26,"&gt;=1")+COUNTIFS('3_보호자행동'!$AD$5:$AD$35,"EDU",'3_보호자행동'!$AK$5:$AK$35,"&gt;=1"))=0,"",IF((SUMIFS('1_바디시그널'!$AK$5:$AK$36,'1_바디시그널'!$AD$5:$AD$36,"EDU",'1_바디시그널'!$BE$5:$BE$36,"A")+SUMIFS('2_개행동'!$AK$5:$AK$26,'2_개행동'!$AD$5:$AD$26,"EDU",'2_개행동'!$BE$5:$BE$26,"A")+SUMIFS('3_보호자행동'!$AK$5:$AK$35,'3_보호자행동'!$AD$5:$AD$35,"EDU",'3_보호자행동'!$BE$5:$BE$35,"A"))&gt;(SUMIFS('1_바디시그널'!$AK$5:$AK$36,'1_바디시그널'!$AD$5:$AD$36,"EDU",'1_바디시그널'!$BE$5:$BE$36,"B")+SUMIFS('2_개행동'!$AK$5:$AK$26,'2_개행동'!$AD$5:$AD$26,"EDU",'2_개행동'!$BE$5:$BE$26,"B")+SUMIFS('3_보호자행동'!$AK$5:$AK$35,'3_보호자행동'!$AD$5:$AD$35,"EDU",'3_보호자행동'!$BE$5:$BE$35,"B")),"A",IF((SUMIFS('1_바디시그널'!$AK$5:$AK$36,'1_바디시그널'!$AD$5:$AD$36,"EDU",'1_바디시그널'!$BE$5:$BE$36,"B")+SUMIFS('2_개행동'!$AK$5:$AK$26,'2_개행동'!$AD$5:$AD$26,"EDU",'2_개행동'!$BE$5:$BE$26,"B")+SUMIFS('3_보호자행동'!$AK$5:$AK$35,'3_보호자행동'!$AD$5:$AD$35,"EDU",'3_보호자행동'!$BE$5:$BE$35,"B"))&gt;(SUMIFS('1_바디시그널'!$AK$5:$AK$36,'1_바디시그널'!$AD$5:$AD$36,"EDU",'1_바디시그널'!$BE$5:$BE$36,"A")+SUMIFS('2_개행동'!$AK$5:$AK$26,'2_개행동'!$AD$5:$AD$26,"EDU",'2_개행동'!$BE$5:$BE$26,"A")+SUMIFS('3_보호자행동'!$AK$5:$AK$35,'3_보호자행동'!$AD$5:$AD$35,"EDU",'3_보호자행동'!$BE$5:$BE$35,"A")),"B","-")))</f>
        <v/>
      </c>
      <c r="G12" s="49">
        <f>IF((COUNTIFS('1_바디시그널'!$AD$5:$AD$36,"SOC_P",'1_바디시그널'!$AK$5:$AK$36,"&gt;=1")+COUNTIFS('2_개행동'!$AD$5:$AD$26,"SOC_P",'2_개행동'!$AK$5:$AK$26,"&gt;=1")+COUNTIFS('3_보호자행동'!$AD$5:$AD$35,"SOC_P",'3_보호자행동'!$AK$5:$AK$35,"&gt;=1"))=0,"",MAX(_xlfn.MAXIFS('1_바디시그널'!$AK$5:$AK$36,'1_바디시그널'!$AD$5:$AD$36,"SOC_P"),_xlfn.MAXIFS('2_개행동'!$AK$5:$AK$26,'2_개행동'!$AD$5:$AD$26,"SOC_P"),_xlfn.MAXIFS('3_보호자행동'!$AK$5:$AK$35,'3_보호자행동'!$AD$5:$AD$35,"SOC_P")))</f>
        <v/>
      </c>
      <c r="H12" s="49">
        <f>IF((COUNTIFS('1_바디시그널'!$AD$5:$AD$36,"SOC_P",'1_바디시그널'!$AK$5:$AK$36,"&gt;=1")+COUNTIFS('2_개행동'!$AD$5:$AD$26,"SOC_P",'2_개행동'!$AK$5:$AK$26,"&gt;=1")+COUNTIFS('3_보호자행동'!$AD$5:$AD$35,"SOC_P",'3_보호자행동'!$AK$5:$AK$35,"&gt;=1"))=0,"",ROUND((SUMIFS('1_바디시그널'!$AK$5:$AK$36,'1_바디시그널'!$AD$5:$AD$36,"SOC_P",'1_바디시그널'!$AK$5:$AK$36,"&gt;=1")+SUMIFS('2_개행동'!$AK$5:$AK$26,'2_개행동'!$AD$5:$AD$26,"SOC_P",'2_개행동'!$AK$5:$AK$26,"&gt;=1")+SUMIFS('3_보호자행동'!$AK$5:$AK$35,'3_보호자행동'!$AD$5:$AD$35,"SOC_P",'3_보호자행동'!$AK$5:$AK$35,"&gt;=1"))/(COUNTIFS('1_바디시그널'!$AD$5:$AD$36,"SOC_P",'1_바디시그널'!$AK$5:$AK$36,"&gt;=1")+COUNTIFS('2_개행동'!$AD$5:$AD$26,"SOC_P",'2_개행동'!$AK$5:$AK$26,"&gt;=1")+COUNTIFS('3_보호자행동'!$AD$5:$AD$35,"SOC_P",'3_보호자행동'!$AK$5:$AK$35,"&gt;=1")),2))</f>
        <v/>
      </c>
      <c r="I12" s="49">
        <f>IF((COUNTIFS('1_바디시그널'!$AD$5:$AD$36,"SOC_P",'1_바디시그널'!$AK$5:$AK$36,"&gt;=1")+COUNTIFS('2_개행동'!$AD$5:$AD$26,"SOC_P",'2_개행동'!$AK$5:$AK$26,"&gt;=1")+COUNTIFS('3_보호자행동'!$AD$5:$AD$35,"SOC_P",'3_보호자행동'!$AK$5:$AK$35,"&gt;=1"))=0,"",IF((SUMIFS('1_바디시그널'!$AK$5:$AK$36,'1_바디시그널'!$AD$5:$AD$36,"SOC_P",'1_바디시그널'!$BE$5:$BE$36,"A")+SUMIFS('2_개행동'!$AK$5:$AK$26,'2_개행동'!$AD$5:$AD$26,"SOC_P",'2_개행동'!$BE$5:$BE$26,"A")+SUMIFS('3_보호자행동'!$AK$5:$AK$35,'3_보호자행동'!$AD$5:$AD$35,"SOC_P",'3_보호자행동'!$BE$5:$BE$35,"A"))&gt;(SUMIFS('1_바디시그널'!$AK$5:$AK$36,'1_바디시그널'!$AD$5:$AD$36,"SOC_P",'1_바디시그널'!$BE$5:$BE$36,"B")+SUMIFS('2_개행동'!$AK$5:$AK$26,'2_개행동'!$AD$5:$AD$26,"SOC_P",'2_개행동'!$BE$5:$BE$26,"B")+SUMIFS('3_보호자행동'!$AK$5:$AK$35,'3_보호자행동'!$AD$5:$AD$35,"SOC_P",'3_보호자행동'!$BE$5:$BE$35,"B")),"A",IF((SUMIFS('1_바디시그널'!$AK$5:$AK$36,'1_바디시그널'!$AD$5:$AD$36,"SOC_P",'1_바디시그널'!$BE$5:$BE$36,"B")+SUMIFS('2_개행동'!$AK$5:$AK$26,'2_개행동'!$AD$5:$AD$26,"SOC_P",'2_개행동'!$BE$5:$BE$26,"B")+SUMIFS('3_보호자행동'!$AK$5:$AK$35,'3_보호자행동'!$AD$5:$AD$35,"SOC_P",'3_보호자행동'!$BE$5:$BE$35,"B"))&gt;(SUMIFS('1_바디시그널'!$AK$5:$AK$36,'1_바디시그널'!$AD$5:$AD$36,"SOC_P",'1_바디시그널'!$BE$5:$BE$36,"A")+SUMIFS('2_개행동'!$AK$5:$AK$26,'2_개행동'!$AD$5:$AD$26,"SOC_P",'2_개행동'!$BE$5:$BE$26,"A")+SUMIFS('3_보호자행동'!$AK$5:$AK$35,'3_보호자행동'!$AD$5:$AD$35,"SOC_P",'3_보호자행동'!$BE$5:$BE$35,"A")),"B","-")))</f>
        <v/>
      </c>
      <c r="J12" s="49">
        <f>IF((COUNTIFS('1_바디시그널'!$AD$5:$AD$36,"SOC_D",'1_바디시그널'!$AK$5:$AK$36,"&gt;=1")+COUNTIFS('2_개행동'!$AD$5:$AD$26,"SOC_D",'2_개행동'!$AK$5:$AK$26,"&gt;=1")+COUNTIFS('3_보호자행동'!$AD$5:$AD$35,"SOC_D",'3_보호자행동'!$AK$5:$AK$35,"&gt;=1"))=0,"",MAX(_xlfn.MAXIFS('1_바디시그널'!$AK$5:$AK$36,'1_바디시그널'!$AD$5:$AD$36,"SOC_D"),_xlfn.MAXIFS('2_개행동'!$AK$5:$AK$26,'2_개행동'!$AD$5:$AD$26,"SOC_D"),_xlfn.MAXIFS('3_보호자행동'!$AK$5:$AK$35,'3_보호자행동'!$AD$5:$AD$35,"SOC_D")))</f>
        <v/>
      </c>
      <c r="K12" s="49">
        <f>IF((COUNTIFS('1_바디시그널'!$AD$5:$AD$36,"SOC_D",'1_바디시그널'!$AK$5:$AK$36,"&gt;=1")+COUNTIFS('2_개행동'!$AD$5:$AD$26,"SOC_D",'2_개행동'!$AK$5:$AK$26,"&gt;=1")+COUNTIFS('3_보호자행동'!$AD$5:$AD$35,"SOC_D",'3_보호자행동'!$AK$5:$AK$35,"&gt;=1"))=0,"",ROUND((SUMIFS('1_바디시그널'!$AK$5:$AK$36,'1_바디시그널'!$AD$5:$AD$36,"SOC_D",'1_바디시그널'!$AK$5:$AK$36,"&gt;=1")+SUMIFS('2_개행동'!$AK$5:$AK$26,'2_개행동'!$AD$5:$AD$26,"SOC_D",'2_개행동'!$AK$5:$AK$26,"&gt;=1")+SUMIFS('3_보호자행동'!$AK$5:$AK$35,'3_보호자행동'!$AD$5:$AD$35,"SOC_D",'3_보호자행동'!$AK$5:$AK$35,"&gt;=1"))/(COUNTIFS('1_바디시그널'!$AD$5:$AD$36,"SOC_D",'1_바디시그널'!$AK$5:$AK$36,"&gt;=1")+COUNTIFS('2_개행동'!$AD$5:$AD$26,"SOC_D",'2_개행동'!$AK$5:$AK$26,"&gt;=1")+COUNTIFS('3_보호자행동'!$AD$5:$AD$35,"SOC_D",'3_보호자행동'!$AK$5:$AK$35,"&gt;=1")),2))</f>
        <v/>
      </c>
      <c r="L12" s="49">
        <f>IF((COUNTIFS('1_바디시그널'!$AD$5:$AD$36,"SOC_D",'1_바디시그널'!$AK$5:$AK$36,"&gt;=1")+COUNTIFS('2_개행동'!$AD$5:$AD$26,"SOC_D",'2_개행동'!$AK$5:$AK$26,"&gt;=1")+COUNTIFS('3_보호자행동'!$AD$5:$AD$35,"SOC_D",'3_보호자행동'!$AK$5:$AK$35,"&gt;=1"))=0,"",IF((SUMIFS('1_바디시그널'!$AK$5:$AK$36,'1_바디시그널'!$AD$5:$AD$36,"SOC_D",'1_바디시그널'!$BE$5:$BE$36,"A")+SUMIFS('2_개행동'!$AK$5:$AK$26,'2_개행동'!$AD$5:$AD$26,"SOC_D",'2_개행동'!$BE$5:$BE$26,"A")+SUMIFS('3_보호자행동'!$AK$5:$AK$35,'3_보호자행동'!$AD$5:$AD$35,"SOC_D",'3_보호자행동'!$BE$5:$BE$35,"A"))&gt;(SUMIFS('1_바디시그널'!$AK$5:$AK$36,'1_바디시그널'!$AD$5:$AD$36,"SOC_D",'1_바디시그널'!$BE$5:$BE$36,"B")+SUMIFS('2_개행동'!$AK$5:$AK$26,'2_개행동'!$AD$5:$AD$26,"SOC_D",'2_개행동'!$BE$5:$BE$26,"B")+SUMIFS('3_보호자행동'!$AK$5:$AK$35,'3_보호자행동'!$AD$5:$AD$35,"SOC_D",'3_보호자행동'!$BE$5:$BE$35,"B")),"A",IF((SUMIFS('1_바디시그널'!$AK$5:$AK$36,'1_바디시그널'!$AD$5:$AD$36,"SOC_D",'1_바디시그널'!$BE$5:$BE$36,"B")+SUMIFS('2_개행동'!$AK$5:$AK$26,'2_개행동'!$AD$5:$AD$26,"SOC_D",'2_개행동'!$BE$5:$BE$26,"B")+SUMIFS('3_보호자행동'!$AK$5:$AK$35,'3_보호자행동'!$AD$5:$AD$35,"SOC_D",'3_보호자행동'!$BE$5:$BE$35,"B"))&gt;(SUMIFS('1_바디시그널'!$AK$5:$AK$36,'1_바디시그널'!$AD$5:$AD$36,"SOC_D",'1_바디시그널'!$BE$5:$BE$36,"A")+SUMIFS('2_개행동'!$AK$5:$AK$26,'2_개행동'!$AD$5:$AD$26,"SOC_D",'2_개행동'!$BE$5:$BE$26,"A")+SUMIFS('3_보호자행동'!$AK$5:$AK$35,'3_보호자행동'!$AD$5:$AD$35,"SOC_D",'3_보호자행동'!$BE$5:$BE$35,"A")),"B","-")))</f>
        <v/>
      </c>
      <c r="M12" s="49">
        <f>IF((COUNTIFS('1_바디시그널'!$AD$5:$AD$36,"SOC_E",'1_바디시그널'!$AK$5:$AK$36,"&gt;=1")+COUNTIFS('2_개행동'!$AD$5:$AD$26,"SOC_E",'2_개행동'!$AK$5:$AK$26,"&gt;=1")+COUNTIFS('3_보호자행동'!$AD$5:$AD$35,"SOC_E",'3_보호자행동'!$AK$5:$AK$35,"&gt;=1"))=0,"",MAX(_xlfn.MAXIFS('1_바디시그널'!$AK$5:$AK$36,'1_바디시그널'!$AD$5:$AD$36,"SOC_E"),_xlfn.MAXIFS('2_개행동'!$AK$5:$AK$26,'2_개행동'!$AD$5:$AD$26,"SOC_E"),_xlfn.MAXIFS('3_보호자행동'!$AK$5:$AK$35,'3_보호자행동'!$AD$5:$AD$35,"SOC_E")))</f>
        <v/>
      </c>
      <c r="N12" s="49">
        <f>IF((COUNTIFS('1_바디시그널'!$AD$5:$AD$36,"SOC_E",'1_바디시그널'!$AK$5:$AK$36,"&gt;=1")+COUNTIFS('2_개행동'!$AD$5:$AD$26,"SOC_E",'2_개행동'!$AK$5:$AK$26,"&gt;=1")+COUNTIFS('3_보호자행동'!$AD$5:$AD$35,"SOC_E",'3_보호자행동'!$AK$5:$AK$35,"&gt;=1"))=0,"",ROUND((SUMIFS('1_바디시그널'!$AK$5:$AK$36,'1_바디시그널'!$AD$5:$AD$36,"SOC_E",'1_바디시그널'!$AK$5:$AK$36,"&gt;=1")+SUMIFS('2_개행동'!$AK$5:$AK$26,'2_개행동'!$AD$5:$AD$26,"SOC_E",'2_개행동'!$AK$5:$AK$26,"&gt;=1")+SUMIFS('3_보호자행동'!$AK$5:$AK$35,'3_보호자행동'!$AD$5:$AD$35,"SOC_E",'3_보호자행동'!$AK$5:$AK$35,"&gt;=1"))/(COUNTIFS('1_바디시그널'!$AD$5:$AD$36,"SOC_E",'1_바디시그널'!$AK$5:$AK$36,"&gt;=1")+COUNTIFS('2_개행동'!$AD$5:$AD$26,"SOC_E",'2_개행동'!$AK$5:$AK$26,"&gt;=1")+COUNTIFS('3_보호자행동'!$AD$5:$AD$35,"SOC_E",'3_보호자행동'!$AK$5:$AK$35,"&gt;=1")),2))</f>
        <v/>
      </c>
      <c r="O12" s="49">
        <f>IF((COUNTIFS('1_바디시그널'!$AD$5:$AD$36,"SOC_E",'1_바디시그널'!$AK$5:$AK$36,"&gt;=1")+COUNTIFS('2_개행동'!$AD$5:$AD$26,"SOC_E",'2_개행동'!$AK$5:$AK$26,"&gt;=1")+COUNTIFS('3_보호자행동'!$AD$5:$AD$35,"SOC_E",'3_보호자행동'!$AK$5:$AK$35,"&gt;=1"))=0,"",IF((SUMIFS('1_바디시그널'!$AK$5:$AK$36,'1_바디시그널'!$AD$5:$AD$36,"SOC_E",'1_바디시그널'!$BE$5:$BE$36,"A")+SUMIFS('2_개행동'!$AK$5:$AK$26,'2_개행동'!$AD$5:$AD$26,"SOC_E",'2_개행동'!$BE$5:$BE$26,"A")+SUMIFS('3_보호자행동'!$AK$5:$AK$35,'3_보호자행동'!$AD$5:$AD$35,"SOC_E",'3_보호자행동'!$BE$5:$BE$35,"A"))&gt;(SUMIFS('1_바디시그널'!$AK$5:$AK$36,'1_바디시그널'!$AD$5:$AD$36,"SOC_E",'1_바디시그널'!$BE$5:$BE$36,"B")+SUMIFS('2_개행동'!$AK$5:$AK$26,'2_개행동'!$AD$5:$AD$26,"SOC_E",'2_개행동'!$BE$5:$BE$26,"B")+SUMIFS('3_보호자행동'!$AK$5:$AK$35,'3_보호자행동'!$AD$5:$AD$35,"SOC_E",'3_보호자행동'!$BE$5:$BE$35,"B")),"A",IF((SUMIFS('1_바디시그널'!$AK$5:$AK$36,'1_바디시그널'!$AD$5:$AD$36,"SOC_E",'1_바디시그널'!$BE$5:$BE$36,"B")+SUMIFS('2_개행동'!$AK$5:$AK$26,'2_개행동'!$AD$5:$AD$26,"SOC_E",'2_개행동'!$BE$5:$BE$26,"B")+SUMIFS('3_보호자행동'!$AK$5:$AK$35,'3_보호자행동'!$AD$5:$AD$35,"SOC_E",'3_보호자행동'!$BE$5:$BE$35,"B"))&gt;(SUMIFS('1_바디시그널'!$AK$5:$AK$36,'1_바디시그널'!$AD$5:$AD$36,"SOC_E",'1_바디시그널'!$BE$5:$BE$36,"A")+SUMIFS('2_개행동'!$AK$5:$AK$26,'2_개행동'!$AD$5:$AD$26,"SOC_E",'2_개행동'!$BE$5:$BE$26,"A")+SUMIFS('3_보호자행동'!$AK$5:$AK$35,'3_보호자행동'!$AD$5:$AD$35,"SOC_E",'3_보호자행동'!$BE$5:$BE$35,"A")),"B","-")))</f>
        <v/>
      </c>
      <c r="P12" s="49">
        <f>IF((COUNTIFS('1_바디시그널'!$AD$5:$AD$36,"ATT",'1_바디시그널'!$AK$5:$AK$36,"&gt;=1")+COUNTIFS('2_개행동'!$AD$5:$AD$26,"ATT",'2_개행동'!$AK$5:$AK$26,"&gt;=1")+COUNTIFS('3_보호자행동'!$AD$5:$AD$35,"ATT",'3_보호자행동'!$AK$5:$AK$35,"&gt;=1"))=0,"",MAX(_xlfn.MAXIFS('1_바디시그널'!$AK$5:$AK$36,'1_바디시그널'!$AD$5:$AD$36,"ATT"),_xlfn.MAXIFS('2_개행동'!$AK$5:$AK$26,'2_개행동'!$AD$5:$AD$26,"ATT"),_xlfn.MAXIFS('3_보호자행동'!$AK$5:$AK$35,'3_보호자행동'!$AD$5:$AD$35,"ATT")))</f>
        <v/>
      </c>
      <c r="Q12" s="49">
        <f>IF((COUNTIFS('1_바디시그널'!$AD$5:$AD$36,"ATT",'1_바디시그널'!$AK$5:$AK$36,"&gt;=1")+COUNTIFS('2_개행동'!$AD$5:$AD$26,"ATT",'2_개행동'!$AK$5:$AK$26,"&gt;=1")+COUNTIFS('3_보호자행동'!$AD$5:$AD$35,"ATT",'3_보호자행동'!$AK$5:$AK$35,"&gt;=1"))=0,"",ROUND((SUMIFS('1_바디시그널'!$AK$5:$AK$36,'1_바디시그널'!$AD$5:$AD$36,"ATT",'1_바디시그널'!$AK$5:$AK$36,"&gt;=1")+SUMIFS('2_개행동'!$AK$5:$AK$26,'2_개행동'!$AD$5:$AD$26,"ATT",'2_개행동'!$AK$5:$AK$26,"&gt;=1")+SUMIFS('3_보호자행동'!$AK$5:$AK$35,'3_보호자행동'!$AD$5:$AD$35,"ATT",'3_보호자행동'!$AK$5:$AK$35,"&gt;=1"))/(COUNTIFS('1_바디시그널'!$AD$5:$AD$36,"ATT",'1_바디시그널'!$AK$5:$AK$36,"&gt;=1")+COUNTIFS('2_개행동'!$AD$5:$AD$26,"ATT",'2_개행동'!$AK$5:$AK$26,"&gt;=1")+COUNTIFS('3_보호자행동'!$AD$5:$AD$35,"ATT",'3_보호자행동'!$AK$5:$AK$35,"&gt;=1")),2))</f>
        <v/>
      </c>
      <c r="R12" s="49">
        <f>IF((COUNTIFS('1_바디시그널'!$AD$5:$AD$36,"ATT",'1_바디시그널'!$AK$5:$AK$36,"&gt;=1")+COUNTIFS('2_개행동'!$AD$5:$AD$26,"ATT",'2_개행동'!$AK$5:$AK$26,"&gt;=1")+COUNTIFS('3_보호자행동'!$AD$5:$AD$35,"ATT",'3_보호자행동'!$AK$5:$AK$35,"&gt;=1"))=0,"",IF((SUMIFS('1_바디시그널'!$AK$5:$AK$36,'1_바디시그널'!$AD$5:$AD$36,"ATT",'1_바디시그널'!$BE$5:$BE$36,"A")+SUMIFS('2_개행동'!$AK$5:$AK$26,'2_개행동'!$AD$5:$AD$26,"ATT",'2_개행동'!$BE$5:$BE$26,"A")+SUMIFS('3_보호자행동'!$AK$5:$AK$35,'3_보호자행동'!$AD$5:$AD$35,"ATT",'3_보호자행동'!$BE$5:$BE$35,"A"))&gt;(SUMIFS('1_바디시그널'!$AK$5:$AK$36,'1_바디시그널'!$AD$5:$AD$36,"ATT",'1_바디시그널'!$BE$5:$BE$36,"B")+SUMIFS('2_개행동'!$AK$5:$AK$26,'2_개행동'!$AD$5:$AD$26,"ATT",'2_개행동'!$BE$5:$BE$26,"B")+SUMIFS('3_보호자행동'!$AK$5:$AK$35,'3_보호자행동'!$AD$5:$AD$35,"ATT",'3_보호자행동'!$BE$5:$BE$35,"B")),"A",IF((SUMIFS('1_바디시그널'!$AK$5:$AK$36,'1_바디시그널'!$AD$5:$AD$36,"ATT",'1_바디시그널'!$BE$5:$BE$36,"B")+SUMIFS('2_개행동'!$AK$5:$AK$26,'2_개행동'!$AD$5:$AD$26,"ATT",'2_개행동'!$BE$5:$BE$26,"B")+SUMIFS('3_보호자행동'!$AK$5:$AK$35,'3_보호자행동'!$AD$5:$AD$35,"ATT",'3_보호자행동'!$BE$5:$BE$35,"B"))&gt;(SUMIFS('1_바디시그널'!$AK$5:$AK$36,'1_바디시그널'!$AD$5:$AD$36,"ATT",'1_바디시그널'!$BE$5:$BE$36,"A")+SUMIFS('2_개행동'!$AK$5:$AK$26,'2_개행동'!$AD$5:$AD$26,"ATT",'2_개행동'!$BE$5:$BE$26,"A")+SUMIFS('3_보호자행동'!$AK$5:$AK$35,'3_보호자행동'!$AD$5:$AD$35,"ATT",'3_보호자행동'!$BE$5:$BE$35,"A")),"B","-")))</f>
        <v/>
      </c>
      <c r="S12" s="49">
        <f>IF((COUNTIFS('1_바디시그널'!$AD$5:$AD$36,"CON",'1_바디시그널'!$AK$5:$AK$36,"&gt;=1")+COUNTIFS('2_개행동'!$AD$5:$AD$26,"CON",'2_개행동'!$AK$5:$AK$26,"&gt;=1")+COUNTIFS('3_보호자행동'!$AD$5:$AD$35,"CON",'3_보호자행동'!$AK$5:$AK$35,"&gt;=1"))=0,"",MAX(_xlfn.MAXIFS('1_바디시그널'!$AK$5:$AK$36,'1_바디시그널'!$AD$5:$AD$36,"CON"),_xlfn.MAXIFS('2_개행동'!$AK$5:$AK$26,'2_개행동'!$AD$5:$AD$26,"CON"),_xlfn.MAXIFS('3_보호자행동'!$AK$5:$AK$35,'3_보호자행동'!$AD$5:$AD$35,"CON")))</f>
        <v/>
      </c>
      <c r="T12" s="49">
        <f>IF((COUNTIFS('1_바디시그널'!$AD$5:$AD$36,"CON",'1_바디시그널'!$AK$5:$AK$36,"&gt;=1")+COUNTIFS('2_개행동'!$AD$5:$AD$26,"CON",'2_개행동'!$AK$5:$AK$26,"&gt;=1")+COUNTIFS('3_보호자행동'!$AD$5:$AD$35,"CON",'3_보호자행동'!$AK$5:$AK$35,"&gt;=1"))=0,"",ROUND((SUMIFS('1_바디시그널'!$AK$5:$AK$36,'1_바디시그널'!$AD$5:$AD$36,"CON",'1_바디시그널'!$AK$5:$AK$36,"&gt;=1")+SUMIFS('2_개행동'!$AK$5:$AK$26,'2_개행동'!$AD$5:$AD$26,"CON",'2_개행동'!$AK$5:$AK$26,"&gt;=1")+SUMIFS('3_보호자행동'!$AK$5:$AK$35,'3_보호자행동'!$AD$5:$AD$35,"CON",'3_보호자행동'!$AK$5:$AK$35,"&gt;=1"))/(COUNTIFS('1_바디시그널'!$AD$5:$AD$36,"CON",'1_바디시그널'!$AK$5:$AK$36,"&gt;=1")+COUNTIFS('2_개행동'!$AD$5:$AD$26,"CON",'2_개행동'!$AK$5:$AK$26,"&gt;=1")+COUNTIFS('3_보호자행동'!$AD$5:$AD$35,"CON",'3_보호자행동'!$AK$5:$AK$35,"&gt;=1")),2))</f>
        <v/>
      </c>
      <c r="U12" s="49">
        <f>IF((COUNTIFS('1_바디시그널'!$AD$5:$AD$36,"CON",'1_바디시그널'!$AK$5:$AK$36,"&gt;=1")+COUNTIFS('2_개행동'!$AD$5:$AD$26,"CON",'2_개행동'!$AK$5:$AK$26,"&gt;=1")+COUNTIFS('3_보호자행동'!$AD$5:$AD$35,"CON",'3_보호자행동'!$AK$5:$AK$35,"&gt;=1"))=0,"",IF((SUMIFS('1_바디시그널'!$AK$5:$AK$36,'1_바디시그널'!$AD$5:$AD$36,"CON",'1_바디시그널'!$BE$5:$BE$36,"A")+SUMIFS('2_개행동'!$AK$5:$AK$26,'2_개행동'!$AD$5:$AD$26,"CON",'2_개행동'!$BE$5:$BE$26,"A")+SUMIFS('3_보호자행동'!$AK$5:$AK$35,'3_보호자행동'!$AD$5:$AD$35,"CON",'3_보호자행동'!$BE$5:$BE$35,"A"))&gt;(SUMIFS('1_바디시그널'!$AK$5:$AK$36,'1_바디시그널'!$AD$5:$AD$36,"CON",'1_바디시그널'!$BE$5:$BE$36,"B")+SUMIFS('2_개행동'!$AK$5:$AK$26,'2_개행동'!$AD$5:$AD$26,"CON",'2_개행동'!$BE$5:$BE$26,"B")+SUMIFS('3_보호자행동'!$AK$5:$AK$35,'3_보호자행동'!$AD$5:$AD$35,"CON",'3_보호자행동'!$BE$5:$BE$35,"B")),"A",IF((SUMIFS('1_바디시그널'!$AK$5:$AK$36,'1_바디시그널'!$AD$5:$AD$36,"CON",'1_바디시그널'!$BE$5:$BE$36,"B")+SUMIFS('2_개행동'!$AK$5:$AK$26,'2_개행동'!$AD$5:$AD$26,"CON",'2_개행동'!$BE$5:$BE$26,"B")+SUMIFS('3_보호자행동'!$AK$5:$AK$35,'3_보호자행동'!$AD$5:$AD$35,"CON",'3_보호자행동'!$BE$5:$BE$35,"B"))&gt;(SUMIFS('1_바디시그널'!$AK$5:$AK$36,'1_바디시그널'!$AD$5:$AD$36,"CON",'1_바디시그널'!$BE$5:$BE$36,"A")+SUMIFS('2_개행동'!$AK$5:$AK$26,'2_개행동'!$AD$5:$AD$26,"CON",'2_개행동'!$BE$5:$BE$26,"A")+SUMIFS('3_보호자행동'!$AK$5:$AK$35,'3_보호자행동'!$AD$5:$AD$35,"CON",'3_보호자행동'!$BE$5:$BE$35,"A")),"B","-")))</f>
        <v/>
      </c>
      <c r="V12" s="48">
        <f>IF(COUNT(X12:AA12)=0,"",ROUND(MAX(X12:AA12)-MIN(X12:AA12),2))</f>
        <v/>
      </c>
      <c r="W12" s="47" t="n"/>
      <c r="X12" s="49">
        <f>IFERROR(SUMIFS('3_보호자행동'!$AK$5:$AK$35,'3_보호자행동'!$A$5:$A$35,"입장",'3_보호자행동'!$AK$5:$AK$35,"&gt;=1")/COUNTIFS('3_보호자행동'!$A$5:$A$35,"입장",'3_보호자행동'!$AK$5:$AK$35,"&gt;=1"),"")</f>
        <v/>
      </c>
      <c r="Y12" s="49">
        <f>IFERROR(SUMIFS('3_보호자행동'!$AK$5:$AK$35,'3_보호자행동'!$A$5:$A$35,"분리",'3_보호자행동'!$AK$5:$AK$35,"&gt;=1")/COUNTIFS('3_보호자행동'!$A$5:$A$35,"분리",'3_보호자행동'!$AK$5:$AK$35,"&gt;=1"),"")</f>
        <v/>
      </c>
      <c r="Z12" s="49">
        <f>IFERROR(SUMIFS('3_보호자행동'!$AK$5:$AK$35,'3_보호자행동'!$A$5:$A$35,"훈련",'3_보호자행동'!$AK$5:$AK$35,"&gt;=1")/COUNTIFS('3_보호자행동'!$A$5:$A$35,"훈련",'3_보호자행동'!$AK$5:$AK$35,"&gt;=1"),"")</f>
        <v/>
      </c>
      <c r="AA12" s="49">
        <f>IFERROR(SUMIFS('3_보호자행동'!$AK$5:$AK$35,'3_보호자행동'!$A$5:$A$35,"놀이",'3_보호자행동'!$AK$5:$AK$35,"&gt;=1")/COUNTIFS('3_보호자행동'!$A$5:$A$35,"놀이",'3_보호자행동'!$AK$5:$AK$35,"&gt;=1"),"")</f>
        <v/>
      </c>
      <c r="AB12">
        <f>IF((COUNTIFS('1_바디시그널'!$AD$5:$AD$36,"TRN",'1_바디시그널'!$AK$5:$AK$36,"&gt;=1")+COUNTIFS('2_개행동'!$AD$5:$AD$26,"TRN",'2_개행동'!$AK$5:$AK$26,"&gt;=1")+COUNTIFS('3_보호자행동'!$AD$5:$AD$35,"TRN",'3_보호자행동'!$AK$5:$AK$35,"&gt;=1"))=0,"",MAX(_xlfn.MAXIFS('1_바디시그널'!$AK$5:$AK$36,'1_바디시그널'!$AD$5:$AD$36,"TRN"),_xlfn.MAXIFS('2_개행동'!$AK$5:$AK$26,'2_개행동'!$AD$5:$AD$26,"TRN"),_xlfn.MAXIFS('3_보호자행동'!$AK$5:$AK$35,'3_보호자행동'!$AD$5:$AD$35,"TRN")))</f>
        <v/>
      </c>
      <c r="AC12">
        <f>IF((COUNTIFS('1_바디시그널'!$AD$5:$AD$36,"TRN",'1_바디시그널'!$AK$5:$AK$36,"&gt;=1")+COUNTIFS('2_개행동'!$AD$5:$AD$26,"TRN",'2_개행동'!$AK$5:$AK$26,"&gt;=1")+COUNTIFS('3_보호자행동'!$AD$5:$AD$35,"TRN",'3_보호자행동'!$AK$5:$AK$35,"&gt;=1"))=0,"",ROUND((SUMIFS('1_바디시그널'!$AK$5:$AK$36,'1_바디시그널'!$AD$5:$AD$36,"TRN",'1_바디시그널'!$AK$5:$AK$36,"&gt;=1")+SUMIFS('2_개행동'!$AK$5:$AK$26,'2_개행동'!$AD$5:$AD$26,"TRN",'2_개행동'!$AK$5:$AK$26,"&gt;=1")+SUMIFS('3_보호자행동'!$AK$5:$AK$35,'3_보호자행동'!$AD$5:$AD$35,"TRN",'3_보호자행동'!$AK$5:$AK$35,"&gt;=1"))/(COUNTIFS('1_바디시그널'!$AD$5:$AD$36,"TRN",'1_바디시그널'!$AK$5:$AK$36,"&gt;=1")+COUNTIFS('2_개행동'!$AD$5:$AD$26,"TRN",'2_개행동'!$AK$5:$AK$26,"&gt;=1")+COUNTIFS('3_보호자행동'!$AD$5:$AD$35,"TRN",'3_보호자행동'!$AK$5:$AK$35,"&gt;=1")),2))</f>
        <v/>
      </c>
      <c r="AD12">
        <f>IF((COUNTIFS('1_바디시그널'!$AD$5:$AD$36,"TRN",'1_바디시그널'!$AK$5:$AK$36,"&gt;=1")+COUNTIFS('2_개행동'!$AD$5:$AD$26,"TRN",'2_개행동'!$AK$5:$AK$26,"&gt;=1")+COUNTIFS('3_보호자행동'!$AD$5:$AD$35,"TRN",'3_보호자행동'!$AK$5:$AK$35,"&gt;=1"))=0,"",IF((SUMIFS('1_바디시그널'!$AK$5:$AK$36,'1_바디시그널'!$AD$5:$AD$36,"TRN",'1_바디시그널'!$BE$5:$BE$36,"A")+SUMIFS('2_개행동'!$AK$5:$AK$26,'2_개행동'!$AD$5:$AD$26,"TRN",'2_개행동'!$BE$5:$BE$26,"A")+SUMIFS('3_보호자행동'!$AK$5:$AK$35,'3_보호자행동'!$AD$5:$AD$35,"TRN",'3_보호자행동'!$BE$5:$BE$35,"A"))&gt;(SUMIFS('1_바디시그널'!$AK$5:$AK$36,'1_바디시그널'!$AD$5:$AD$36,"TRN",'1_바디시그널'!$BE$5:$BE$36,"B")+SUMIFS('2_개행동'!$AK$5:$AK$26,'2_개행동'!$AD$5:$AD$26,"TRN",'2_개행동'!$BE$5:$BE$26,"B")+SUMIFS('3_보호자행동'!$AK$5:$AK$35,'3_보호자행동'!$AD$5:$AD$35,"TRN",'3_보호자행동'!$BE$5:$BE$35,"B")),"A",IF((SUMIFS('1_바디시그널'!$AK$5:$AK$36,'1_바디시그널'!$AD$5:$AD$36,"TRN",'1_바디시그널'!$BE$5:$BE$36,"B")+SUMIFS('2_개행동'!$AK$5:$AK$26,'2_개행동'!$AD$5:$AD$26,"TRN",'2_개행동'!$BE$5:$BE$26,"B")+SUMIFS('3_보호자행동'!$AK$5:$AK$35,'3_보호자행동'!$AD$5:$AD$35,"TRN",'3_보호자행동'!$BE$5:$BE$35,"B"))&gt;(SUMIFS('1_바디시그널'!$AK$5:$AK$36,'1_바디시그널'!$AD$5:$AD$36,"TRN",'1_바디시그널'!$BE$5:$BE$36,"A")+SUMIFS('2_개행동'!$AK$5:$AK$26,'2_개행동'!$AD$5:$AD$26,"TRN",'2_개행동'!$BE$5:$BE$26,"A")+SUMIFS('3_보호자행동'!$AK$5:$AK$35,'3_보호자행동'!$AD$5:$AD$35,"TRN",'3_보호자행동'!$BE$5:$BE$35,"A")),"B","-")))</f>
        <v/>
      </c>
      <c r="AE12">
        <f>IF('2_개행동'!$P$11="","",'2_개행동'!$P$11&amp;IF('2_개행동'!$P$11=3," [B]",IF('2_개행동'!$P$11=1,""," [A]")))</f>
        <v/>
      </c>
    </row>
    <row r="13" ht="18.75" customHeight="1" s="1">
      <c r="A13" s="46" t="n">
        <v>8</v>
      </c>
      <c r="B13" s="47" t="n"/>
      <c r="C13" s="47" t="n"/>
      <c r="D13" s="48">
        <f>IF((COUNTIFS('1_바디시그널'!$AD$5:$AD$36,"EDU",'1_바디시그널'!$AL$5:$AL$36,"&gt;=1")+COUNTIFS('2_개행동'!$AD$5:$AD$26,"EDU",'2_개행동'!$AL$5:$AL$26,"&gt;=1")+COUNTIFS('3_보호자행동'!$AD$5:$AD$35,"EDU",'3_보호자행동'!$AL$5:$AL$35,"&gt;=1"))=0,"",MAX(_xlfn.MAXIFS('1_바디시그널'!$AL$5:$AL$36,'1_바디시그널'!$AD$5:$AD$36,"EDU"),_xlfn.MAXIFS('2_개행동'!$AL$5:$AL$26,'2_개행동'!$AD$5:$AD$26,"EDU"),_xlfn.MAXIFS('3_보호자행동'!$AL$5:$AL$35,'3_보호자행동'!$AD$5:$AD$35,"EDU")))</f>
        <v/>
      </c>
      <c r="E13" s="49">
        <f>IF((COUNTIFS('1_바디시그널'!$AD$5:$AD$36,"EDU",'1_바디시그널'!$AL$5:$AL$36,"&gt;=1")+COUNTIFS('2_개행동'!$AD$5:$AD$26,"EDU",'2_개행동'!$AL$5:$AL$26,"&gt;=1")+COUNTIFS('3_보호자행동'!$AD$5:$AD$35,"EDU",'3_보호자행동'!$AL$5:$AL$35,"&gt;=1"))=0,"",ROUND((SUMIFS('1_바디시그널'!$AL$5:$AL$36,'1_바디시그널'!$AD$5:$AD$36,"EDU",'1_바디시그널'!$AL$5:$AL$36,"&gt;=1")+SUMIFS('2_개행동'!$AL$5:$AL$26,'2_개행동'!$AD$5:$AD$26,"EDU",'2_개행동'!$AL$5:$AL$26,"&gt;=1")+SUMIFS('3_보호자행동'!$AL$5:$AL$35,'3_보호자행동'!$AD$5:$AD$35,"EDU",'3_보호자행동'!$AL$5:$AL$35,"&gt;=1"))/(COUNTIFS('1_바디시그널'!$AD$5:$AD$36,"EDU",'1_바디시그널'!$AL$5:$AL$36,"&gt;=1")+COUNTIFS('2_개행동'!$AD$5:$AD$26,"EDU",'2_개행동'!$AL$5:$AL$26,"&gt;=1")+COUNTIFS('3_보호자행동'!$AD$5:$AD$35,"EDU",'3_보호자행동'!$AL$5:$AL$35,"&gt;=1")),2))</f>
        <v/>
      </c>
      <c r="F13" s="49">
        <f>IF((COUNTIFS('1_바디시그널'!$AD$5:$AD$36,"EDU",'1_바디시그널'!$AL$5:$AL$36,"&gt;=1")+COUNTIFS('2_개행동'!$AD$5:$AD$26,"EDU",'2_개행동'!$AL$5:$AL$26,"&gt;=1")+COUNTIFS('3_보호자행동'!$AD$5:$AD$35,"EDU",'3_보호자행동'!$AL$5:$AL$35,"&gt;=1"))=0,"",IF((SUMIFS('1_바디시그널'!$AL$5:$AL$36,'1_바디시그널'!$AD$5:$AD$36,"EDU",'1_바디시그널'!$BF$5:$BF$36,"A")+SUMIFS('2_개행동'!$AL$5:$AL$26,'2_개행동'!$AD$5:$AD$26,"EDU",'2_개행동'!$BF$5:$BF$26,"A")+SUMIFS('3_보호자행동'!$AL$5:$AL$35,'3_보호자행동'!$AD$5:$AD$35,"EDU",'3_보호자행동'!$BF$5:$BF$35,"A"))&gt;(SUMIFS('1_바디시그널'!$AL$5:$AL$36,'1_바디시그널'!$AD$5:$AD$36,"EDU",'1_바디시그널'!$BF$5:$BF$36,"B")+SUMIFS('2_개행동'!$AL$5:$AL$26,'2_개행동'!$AD$5:$AD$26,"EDU",'2_개행동'!$BF$5:$BF$26,"B")+SUMIFS('3_보호자행동'!$AL$5:$AL$35,'3_보호자행동'!$AD$5:$AD$35,"EDU",'3_보호자행동'!$BF$5:$BF$35,"B")),"A",IF((SUMIFS('1_바디시그널'!$AL$5:$AL$36,'1_바디시그널'!$AD$5:$AD$36,"EDU",'1_바디시그널'!$BF$5:$BF$36,"B")+SUMIFS('2_개행동'!$AL$5:$AL$26,'2_개행동'!$AD$5:$AD$26,"EDU",'2_개행동'!$BF$5:$BF$26,"B")+SUMIFS('3_보호자행동'!$AL$5:$AL$35,'3_보호자행동'!$AD$5:$AD$35,"EDU",'3_보호자행동'!$BF$5:$BF$35,"B"))&gt;(SUMIFS('1_바디시그널'!$AL$5:$AL$36,'1_바디시그널'!$AD$5:$AD$36,"EDU",'1_바디시그널'!$BF$5:$BF$36,"A")+SUMIFS('2_개행동'!$AL$5:$AL$26,'2_개행동'!$AD$5:$AD$26,"EDU",'2_개행동'!$BF$5:$BF$26,"A")+SUMIFS('3_보호자행동'!$AL$5:$AL$35,'3_보호자행동'!$AD$5:$AD$35,"EDU",'3_보호자행동'!$BF$5:$BF$35,"A")),"B","-")))</f>
        <v/>
      </c>
      <c r="G13" s="49">
        <f>IF((COUNTIFS('1_바디시그널'!$AD$5:$AD$36,"SOC_P",'1_바디시그널'!$AL$5:$AL$36,"&gt;=1")+COUNTIFS('2_개행동'!$AD$5:$AD$26,"SOC_P",'2_개행동'!$AL$5:$AL$26,"&gt;=1")+COUNTIFS('3_보호자행동'!$AD$5:$AD$35,"SOC_P",'3_보호자행동'!$AL$5:$AL$35,"&gt;=1"))=0,"",MAX(_xlfn.MAXIFS('1_바디시그널'!$AL$5:$AL$36,'1_바디시그널'!$AD$5:$AD$36,"SOC_P"),_xlfn.MAXIFS('2_개행동'!$AL$5:$AL$26,'2_개행동'!$AD$5:$AD$26,"SOC_P"),_xlfn.MAXIFS('3_보호자행동'!$AL$5:$AL$35,'3_보호자행동'!$AD$5:$AD$35,"SOC_P")))</f>
        <v/>
      </c>
      <c r="H13" s="49">
        <f>IF((COUNTIFS('1_바디시그널'!$AD$5:$AD$36,"SOC_P",'1_바디시그널'!$AL$5:$AL$36,"&gt;=1")+COUNTIFS('2_개행동'!$AD$5:$AD$26,"SOC_P",'2_개행동'!$AL$5:$AL$26,"&gt;=1")+COUNTIFS('3_보호자행동'!$AD$5:$AD$35,"SOC_P",'3_보호자행동'!$AL$5:$AL$35,"&gt;=1"))=0,"",ROUND((SUMIFS('1_바디시그널'!$AL$5:$AL$36,'1_바디시그널'!$AD$5:$AD$36,"SOC_P",'1_바디시그널'!$AL$5:$AL$36,"&gt;=1")+SUMIFS('2_개행동'!$AL$5:$AL$26,'2_개행동'!$AD$5:$AD$26,"SOC_P",'2_개행동'!$AL$5:$AL$26,"&gt;=1")+SUMIFS('3_보호자행동'!$AL$5:$AL$35,'3_보호자행동'!$AD$5:$AD$35,"SOC_P",'3_보호자행동'!$AL$5:$AL$35,"&gt;=1"))/(COUNTIFS('1_바디시그널'!$AD$5:$AD$36,"SOC_P",'1_바디시그널'!$AL$5:$AL$36,"&gt;=1")+COUNTIFS('2_개행동'!$AD$5:$AD$26,"SOC_P",'2_개행동'!$AL$5:$AL$26,"&gt;=1")+COUNTIFS('3_보호자행동'!$AD$5:$AD$35,"SOC_P",'3_보호자행동'!$AL$5:$AL$35,"&gt;=1")),2))</f>
        <v/>
      </c>
      <c r="I13" s="49">
        <f>IF((COUNTIFS('1_바디시그널'!$AD$5:$AD$36,"SOC_P",'1_바디시그널'!$AL$5:$AL$36,"&gt;=1")+COUNTIFS('2_개행동'!$AD$5:$AD$26,"SOC_P",'2_개행동'!$AL$5:$AL$26,"&gt;=1")+COUNTIFS('3_보호자행동'!$AD$5:$AD$35,"SOC_P",'3_보호자행동'!$AL$5:$AL$35,"&gt;=1"))=0,"",IF((SUMIFS('1_바디시그널'!$AL$5:$AL$36,'1_바디시그널'!$AD$5:$AD$36,"SOC_P",'1_바디시그널'!$BF$5:$BF$36,"A")+SUMIFS('2_개행동'!$AL$5:$AL$26,'2_개행동'!$AD$5:$AD$26,"SOC_P",'2_개행동'!$BF$5:$BF$26,"A")+SUMIFS('3_보호자행동'!$AL$5:$AL$35,'3_보호자행동'!$AD$5:$AD$35,"SOC_P",'3_보호자행동'!$BF$5:$BF$35,"A"))&gt;(SUMIFS('1_바디시그널'!$AL$5:$AL$36,'1_바디시그널'!$AD$5:$AD$36,"SOC_P",'1_바디시그널'!$BF$5:$BF$36,"B")+SUMIFS('2_개행동'!$AL$5:$AL$26,'2_개행동'!$AD$5:$AD$26,"SOC_P",'2_개행동'!$BF$5:$BF$26,"B")+SUMIFS('3_보호자행동'!$AL$5:$AL$35,'3_보호자행동'!$AD$5:$AD$35,"SOC_P",'3_보호자행동'!$BF$5:$BF$35,"B")),"A",IF((SUMIFS('1_바디시그널'!$AL$5:$AL$36,'1_바디시그널'!$AD$5:$AD$36,"SOC_P",'1_바디시그널'!$BF$5:$BF$36,"B")+SUMIFS('2_개행동'!$AL$5:$AL$26,'2_개행동'!$AD$5:$AD$26,"SOC_P",'2_개행동'!$BF$5:$BF$26,"B")+SUMIFS('3_보호자행동'!$AL$5:$AL$35,'3_보호자행동'!$AD$5:$AD$35,"SOC_P",'3_보호자행동'!$BF$5:$BF$35,"B"))&gt;(SUMIFS('1_바디시그널'!$AL$5:$AL$36,'1_바디시그널'!$AD$5:$AD$36,"SOC_P",'1_바디시그널'!$BF$5:$BF$36,"A")+SUMIFS('2_개행동'!$AL$5:$AL$26,'2_개행동'!$AD$5:$AD$26,"SOC_P",'2_개행동'!$BF$5:$BF$26,"A")+SUMIFS('3_보호자행동'!$AL$5:$AL$35,'3_보호자행동'!$AD$5:$AD$35,"SOC_P",'3_보호자행동'!$BF$5:$BF$35,"A")),"B","-")))</f>
        <v/>
      </c>
      <c r="J13" s="49">
        <f>IF((COUNTIFS('1_바디시그널'!$AD$5:$AD$36,"SOC_D",'1_바디시그널'!$AL$5:$AL$36,"&gt;=1")+COUNTIFS('2_개행동'!$AD$5:$AD$26,"SOC_D",'2_개행동'!$AL$5:$AL$26,"&gt;=1")+COUNTIFS('3_보호자행동'!$AD$5:$AD$35,"SOC_D",'3_보호자행동'!$AL$5:$AL$35,"&gt;=1"))=0,"",MAX(_xlfn.MAXIFS('1_바디시그널'!$AL$5:$AL$36,'1_바디시그널'!$AD$5:$AD$36,"SOC_D"),_xlfn.MAXIFS('2_개행동'!$AL$5:$AL$26,'2_개행동'!$AD$5:$AD$26,"SOC_D"),_xlfn.MAXIFS('3_보호자행동'!$AL$5:$AL$35,'3_보호자행동'!$AD$5:$AD$35,"SOC_D")))</f>
        <v/>
      </c>
      <c r="K13" s="49">
        <f>IF((COUNTIFS('1_바디시그널'!$AD$5:$AD$36,"SOC_D",'1_바디시그널'!$AL$5:$AL$36,"&gt;=1")+COUNTIFS('2_개행동'!$AD$5:$AD$26,"SOC_D",'2_개행동'!$AL$5:$AL$26,"&gt;=1")+COUNTIFS('3_보호자행동'!$AD$5:$AD$35,"SOC_D",'3_보호자행동'!$AL$5:$AL$35,"&gt;=1"))=0,"",ROUND((SUMIFS('1_바디시그널'!$AL$5:$AL$36,'1_바디시그널'!$AD$5:$AD$36,"SOC_D",'1_바디시그널'!$AL$5:$AL$36,"&gt;=1")+SUMIFS('2_개행동'!$AL$5:$AL$26,'2_개행동'!$AD$5:$AD$26,"SOC_D",'2_개행동'!$AL$5:$AL$26,"&gt;=1")+SUMIFS('3_보호자행동'!$AL$5:$AL$35,'3_보호자행동'!$AD$5:$AD$35,"SOC_D",'3_보호자행동'!$AL$5:$AL$35,"&gt;=1"))/(COUNTIFS('1_바디시그널'!$AD$5:$AD$36,"SOC_D",'1_바디시그널'!$AL$5:$AL$36,"&gt;=1")+COUNTIFS('2_개행동'!$AD$5:$AD$26,"SOC_D",'2_개행동'!$AL$5:$AL$26,"&gt;=1")+COUNTIFS('3_보호자행동'!$AD$5:$AD$35,"SOC_D",'3_보호자행동'!$AL$5:$AL$35,"&gt;=1")),2))</f>
        <v/>
      </c>
      <c r="L13" s="49">
        <f>IF((COUNTIFS('1_바디시그널'!$AD$5:$AD$36,"SOC_D",'1_바디시그널'!$AL$5:$AL$36,"&gt;=1")+COUNTIFS('2_개행동'!$AD$5:$AD$26,"SOC_D",'2_개행동'!$AL$5:$AL$26,"&gt;=1")+COUNTIFS('3_보호자행동'!$AD$5:$AD$35,"SOC_D",'3_보호자행동'!$AL$5:$AL$35,"&gt;=1"))=0,"",IF((SUMIFS('1_바디시그널'!$AL$5:$AL$36,'1_바디시그널'!$AD$5:$AD$36,"SOC_D",'1_바디시그널'!$BF$5:$BF$36,"A")+SUMIFS('2_개행동'!$AL$5:$AL$26,'2_개행동'!$AD$5:$AD$26,"SOC_D",'2_개행동'!$BF$5:$BF$26,"A")+SUMIFS('3_보호자행동'!$AL$5:$AL$35,'3_보호자행동'!$AD$5:$AD$35,"SOC_D",'3_보호자행동'!$BF$5:$BF$35,"A"))&gt;(SUMIFS('1_바디시그널'!$AL$5:$AL$36,'1_바디시그널'!$AD$5:$AD$36,"SOC_D",'1_바디시그널'!$BF$5:$BF$36,"B")+SUMIFS('2_개행동'!$AL$5:$AL$26,'2_개행동'!$AD$5:$AD$26,"SOC_D",'2_개행동'!$BF$5:$BF$26,"B")+SUMIFS('3_보호자행동'!$AL$5:$AL$35,'3_보호자행동'!$AD$5:$AD$35,"SOC_D",'3_보호자행동'!$BF$5:$BF$35,"B")),"A",IF((SUMIFS('1_바디시그널'!$AL$5:$AL$36,'1_바디시그널'!$AD$5:$AD$36,"SOC_D",'1_바디시그널'!$BF$5:$BF$36,"B")+SUMIFS('2_개행동'!$AL$5:$AL$26,'2_개행동'!$AD$5:$AD$26,"SOC_D",'2_개행동'!$BF$5:$BF$26,"B")+SUMIFS('3_보호자행동'!$AL$5:$AL$35,'3_보호자행동'!$AD$5:$AD$35,"SOC_D",'3_보호자행동'!$BF$5:$BF$35,"B"))&gt;(SUMIFS('1_바디시그널'!$AL$5:$AL$36,'1_바디시그널'!$AD$5:$AD$36,"SOC_D",'1_바디시그널'!$BF$5:$BF$36,"A")+SUMIFS('2_개행동'!$AL$5:$AL$26,'2_개행동'!$AD$5:$AD$26,"SOC_D",'2_개행동'!$BF$5:$BF$26,"A")+SUMIFS('3_보호자행동'!$AL$5:$AL$35,'3_보호자행동'!$AD$5:$AD$35,"SOC_D",'3_보호자행동'!$BF$5:$BF$35,"A")),"B","-")))</f>
        <v/>
      </c>
      <c r="M13" s="49">
        <f>IF((COUNTIFS('1_바디시그널'!$AD$5:$AD$36,"SOC_E",'1_바디시그널'!$AL$5:$AL$36,"&gt;=1")+COUNTIFS('2_개행동'!$AD$5:$AD$26,"SOC_E",'2_개행동'!$AL$5:$AL$26,"&gt;=1")+COUNTIFS('3_보호자행동'!$AD$5:$AD$35,"SOC_E",'3_보호자행동'!$AL$5:$AL$35,"&gt;=1"))=0,"",MAX(_xlfn.MAXIFS('1_바디시그널'!$AL$5:$AL$36,'1_바디시그널'!$AD$5:$AD$36,"SOC_E"),_xlfn.MAXIFS('2_개행동'!$AL$5:$AL$26,'2_개행동'!$AD$5:$AD$26,"SOC_E"),_xlfn.MAXIFS('3_보호자행동'!$AL$5:$AL$35,'3_보호자행동'!$AD$5:$AD$35,"SOC_E")))</f>
        <v/>
      </c>
      <c r="N13" s="49">
        <f>IF((COUNTIFS('1_바디시그널'!$AD$5:$AD$36,"SOC_E",'1_바디시그널'!$AL$5:$AL$36,"&gt;=1")+COUNTIFS('2_개행동'!$AD$5:$AD$26,"SOC_E",'2_개행동'!$AL$5:$AL$26,"&gt;=1")+COUNTIFS('3_보호자행동'!$AD$5:$AD$35,"SOC_E",'3_보호자행동'!$AL$5:$AL$35,"&gt;=1"))=0,"",ROUND((SUMIFS('1_바디시그널'!$AL$5:$AL$36,'1_바디시그널'!$AD$5:$AD$36,"SOC_E",'1_바디시그널'!$AL$5:$AL$36,"&gt;=1")+SUMIFS('2_개행동'!$AL$5:$AL$26,'2_개행동'!$AD$5:$AD$26,"SOC_E",'2_개행동'!$AL$5:$AL$26,"&gt;=1")+SUMIFS('3_보호자행동'!$AL$5:$AL$35,'3_보호자행동'!$AD$5:$AD$35,"SOC_E",'3_보호자행동'!$AL$5:$AL$35,"&gt;=1"))/(COUNTIFS('1_바디시그널'!$AD$5:$AD$36,"SOC_E",'1_바디시그널'!$AL$5:$AL$36,"&gt;=1")+COUNTIFS('2_개행동'!$AD$5:$AD$26,"SOC_E",'2_개행동'!$AL$5:$AL$26,"&gt;=1")+COUNTIFS('3_보호자행동'!$AD$5:$AD$35,"SOC_E",'3_보호자행동'!$AL$5:$AL$35,"&gt;=1")),2))</f>
        <v/>
      </c>
      <c r="O13" s="49">
        <f>IF((COUNTIFS('1_바디시그널'!$AD$5:$AD$36,"SOC_E",'1_바디시그널'!$AL$5:$AL$36,"&gt;=1")+COUNTIFS('2_개행동'!$AD$5:$AD$26,"SOC_E",'2_개행동'!$AL$5:$AL$26,"&gt;=1")+COUNTIFS('3_보호자행동'!$AD$5:$AD$35,"SOC_E",'3_보호자행동'!$AL$5:$AL$35,"&gt;=1"))=0,"",IF((SUMIFS('1_바디시그널'!$AL$5:$AL$36,'1_바디시그널'!$AD$5:$AD$36,"SOC_E",'1_바디시그널'!$BF$5:$BF$36,"A")+SUMIFS('2_개행동'!$AL$5:$AL$26,'2_개행동'!$AD$5:$AD$26,"SOC_E",'2_개행동'!$BF$5:$BF$26,"A")+SUMIFS('3_보호자행동'!$AL$5:$AL$35,'3_보호자행동'!$AD$5:$AD$35,"SOC_E",'3_보호자행동'!$BF$5:$BF$35,"A"))&gt;(SUMIFS('1_바디시그널'!$AL$5:$AL$36,'1_바디시그널'!$AD$5:$AD$36,"SOC_E",'1_바디시그널'!$BF$5:$BF$36,"B")+SUMIFS('2_개행동'!$AL$5:$AL$26,'2_개행동'!$AD$5:$AD$26,"SOC_E",'2_개행동'!$BF$5:$BF$26,"B")+SUMIFS('3_보호자행동'!$AL$5:$AL$35,'3_보호자행동'!$AD$5:$AD$35,"SOC_E",'3_보호자행동'!$BF$5:$BF$35,"B")),"A",IF((SUMIFS('1_바디시그널'!$AL$5:$AL$36,'1_바디시그널'!$AD$5:$AD$36,"SOC_E",'1_바디시그널'!$BF$5:$BF$36,"B")+SUMIFS('2_개행동'!$AL$5:$AL$26,'2_개행동'!$AD$5:$AD$26,"SOC_E",'2_개행동'!$BF$5:$BF$26,"B")+SUMIFS('3_보호자행동'!$AL$5:$AL$35,'3_보호자행동'!$AD$5:$AD$35,"SOC_E",'3_보호자행동'!$BF$5:$BF$35,"B"))&gt;(SUMIFS('1_바디시그널'!$AL$5:$AL$36,'1_바디시그널'!$AD$5:$AD$36,"SOC_E",'1_바디시그널'!$BF$5:$BF$36,"A")+SUMIFS('2_개행동'!$AL$5:$AL$26,'2_개행동'!$AD$5:$AD$26,"SOC_E",'2_개행동'!$BF$5:$BF$26,"A")+SUMIFS('3_보호자행동'!$AL$5:$AL$35,'3_보호자행동'!$AD$5:$AD$35,"SOC_E",'3_보호자행동'!$BF$5:$BF$35,"A")),"B","-")))</f>
        <v/>
      </c>
      <c r="P13" s="49">
        <f>IF((COUNTIFS('1_바디시그널'!$AD$5:$AD$36,"ATT",'1_바디시그널'!$AL$5:$AL$36,"&gt;=1")+COUNTIFS('2_개행동'!$AD$5:$AD$26,"ATT",'2_개행동'!$AL$5:$AL$26,"&gt;=1")+COUNTIFS('3_보호자행동'!$AD$5:$AD$35,"ATT",'3_보호자행동'!$AL$5:$AL$35,"&gt;=1"))=0,"",MAX(_xlfn.MAXIFS('1_바디시그널'!$AL$5:$AL$36,'1_바디시그널'!$AD$5:$AD$36,"ATT"),_xlfn.MAXIFS('2_개행동'!$AL$5:$AL$26,'2_개행동'!$AD$5:$AD$26,"ATT"),_xlfn.MAXIFS('3_보호자행동'!$AL$5:$AL$35,'3_보호자행동'!$AD$5:$AD$35,"ATT")))</f>
        <v/>
      </c>
      <c r="Q13" s="49">
        <f>IF((COUNTIFS('1_바디시그널'!$AD$5:$AD$36,"ATT",'1_바디시그널'!$AL$5:$AL$36,"&gt;=1")+COUNTIFS('2_개행동'!$AD$5:$AD$26,"ATT",'2_개행동'!$AL$5:$AL$26,"&gt;=1")+COUNTIFS('3_보호자행동'!$AD$5:$AD$35,"ATT",'3_보호자행동'!$AL$5:$AL$35,"&gt;=1"))=0,"",ROUND((SUMIFS('1_바디시그널'!$AL$5:$AL$36,'1_바디시그널'!$AD$5:$AD$36,"ATT",'1_바디시그널'!$AL$5:$AL$36,"&gt;=1")+SUMIFS('2_개행동'!$AL$5:$AL$26,'2_개행동'!$AD$5:$AD$26,"ATT",'2_개행동'!$AL$5:$AL$26,"&gt;=1")+SUMIFS('3_보호자행동'!$AL$5:$AL$35,'3_보호자행동'!$AD$5:$AD$35,"ATT",'3_보호자행동'!$AL$5:$AL$35,"&gt;=1"))/(COUNTIFS('1_바디시그널'!$AD$5:$AD$36,"ATT",'1_바디시그널'!$AL$5:$AL$36,"&gt;=1")+COUNTIFS('2_개행동'!$AD$5:$AD$26,"ATT",'2_개행동'!$AL$5:$AL$26,"&gt;=1")+COUNTIFS('3_보호자행동'!$AD$5:$AD$35,"ATT",'3_보호자행동'!$AL$5:$AL$35,"&gt;=1")),2))</f>
        <v/>
      </c>
      <c r="R13" s="49">
        <f>IF((COUNTIFS('1_바디시그널'!$AD$5:$AD$36,"ATT",'1_바디시그널'!$AL$5:$AL$36,"&gt;=1")+COUNTIFS('2_개행동'!$AD$5:$AD$26,"ATT",'2_개행동'!$AL$5:$AL$26,"&gt;=1")+COUNTIFS('3_보호자행동'!$AD$5:$AD$35,"ATT",'3_보호자행동'!$AL$5:$AL$35,"&gt;=1"))=0,"",IF((SUMIFS('1_바디시그널'!$AL$5:$AL$36,'1_바디시그널'!$AD$5:$AD$36,"ATT",'1_바디시그널'!$BF$5:$BF$36,"A")+SUMIFS('2_개행동'!$AL$5:$AL$26,'2_개행동'!$AD$5:$AD$26,"ATT",'2_개행동'!$BF$5:$BF$26,"A")+SUMIFS('3_보호자행동'!$AL$5:$AL$35,'3_보호자행동'!$AD$5:$AD$35,"ATT",'3_보호자행동'!$BF$5:$BF$35,"A"))&gt;(SUMIFS('1_바디시그널'!$AL$5:$AL$36,'1_바디시그널'!$AD$5:$AD$36,"ATT",'1_바디시그널'!$BF$5:$BF$36,"B")+SUMIFS('2_개행동'!$AL$5:$AL$26,'2_개행동'!$AD$5:$AD$26,"ATT",'2_개행동'!$BF$5:$BF$26,"B")+SUMIFS('3_보호자행동'!$AL$5:$AL$35,'3_보호자행동'!$AD$5:$AD$35,"ATT",'3_보호자행동'!$BF$5:$BF$35,"B")),"A",IF((SUMIFS('1_바디시그널'!$AL$5:$AL$36,'1_바디시그널'!$AD$5:$AD$36,"ATT",'1_바디시그널'!$BF$5:$BF$36,"B")+SUMIFS('2_개행동'!$AL$5:$AL$26,'2_개행동'!$AD$5:$AD$26,"ATT",'2_개행동'!$BF$5:$BF$26,"B")+SUMIFS('3_보호자행동'!$AL$5:$AL$35,'3_보호자행동'!$AD$5:$AD$35,"ATT",'3_보호자행동'!$BF$5:$BF$35,"B"))&gt;(SUMIFS('1_바디시그널'!$AL$5:$AL$36,'1_바디시그널'!$AD$5:$AD$36,"ATT",'1_바디시그널'!$BF$5:$BF$36,"A")+SUMIFS('2_개행동'!$AL$5:$AL$26,'2_개행동'!$AD$5:$AD$26,"ATT",'2_개행동'!$BF$5:$BF$26,"A")+SUMIFS('3_보호자행동'!$AL$5:$AL$35,'3_보호자행동'!$AD$5:$AD$35,"ATT",'3_보호자행동'!$BF$5:$BF$35,"A")),"B","-")))</f>
        <v/>
      </c>
      <c r="S13" s="49">
        <f>IF((COUNTIFS('1_바디시그널'!$AD$5:$AD$36,"CON",'1_바디시그널'!$AL$5:$AL$36,"&gt;=1")+COUNTIFS('2_개행동'!$AD$5:$AD$26,"CON",'2_개행동'!$AL$5:$AL$26,"&gt;=1")+COUNTIFS('3_보호자행동'!$AD$5:$AD$35,"CON",'3_보호자행동'!$AL$5:$AL$35,"&gt;=1"))=0,"",MAX(_xlfn.MAXIFS('1_바디시그널'!$AL$5:$AL$36,'1_바디시그널'!$AD$5:$AD$36,"CON"),_xlfn.MAXIFS('2_개행동'!$AL$5:$AL$26,'2_개행동'!$AD$5:$AD$26,"CON"),_xlfn.MAXIFS('3_보호자행동'!$AL$5:$AL$35,'3_보호자행동'!$AD$5:$AD$35,"CON")))</f>
        <v/>
      </c>
      <c r="T13" s="49">
        <f>IF((COUNTIFS('1_바디시그널'!$AD$5:$AD$36,"CON",'1_바디시그널'!$AL$5:$AL$36,"&gt;=1")+COUNTIFS('2_개행동'!$AD$5:$AD$26,"CON",'2_개행동'!$AL$5:$AL$26,"&gt;=1")+COUNTIFS('3_보호자행동'!$AD$5:$AD$35,"CON",'3_보호자행동'!$AL$5:$AL$35,"&gt;=1"))=0,"",ROUND((SUMIFS('1_바디시그널'!$AL$5:$AL$36,'1_바디시그널'!$AD$5:$AD$36,"CON",'1_바디시그널'!$AL$5:$AL$36,"&gt;=1")+SUMIFS('2_개행동'!$AL$5:$AL$26,'2_개행동'!$AD$5:$AD$26,"CON",'2_개행동'!$AL$5:$AL$26,"&gt;=1")+SUMIFS('3_보호자행동'!$AL$5:$AL$35,'3_보호자행동'!$AD$5:$AD$35,"CON",'3_보호자행동'!$AL$5:$AL$35,"&gt;=1"))/(COUNTIFS('1_바디시그널'!$AD$5:$AD$36,"CON",'1_바디시그널'!$AL$5:$AL$36,"&gt;=1")+COUNTIFS('2_개행동'!$AD$5:$AD$26,"CON",'2_개행동'!$AL$5:$AL$26,"&gt;=1")+COUNTIFS('3_보호자행동'!$AD$5:$AD$35,"CON",'3_보호자행동'!$AL$5:$AL$35,"&gt;=1")),2))</f>
        <v/>
      </c>
      <c r="U13" s="49">
        <f>IF((COUNTIFS('1_바디시그널'!$AD$5:$AD$36,"CON",'1_바디시그널'!$AL$5:$AL$36,"&gt;=1")+COUNTIFS('2_개행동'!$AD$5:$AD$26,"CON",'2_개행동'!$AL$5:$AL$26,"&gt;=1")+COUNTIFS('3_보호자행동'!$AD$5:$AD$35,"CON",'3_보호자행동'!$AL$5:$AL$35,"&gt;=1"))=0,"",IF((SUMIFS('1_바디시그널'!$AL$5:$AL$36,'1_바디시그널'!$AD$5:$AD$36,"CON",'1_바디시그널'!$BF$5:$BF$36,"A")+SUMIFS('2_개행동'!$AL$5:$AL$26,'2_개행동'!$AD$5:$AD$26,"CON",'2_개행동'!$BF$5:$BF$26,"A")+SUMIFS('3_보호자행동'!$AL$5:$AL$35,'3_보호자행동'!$AD$5:$AD$35,"CON",'3_보호자행동'!$BF$5:$BF$35,"A"))&gt;(SUMIFS('1_바디시그널'!$AL$5:$AL$36,'1_바디시그널'!$AD$5:$AD$36,"CON",'1_바디시그널'!$BF$5:$BF$36,"B")+SUMIFS('2_개행동'!$AL$5:$AL$26,'2_개행동'!$AD$5:$AD$26,"CON",'2_개행동'!$BF$5:$BF$26,"B")+SUMIFS('3_보호자행동'!$AL$5:$AL$35,'3_보호자행동'!$AD$5:$AD$35,"CON",'3_보호자행동'!$BF$5:$BF$35,"B")),"A",IF((SUMIFS('1_바디시그널'!$AL$5:$AL$36,'1_바디시그널'!$AD$5:$AD$36,"CON",'1_바디시그널'!$BF$5:$BF$36,"B")+SUMIFS('2_개행동'!$AL$5:$AL$26,'2_개행동'!$AD$5:$AD$26,"CON",'2_개행동'!$BF$5:$BF$26,"B")+SUMIFS('3_보호자행동'!$AL$5:$AL$35,'3_보호자행동'!$AD$5:$AD$35,"CON",'3_보호자행동'!$BF$5:$BF$35,"B"))&gt;(SUMIFS('1_바디시그널'!$AL$5:$AL$36,'1_바디시그널'!$AD$5:$AD$36,"CON",'1_바디시그널'!$BF$5:$BF$36,"A")+SUMIFS('2_개행동'!$AL$5:$AL$26,'2_개행동'!$AD$5:$AD$26,"CON",'2_개행동'!$BF$5:$BF$26,"A")+SUMIFS('3_보호자행동'!$AL$5:$AL$35,'3_보호자행동'!$AD$5:$AD$35,"CON",'3_보호자행동'!$BF$5:$BF$35,"A")),"B","-")))</f>
        <v/>
      </c>
      <c r="V13" s="48">
        <f>IF(COUNT(X13:AA13)=0,"",ROUND(MAX(X13:AA13)-MIN(X13:AA13),2))</f>
        <v/>
      </c>
      <c r="W13" s="47" t="n"/>
      <c r="X13" s="49">
        <f>IFERROR(SUMIFS('3_보호자행동'!$AL$5:$AL$35,'3_보호자행동'!$A$5:$A$35,"입장",'3_보호자행동'!$AL$5:$AL$35,"&gt;=1")/COUNTIFS('3_보호자행동'!$A$5:$A$35,"입장",'3_보호자행동'!$AL$5:$AL$35,"&gt;=1"),"")</f>
        <v/>
      </c>
      <c r="Y13" s="49">
        <f>IFERROR(SUMIFS('3_보호자행동'!$AL$5:$AL$35,'3_보호자행동'!$A$5:$A$35,"분리",'3_보호자행동'!$AL$5:$AL$35,"&gt;=1")/COUNTIFS('3_보호자행동'!$A$5:$A$35,"분리",'3_보호자행동'!$AL$5:$AL$35,"&gt;=1"),"")</f>
        <v/>
      </c>
      <c r="Z13" s="49">
        <f>IFERROR(SUMIFS('3_보호자행동'!$AL$5:$AL$35,'3_보호자행동'!$A$5:$A$35,"훈련",'3_보호자행동'!$AL$5:$AL$35,"&gt;=1")/COUNTIFS('3_보호자행동'!$A$5:$A$35,"훈련",'3_보호자행동'!$AL$5:$AL$35,"&gt;=1"),"")</f>
        <v/>
      </c>
      <c r="AA13" s="49">
        <f>IFERROR(SUMIFS('3_보호자행동'!$AL$5:$AL$35,'3_보호자행동'!$A$5:$A$35,"놀이",'3_보호자행동'!$AL$5:$AL$35,"&gt;=1")/COUNTIFS('3_보호자행동'!$A$5:$A$35,"놀이",'3_보호자행동'!$AL$5:$AL$35,"&gt;=1"),"")</f>
        <v/>
      </c>
      <c r="AB13">
        <f>IF((COUNTIFS('1_바디시그널'!$AD$5:$AD$36,"TRN",'1_바디시그널'!$AL$5:$AL$36,"&gt;=1")+COUNTIFS('2_개행동'!$AD$5:$AD$26,"TRN",'2_개행동'!$AL$5:$AL$26,"&gt;=1")+COUNTIFS('3_보호자행동'!$AD$5:$AD$35,"TRN",'3_보호자행동'!$AL$5:$AL$35,"&gt;=1"))=0,"",MAX(_xlfn.MAXIFS('1_바디시그널'!$AL$5:$AL$36,'1_바디시그널'!$AD$5:$AD$36,"TRN"),_xlfn.MAXIFS('2_개행동'!$AL$5:$AL$26,'2_개행동'!$AD$5:$AD$26,"TRN"),_xlfn.MAXIFS('3_보호자행동'!$AL$5:$AL$35,'3_보호자행동'!$AD$5:$AD$35,"TRN")))</f>
        <v/>
      </c>
      <c r="AC13">
        <f>IF((COUNTIFS('1_바디시그널'!$AD$5:$AD$36,"TRN",'1_바디시그널'!$AL$5:$AL$36,"&gt;=1")+COUNTIFS('2_개행동'!$AD$5:$AD$26,"TRN",'2_개행동'!$AL$5:$AL$26,"&gt;=1")+COUNTIFS('3_보호자행동'!$AD$5:$AD$35,"TRN",'3_보호자행동'!$AL$5:$AL$35,"&gt;=1"))=0,"",ROUND((SUMIFS('1_바디시그널'!$AL$5:$AL$36,'1_바디시그널'!$AD$5:$AD$36,"TRN",'1_바디시그널'!$AL$5:$AL$36,"&gt;=1")+SUMIFS('2_개행동'!$AL$5:$AL$26,'2_개행동'!$AD$5:$AD$26,"TRN",'2_개행동'!$AL$5:$AL$26,"&gt;=1")+SUMIFS('3_보호자행동'!$AL$5:$AL$35,'3_보호자행동'!$AD$5:$AD$35,"TRN",'3_보호자행동'!$AL$5:$AL$35,"&gt;=1"))/(COUNTIFS('1_바디시그널'!$AD$5:$AD$36,"TRN",'1_바디시그널'!$AL$5:$AL$36,"&gt;=1")+COUNTIFS('2_개행동'!$AD$5:$AD$26,"TRN",'2_개행동'!$AL$5:$AL$26,"&gt;=1")+COUNTIFS('3_보호자행동'!$AD$5:$AD$35,"TRN",'3_보호자행동'!$AL$5:$AL$35,"&gt;=1")),2))</f>
        <v/>
      </c>
      <c r="AD13">
        <f>IF((COUNTIFS('1_바디시그널'!$AD$5:$AD$36,"TRN",'1_바디시그널'!$AL$5:$AL$36,"&gt;=1")+COUNTIFS('2_개행동'!$AD$5:$AD$26,"TRN",'2_개행동'!$AL$5:$AL$26,"&gt;=1")+COUNTIFS('3_보호자행동'!$AD$5:$AD$35,"TRN",'3_보호자행동'!$AL$5:$AL$35,"&gt;=1"))=0,"",IF((SUMIFS('1_바디시그널'!$AL$5:$AL$36,'1_바디시그널'!$AD$5:$AD$36,"TRN",'1_바디시그널'!$BF$5:$BF$36,"A")+SUMIFS('2_개행동'!$AL$5:$AL$26,'2_개행동'!$AD$5:$AD$26,"TRN",'2_개행동'!$BF$5:$BF$26,"A")+SUMIFS('3_보호자행동'!$AL$5:$AL$35,'3_보호자행동'!$AD$5:$AD$35,"TRN",'3_보호자행동'!$BF$5:$BF$35,"A"))&gt;(SUMIFS('1_바디시그널'!$AL$5:$AL$36,'1_바디시그널'!$AD$5:$AD$36,"TRN",'1_바디시그널'!$BF$5:$BF$36,"B")+SUMIFS('2_개행동'!$AL$5:$AL$26,'2_개행동'!$AD$5:$AD$26,"TRN",'2_개행동'!$BF$5:$BF$26,"B")+SUMIFS('3_보호자행동'!$AL$5:$AL$35,'3_보호자행동'!$AD$5:$AD$35,"TRN",'3_보호자행동'!$BF$5:$BF$35,"B")),"A",IF((SUMIFS('1_바디시그널'!$AL$5:$AL$36,'1_바디시그널'!$AD$5:$AD$36,"TRN",'1_바디시그널'!$BF$5:$BF$36,"B")+SUMIFS('2_개행동'!$AL$5:$AL$26,'2_개행동'!$AD$5:$AD$26,"TRN",'2_개행동'!$BF$5:$BF$26,"B")+SUMIFS('3_보호자행동'!$AL$5:$AL$35,'3_보호자행동'!$AD$5:$AD$35,"TRN",'3_보호자행동'!$BF$5:$BF$35,"B"))&gt;(SUMIFS('1_바디시그널'!$AL$5:$AL$36,'1_바디시그널'!$AD$5:$AD$36,"TRN",'1_바디시그널'!$BF$5:$BF$36,"A")+SUMIFS('2_개행동'!$AL$5:$AL$26,'2_개행동'!$AD$5:$AD$26,"TRN",'2_개행동'!$BF$5:$BF$26,"A")+SUMIFS('3_보호자행동'!$AL$5:$AL$35,'3_보호자행동'!$AD$5:$AD$35,"TRN",'3_보호자행동'!$BF$5:$BF$35,"A")),"B","-")))</f>
        <v/>
      </c>
      <c r="AE13">
        <f>IF('2_개행동'!$Q$11="","",'2_개행동'!$Q$11&amp;IF('2_개행동'!$Q$11=3," [B]",IF('2_개행동'!$Q$11=1,""," [A]")))</f>
        <v/>
      </c>
    </row>
    <row r="14" ht="18.75" customHeight="1" s="1">
      <c r="A14" s="46" t="n">
        <v>9</v>
      </c>
      <c r="B14" s="47" t="n"/>
      <c r="C14" s="47" t="n"/>
      <c r="D14" s="48">
        <f>IF((COUNTIFS('1_바디시그널'!$AD$5:$AD$36,"EDU",'1_바디시그널'!$AM$5:$AM$36,"&gt;=1")+COUNTIFS('2_개행동'!$AD$5:$AD$26,"EDU",'2_개행동'!$AM$5:$AM$26,"&gt;=1")+COUNTIFS('3_보호자행동'!$AD$5:$AD$35,"EDU",'3_보호자행동'!$AM$5:$AM$35,"&gt;=1"))=0,"",MAX(_xlfn.MAXIFS('1_바디시그널'!$AM$5:$AM$36,'1_바디시그널'!$AD$5:$AD$36,"EDU"),_xlfn.MAXIFS('2_개행동'!$AM$5:$AM$26,'2_개행동'!$AD$5:$AD$26,"EDU"),_xlfn.MAXIFS('3_보호자행동'!$AM$5:$AM$35,'3_보호자행동'!$AD$5:$AD$35,"EDU")))</f>
        <v/>
      </c>
      <c r="E14" s="49">
        <f>IF((COUNTIFS('1_바디시그널'!$AD$5:$AD$36,"EDU",'1_바디시그널'!$AM$5:$AM$36,"&gt;=1")+COUNTIFS('2_개행동'!$AD$5:$AD$26,"EDU",'2_개행동'!$AM$5:$AM$26,"&gt;=1")+COUNTIFS('3_보호자행동'!$AD$5:$AD$35,"EDU",'3_보호자행동'!$AM$5:$AM$35,"&gt;=1"))=0,"",ROUND((SUMIFS('1_바디시그널'!$AM$5:$AM$36,'1_바디시그널'!$AD$5:$AD$36,"EDU",'1_바디시그널'!$AM$5:$AM$36,"&gt;=1")+SUMIFS('2_개행동'!$AM$5:$AM$26,'2_개행동'!$AD$5:$AD$26,"EDU",'2_개행동'!$AM$5:$AM$26,"&gt;=1")+SUMIFS('3_보호자행동'!$AM$5:$AM$35,'3_보호자행동'!$AD$5:$AD$35,"EDU",'3_보호자행동'!$AM$5:$AM$35,"&gt;=1"))/(COUNTIFS('1_바디시그널'!$AD$5:$AD$36,"EDU",'1_바디시그널'!$AM$5:$AM$36,"&gt;=1")+COUNTIFS('2_개행동'!$AD$5:$AD$26,"EDU",'2_개행동'!$AM$5:$AM$26,"&gt;=1")+COUNTIFS('3_보호자행동'!$AD$5:$AD$35,"EDU",'3_보호자행동'!$AM$5:$AM$35,"&gt;=1")),2))</f>
        <v/>
      </c>
      <c r="F14" s="49">
        <f>IF((COUNTIFS('1_바디시그널'!$AD$5:$AD$36,"EDU",'1_바디시그널'!$AM$5:$AM$36,"&gt;=1")+COUNTIFS('2_개행동'!$AD$5:$AD$26,"EDU",'2_개행동'!$AM$5:$AM$26,"&gt;=1")+COUNTIFS('3_보호자행동'!$AD$5:$AD$35,"EDU",'3_보호자행동'!$AM$5:$AM$35,"&gt;=1"))=0,"",IF((SUMIFS('1_바디시그널'!$AM$5:$AM$36,'1_바디시그널'!$AD$5:$AD$36,"EDU",'1_바디시그널'!$BG$5:$BG$36,"A")+SUMIFS('2_개행동'!$AM$5:$AM$26,'2_개행동'!$AD$5:$AD$26,"EDU",'2_개행동'!$BG$5:$BG$26,"A")+SUMIFS('3_보호자행동'!$AM$5:$AM$35,'3_보호자행동'!$AD$5:$AD$35,"EDU",'3_보호자행동'!$BG$5:$BG$35,"A"))&gt;(SUMIFS('1_바디시그널'!$AM$5:$AM$36,'1_바디시그널'!$AD$5:$AD$36,"EDU",'1_바디시그널'!$BG$5:$BG$36,"B")+SUMIFS('2_개행동'!$AM$5:$AM$26,'2_개행동'!$AD$5:$AD$26,"EDU",'2_개행동'!$BG$5:$BG$26,"B")+SUMIFS('3_보호자행동'!$AM$5:$AM$35,'3_보호자행동'!$AD$5:$AD$35,"EDU",'3_보호자행동'!$BG$5:$BG$35,"B")),"A",IF((SUMIFS('1_바디시그널'!$AM$5:$AM$36,'1_바디시그널'!$AD$5:$AD$36,"EDU",'1_바디시그널'!$BG$5:$BG$36,"B")+SUMIFS('2_개행동'!$AM$5:$AM$26,'2_개행동'!$AD$5:$AD$26,"EDU",'2_개행동'!$BG$5:$BG$26,"B")+SUMIFS('3_보호자행동'!$AM$5:$AM$35,'3_보호자행동'!$AD$5:$AD$35,"EDU",'3_보호자행동'!$BG$5:$BG$35,"B"))&gt;(SUMIFS('1_바디시그널'!$AM$5:$AM$36,'1_바디시그널'!$AD$5:$AD$36,"EDU",'1_바디시그널'!$BG$5:$BG$36,"A")+SUMIFS('2_개행동'!$AM$5:$AM$26,'2_개행동'!$AD$5:$AD$26,"EDU",'2_개행동'!$BG$5:$BG$26,"A")+SUMIFS('3_보호자행동'!$AM$5:$AM$35,'3_보호자행동'!$AD$5:$AD$35,"EDU",'3_보호자행동'!$BG$5:$BG$35,"A")),"B","-")))</f>
        <v/>
      </c>
      <c r="G14" s="49">
        <f>IF((COUNTIFS('1_바디시그널'!$AD$5:$AD$36,"SOC_P",'1_바디시그널'!$AM$5:$AM$36,"&gt;=1")+COUNTIFS('2_개행동'!$AD$5:$AD$26,"SOC_P",'2_개행동'!$AM$5:$AM$26,"&gt;=1")+COUNTIFS('3_보호자행동'!$AD$5:$AD$35,"SOC_P",'3_보호자행동'!$AM$5:$AM$35,"&gt;=1"))=0,"",MAX(_xlfn.MAXIFS('1_바디시그널'!$AM$5:$AM$36,'1_바디시그널'!$AD$5:$AD$36,"SOC_P"),_xlfn.MAXIFS('2_개행동'!$AM$5:$AM$26,'2_개행동'!$AD$5:$AD$26,"SOC_P"),_xlfn.MAXIFS('3_보호자행동'!$AM$5:$AM$35,'3_보호자행동'!$AD$5:$AD$35,"SOC_P")))</f>
        <v/>
      </c>
      <c r="H14" s="49">
        <f>IF((COUNTIFS('1_바디시그널'!$AD$5:$AD$36,"SOC_P",'1_바디시그널'!$AM$5:$AM$36,"&gt;=1")+COUNTIFS('2_개행동'!$AD$5:$AD$26,"SOC_P",'2_개행동'!$AM$5:$AM$26,"&gt;=1")+COUNTIFS('3_보호자행동'!$AD$5:$AD$35,"SOC_P",'3_보호자행동'!$AM$5:$AM$35,"&gt;=1"))=0,"",ROUND((SUMIFS('1_바디시그널'!$AM$5:$AM$36,'1_바디시그널'!$AD$5:$AD$36,"SOC_P",'1_바디시그널'!$AM$5:$AM$36,"&gt;=1")+SUMIFS('2_개행동'!$AM$5:$AM$26,'2_개행동'!$AD$5:$AD$26,"SOC_P",'2_개행동'!$AM$5:$AM$26,"&gt;=1")+SUMIFS('3_보호자행동'!$AM$5:$AM$35,'3_보호자행동'!$AD$5:$AD$35,"SOC_P",'3_보호자행동'!$AM$5:$AM$35,"&gt;=1"))/(COUNTIFS('1_바디시그널'!$AD$5:$AD$36,"SOC_P",'1_바디시그널'!$AM$5:$AM$36,"&gt;=1")+COUNTIFS('2_개행동'!$AD$5:$AD$26,"SOC_P",'2_개행동'!$AM$5:$AM$26,"&gt;=1")+COUNTIFS('3_보호자행동'!$AD$5:$AD$35,"SOC_P",'3_보호자행동'!$AM$5:$AM$35,"&gt;=1")),2))</f>
        <v/>
      </c>
      <c r="I14" s="49">
        <f>IF((COUNTIFS('1_바디시그널'!$AD$5:$AD$36,"SOC_P",'1_바디시그널'!$AM$5:$AM$36,"&gt;=1")+COUNTIFS('2_개행동'!$AD$5:$AD$26,"SOC_P",'2_개행동'!$AM$5:$AM$26,"&gt;=1")+COUNTIFS('3_보호자행동'!$AD$5:$AD$35,"SOC_P",'3_보호자행동'!$AM$5:$AM$35,"&gt;=1"))=0,"",IF((SUMIFS('1_바디시그널'!$AM$5:$AM$36,'1_바디시그널'!$AD$5:$AD$36,"SOC_P",'1_바디시그널'!$BG$5:$BG$36,"A")+SUMIFS('2_개행동'!$AM$5:$AM$26,'2_개행동'!$AD$5:$AD$26,"SOC_P",'2_개행동'!$BG$5:$BG$26,"A")+SUMIFS('3_보호자행동'!$AM$5:$AM$35,'3_보호자행동'!$AD$5:$AD$35,"SOC_P",'3_보호자행동'!$BG$5:$BG$35,"A"))&gt;(SUMIFS('1_바디시그널'!$AM$5:$AM$36,'1_바디시그널'!$AD$5:$AD$36,"SOC_P",'1_바디시그널'!$BG$5:$BG$36,"B")+SUMIFS('2_개행동'!$AM$5:$AM$26,'2_개행동'!$AD$5:$AD$26,"SOC_P",'2_개행동'!$BG$5:$BG$26,"B")+SUMIFS('3_보호자행동'!$AM$5:$AM$35,'3_보호자행동'!$AD$5:$AD$35,"SOC_P",'3_보호자행동'!$BG$5:$BG$35,"B")),"A",IF((SUMIFS('1_바디시그널'!$AM$5:$AM$36,'1_바디시그널'!$AD$5:$AD$36,"SOC_P",'1_바디시그널'!$BG$5:$BG$36,"B")+SUMIFS('2_개행동'!$AM$5:$AM$26,'2_개행동'!$AD$5:$AD$26,"SOC_P",'2_개행동'!$BG$5:$BG$26,"B")+SUMIFS('3_보호자행동'!$AM$5:$AM$35,'3_보호자행동'!$AD$5:$AD$35,"SOC_P",'3_보호자행동'!$BG$5:$BG$35,"B"))&gt;(SUMIFS('1_바디시그널'!$AM$5:$AM$36,'1_바디시그널'!$AD$5:$AD$36,"SOC_P",'1_바디시그널'!$BG$5:$BG$36,"A")+SUMIFS('2_개행동'!$AM$5:$AM$26,'2_개행동'!$AD$5:$AD$26,"SOC_P",'2_개행동'!$BG$5:$BG$26,"A")+SUMIFS('3_보호자행동'!$AM$5:$AM$35,'3_보호자행동'!$AD$5:$AD$35,"SOC_P",'3_보호자행동'!$BG$5:$BG$35,"A")),"B","-")))</f>
        <v/>
      </c>
      <c r="J14" s="49">
        <f>IF((COUNTIFS('1_바디시그널'!$AD$5:$AD$36,"SOC_D",'1_바디시그널'!$AM$5:$AM$36,"&gt;=1")+COUNTIFS('2_개행동'!$AD$5:$AD$26,"SOC_D",'2_개행동'!$AM$5:$AM$26,"&gt;=1")+COUNTIFS('3_보호자행동'!$AD$5:$AD$35,"SOC_D",'3_보호자행동'!$AM$5:$AM$35,"&gt;=1"))=0,"",MAX(_xlfn.MAXIFS('1_바디시그널'!$AM$5:$AM$36,'1_바디시그널'!$AD$5:$AD$36,"SOC_D"),_xlfn.MAXIFS('2_개행동'!$AM$5:$AM$26,'2_개행동'!$AD$5:$AD$26,"SOC_D"),_xlfn.MAXIFS('3_보호자행동'!$AM$5:$AM$35,'3_보호자행동'!$AD$5:$AD$35,"SOC_D")))</f>
        <v/>
      </c>
      <c r="K14" s="49">
        <f>IF((COUNTIFS('1_바디시그널'!$AD$5:$AD$36,"SOC_D",'1_바디시그널'!$AM$5:$AM$36,"&gt;=1")+COUNTIFS('2_개행동'!$AD$5:$AD$26,"SOC_D",'2_개행동'!$AM$5:$AM$26,"&gt;=1")+COUNTIFS('3_보호자행동'!$AD$5:$AD$35,"SOC_D",'3_보호자행동'!$AM$5:$AM$35,"&gt;=1"))=0,"",ROUND((SUMIFS('1_바디시그널'!$AM$5:$AM$36,'1_바디시그널'!$AD$5:$AD$36,"SOC_D",'1_바디시그널'!$AM$5:$AM$36,"&gt;=1")+SUMIFS('2_개행동'!$AM$5:$AM$26,'2_개행동'!$AD$5:$AD$26,"SOC_D",'2_개행동'!$AM$5:$AM$26,"&gt;=1")+SUMIFS('3_보호자행동'!$AM$5:$AM$35,'3_보호자행동'!$AD$5:$AD$35,"SOC_D",'3_보호자행동'!$AM$5:$AM$35,"&gt;=1"))/(COUNTIFS('1_바디시그널'!$AD$5:$AD$36,"SOC_D",'1_바디시그널'!$AM$5:$AM$36,"&gt;=1")+COUNTIFS('2_개행동'!$AD$5:$AD$26,"SOC_D",'2_개행동'!$AM$5:$AM$26,"&gt;=1")+COUNTIFS('3_보호자행동'!$AD$5:$AD$35,"SOC_D",'3_보호자행동'!$AM$5:$AM$35,"&gt;=1")),2))</f>
        <v/>
      </c>
      <c r="L14" s="49">
        <f>IF((COUNTIFS('1_바디시그널'!$AD$5:$AD$36,"SOC_D",'1_바디시그널'!$AM$5:$AM$36,"&gt;=1")+COUNTIFS('2_개행동'!$AD$5:$AD$26,"SOC_D",'2_개행동'!$AM$5:$AM$26,"&gt;=1")+COUNTIFS('3_보호자행동'!$AD$5:$AD$35,"SOC_D",'3_보호자행동'!$AM$5:$AM$35,"&gt;=1"))=0,"",IF((SUMIFS('1_바디시그널'!$AM$5:$AM$36,'1_바디시그널'!$AD$5:$AD$36,"SOC_D",'1_바디시그널'!$BG$5:$BG$36,"A")+SUMIFS('2_개행동'!$AM$5:$AM$26,'2_개행동'!$AD$5:$AD$26,"SOC_D",'2_개행동'!$BG$5:$BG$26,"A")+SUMIFS('3_보호자행동'!$AM$5:$AM$35,'3_보호자행동'!$AD$5:$AD$35,"SOC_D",'3_보호자행동'!$BG$5:$BG$35,"A"))&gt;(SUMIFS('1_바디시그널'!$AM$5:$AM$36,'1_바디시그널'!$AD$5:$AD$36,"SOC_D",'1_바디시그널'!$BG$5:$BG$36,"B")+SUMIFS('2_개행동'!$AM$5:$AM$26,'2_개행동'!$AD$5:$AD$26,"SOC_D",'2_개행동'!$BG$5:$BG$26,"B")+SUMIFS('3_보호자행동'!$AM$5:$AM$35,'3_보호자행동'!$AD$5:$AD$35,"SOC_D",'3_보호자행동'!$BG$5:$BG$35,"B")),"A",IF((SUMIFS('1_바디시그널'!$AM$5:$AM$36,'1_바디시그널'!$AD$5:$AD$36,"SOC_D",'1_바디시그널'!$BG$5:$BG$36,"B")+SUMIFS('2_개행동'!$AM$5:$AM$26,'2_개행동'!$AD$5:$AD$26,"SOC_D",'2_개행동'!$BG$5:$BG$26,"B")+SUMIFS('3_보호자행동'!$AM$5:$AM$35,'3_보호자행동'!$AD$5:$AD$35,"SOC_D",'3_보호자행동'!$BG$5:$BG$35,"B"))&gt;(SUMIFS('1_바디시그널'!$AM$5:$AM$36,'1_바디시그널'!$AD$5:$AD$36,"SOC_D",'1_바디시그널'!$BG$5:$BG$36,"A")+SUMIFS('2_개행동'!$AM$5:$AM$26,'2_개행동'!$AD$5:$AD$26,"SOC_D",'2_개행동'!$BG$5:$BG$26,"A")+SUMIFS('3_보호자행동'!$AM$5:$AM$35,'3_보호자행동'!$AD$5:$AD$35,"SOC_D",'3_보호자행동'!$BG$5:$BG$35,"A")),"B","-")))</f>
        <v/>
      </c>
      <c r="M14" s="49">
        <f>IF((COUNTIFS('1_바디시그널'!$AD$5:$AD$36,"SOC_E",'1_바디시그널'!$AM$5:$AM$36,"&gt;=1")+COUNTIFS('2_개행동'!$AD$5:$AD$26,"SOC_E",'2_개행동'!$AM$5:$AM$26,"&gt;=1")+COUNTIFS('3_보호자행동'!$AD$5:$AD$35,"SOC_E",'3_보호자행동'!$AM$5:$AM$35,"&gt;=1"))=0,"",MAX(_xlfn.MAXIFS('1_바디시그널'!$AM$5:$AM$36,'1_바디시그널'!$AD$5:$AD$36,"SOC_E"),_xlfn.MAXIFS('2_개행동'!$AM$5:$AM$26,'2_개행동'!$AD$5:$AD$26,"SOC_E"),_xlfn.MAXIFS('3_보호자행동'!$AM$5:$AM$35,'3_보호자행동'!$AD$5:$AD$35,"SOC_E")))</f>
        <v/>
      </c>
      <c r="N14" s="49">
        <f>IF((COUNTIFS('1_바디시그널'!$AD$5:$AD$36,"SOC_E",'1_바디시그널'!$AM$5:$AM$36,"&gt;=1")+COUNTIFS('2_개행동'!$AD$5:$AD$26,"SOC_E",'2_개행동'!$AM$5:$AM$26,"&gt;=1")+COUNTIFS('3_보호자행동'!$AD$5:$AD$35,"SOC_E",'3_보호자행동'!$AM$5:$AM$35,"&gt;=1"))=0,"",ROUND((SUMIFS('1_바디시그널'!$AM$5:$AM$36,'1_바디시그널'!$AD$5:$AD$36,"SOC_E",'1_바디시그널'!$AM$5:$AM$36,"&gt;=1")+SUMIFS('2_개행동'!$AM$5:$AM$26,'2_개행동'!$AD$5:$AD$26,"SOC_E",'2_개행동'!$AM$5:$AM$26,"&gt;=1")+SUMIFS('3_보호자행동'!$AM$5:$AM$35,'3_보호자행동'!$AD$5:$AD$35,"SOC_E",'3_보호자행동'!$AM$5:$AM$35,"&gt;=1"))/(COUNTIFS('1_바디시그널'!$AD$5:$AD$36,"SOC_E",'1_바디시그널'!$AM$5:$AM$36,"&gt;=1")+COUNTIFS('2_개행동'!$AD$5:$AD$26,"SOC_E",'2_개행동'!$AM$5:$AM$26,"&gt;=1")+COUNTIFS('3_보호자행동'!$AD$5:$AD$35,"SOC_E",'3_보호자행동'!$AM$5:$AM$35,"&gt;=1")),2))</f>
        <v/>
      </c>
      <c r="O14" s="49">
        <f>IF((COUNTIFS('1_바디시그널'!$AD$5:$AD$36,"SOC_E",'1_바디시그널'!$AM$5:$AM$36,"&gt;=1")+COUNTIFS('2_개행동'!$AD$5:$AD$26,"SOC_E",'2_개행동'!$AM$5:$AM$26,"&gt;=1")+COUNTIFS('3_보호자행동'!$AD$5:$AD$35,"SOC_E",'3_보호자행동'!$AM$5:$AM$35,"&gt;=1"))=0,"",IF((SUMIFS('1_바디시그널'!$AM$5:$AM$36,'1_바디시그널'!$AD$5:$AD$36,"SOC_E",'1_바디시그널'!$BG$5:$BG$36,"A")+SUMIFS('2_개행동'!$AM$5:$AM$26,'2_개행동'!$AD$5:$AD$26,"SOC_E",'2_개행동'!$BG$5:$BG$26,"A")+SUMIFS('3_보호자행동'!$AM$5:$AM$35,'3_보호자행동'!$AD$5:$AD$35,"SOC_E",'3_보호자행동'!$BG$5:$BG$35,"A"))&gt;(SUMIFS('1_바디시그널'!$AM$5:$AM$36,'1_바디시그널'!$AD$5:$AD$36,"SOC_E",'1_바디시그널'!$BG$5:$BG$36,"B")+SUMIFS('2_개행동'!$AM$5:$AM$26,'2_개행동'!$AD$5:$AD$26,"SOC_E",'2_개행동'!$BG$5:$BG$26,"B")+SUMIFS('3_보호자행동'!$AM$5:$AM$35,'3_보호자행동'!$AD$5:$AD$35,"SOC_E",'3_보호자행동'!$BG$5:$BG$35,"B")),"A",IF((SUMIFS('1_바디시그널'!$AM$5:$AM$36,'1_바디시그널'!$AD$5:$AD$36,"SOC_E",'1_바디시그널'!$BG$5:$BG$36,"B")+SUMIFS('2_개행동'!$AM$5:$AM$26,'2_개행동'!$AD$5:$AD$26,"SOC_E",'2_개행동'!$BG$5:$BG$26,"B")+SUMIFS('3_보호자행동'!$AM$5:$AM$35,'3_보호자행동'!$AD$5:$AD$35,"SOC_E",'3_보호자행동'!$BG$5:$BG$35,"B"))&gt;(SUMIFS('1_바디시그널'!$AM$5:$AM$36,'1_바디시그널'!$AD$5:$AD$36,"SOC_E",'1_바디시그널'!$BG$5:$BG$36,"A")+SUMIFS('2_개행동'!$AM$5:$AM$26,'2_개행동'!$AD$5:$AD$26,"SOC_E",'2_개행동'!$BG$5:$BG$26,"A")+SUMIFS('3_보호자행동'!$AM$5:$AM$35,'3_보호자행동'!$AD$5:$AD$35,"SOC_E",'3_보호자행동'!$BG$5:$BG$35,"A")),"B","-")))</f>
        <v/>
      </c>
      <c r="P14" s="49">
        <f>IF((COUNTIFS('1_바디시그널'!$AD$5:$AD$36,"ATT",'1_바디시그널'!$AM$5:$AM$36,"&gt;=1")+COUNTIFS('2_개행동'!$AD$5:$AD$26,"ATT",'2_개행동'!$AM$5:$AM$26,"&gt;=1")+COUNTIFS('3_보호자행동'!$AD$5:$AD$35,"ATT",'3_보호자행동'!$AM$5:$AM$35,"&gt;=1"))=0,"",MAX(_xlfn.MAXIFS('1_바디시그널'!$AM$5:$AM$36,'1_바디시그널'!$AD$5:$AD$36,"ATT"),_xlfn.MAXIFS('2_개행동'!$AM$5:$AM$26,'2_개행동'!$AD$5:$AD$26,"ATT"),_xlfn.MAXIFS('3_보호자행동'!$AM$5:$AM$35,'3_보호자행동'!$AD$5:$AD$35,"ATT")))</f>
        <v/>
      </c>
      <c r="Q14" s="49">
        <f>IF((COUNTIFS('1_바디시그널'!$AD$5:$AD$36,"ATT",'1_바디시그널'!$AM$5:$AM$36,"&gt;=1")+COUNTIFS('2_개행동'!$AD$5:$AD$26,"ATT",'2_개행동'!$AM$5:$AM$26,"&gt;=1")+COUNTIFS('3_보호자행동'!$AD$5:$AD$35,"ATT",'3_보호자행동'!$AM$5:$AM$35,"&gt;=1"))=0,"",ROUND((SUMIFS('1_바디시그널'!$AM$5:$AM$36,'1_바디시그널'!$AD$5:$AD$36,"ATT",'1_바디시그널'!$AM$5:$AM$36,"&gt;=1")+SUMIFS('2_개행동'!$AM$5:$AM$26,'2_개행동'!$AD$5:$AD$26,"ATT",'2_개행동'!$AM$5:$AM$26,"&gt;=1")+SUMIFS('3_보호자행동'!$AM$5:$AM$35,'3_보호자행동'!$AD$5:$AD$35,"ATT",'3_보호자행동'!$AM$5:$AM$35,"&gt;=1"))/(COUNTIFS('1_바디시그널'!$AD$5:$AD$36,"ATT",'1_바디시그널'!$AM$5:$AM$36,"&gt;=1")+COUNTIFS('2_개행동'!$AD$5:$AD$26,"ATT",'2_개행동'!$AM$5:$AM$26,"&gt;=1")+COUNTIFS('3_보호자행동'!$AD$5:$AD$35,"ATT",'3_보호자행동'!$AM$5:$AM$35,"&gt;=1")),2))</f>
        <v/>
      </c>
      <c r="R14" s="49">
        <f>IF((COUNTIFS('1_바디시그널'!$AD$5:$AD$36,"ATT",'1_바디시그널'!$AM$5:$AM$36,"&gt;=1")+COUNTIFS('2_개행동'!$AD$5:$AD$26,"ATT",'2_개행동'!$AM$5:$AM$26,"&gt;=1")+COUNTIFS('3_보호자행동'!$AD$5:$AD$35,"ATT",'3_보호자행동'!$AM$5:$AM$35,"&gt;=1"))=0,"",IF((SUMIFS('1_바디시그널'!$AM$5:$AM$36,'1_바디시그널'!$AD$5:$AD$36,"ATT",'1_바디시그널'!$BG$5:$BG$36,"A")+SUMIFS('2_개행동'!$AM$5:$AM$26,'2_개행동'!$AD$5:$AD$26,"ATT",'2_개행동'!$BG$5:$BG$26,"A")+SUMIFS('3_보호자행동'!$AM$5:$AM$35,'3_보호자행동'!$AD$5:$AD$35,"ATT",'3_보호자행동'!$BG$5:$BG$35,"A"))&gt;(SUMIFS('1_바디시그널'!$AM$5:$AM$36,'1_바디시그널'!$AD$5:$AD$36,"ATT",'1_바디시그널'!$BG$5:$BG$36,"B")+SUMIFS('2_개행동'!$AM$5:$AM$26,'2_개행동'!$AD$5:$AD$26,"ATT",'2_개행동'!$BG$5:$BG$26,"B")+SUMIFS('3_보호자행동'!$AM$5:$AM$35,'3_보호자행동'!$AD$5:$AD$35,"ATT",'3_보호자행동'!$BG$5:$BG$35,"B")),"A",IF((SUMIFS('1_바디시그널'!$AM$5:$AM$36,'1_바디시그널'!$AD$5:$AD$36,"ATT",'1_바디시그널'!$BG$5:$BG$36,"B")+SUMIFS('2_개행동'!$AM$5:$AM$26,'2_개행동'!$AD$5:$AD$26,"ATT",'2_개행동'!$BG$5:$BG$26,"B")+SUMIFS('3_보호자행동'!$AM$5:$AM$35,'3_보호자행동'!$AD$5:$AD$35,"ATT",'3_보호자행동'!$BG$5:$BG$35,"B"))&gt;(SUMIFS('1_바디시그널'!$AM$5:$AM$36,'1_바디시그널'!$AD$5:$AD$36,"ATT",'1_바디시그널'!$BG$5:$BG$36,"A")+SUMIFS('2_개행동'!$AM$5:$AM$26,'2_개행동'!$AD$5:$AD$26,"ATT",'2_개행동'!$BG$5:$BG$26,"A")+SUMIFS('3_보호자행동'!$AM$5:$AM$35,'3_보호자행동'!$AD$5:$AD$35,"ATT",'3_보호자행동'!$BG$5:$BG$35,"A")),"B","-")))</f>
        <v/>
      </c>
      <c r="S14" s="49">
        <f>IF((COUNTIFS('1_바디시그널'!$AD$5:$AD$36,"CON",'1_바디시그널'!$AM$5:$AM$36,"&gt;=1")+COUNTIFS('2_개행동'!$AD$5:$AD$26,"CON",'2_개행동'!$AM$5:$AM$26,"&gt;=1")+COUNTIFS('3_보호자행동'!$AD$5:$AD$35,"CON",'3_보호자행동'!$AM$5:$AM$35,"&gt;=1"))=0,"",MAX(_xlfn.MAXIFS('1_바디시그널'!$AM$5:$AM$36,'1_바디시그널'!$AD$5:$AD$36,"CON"),_xlfn.MAXIFS('2_개행동'!$AM$5:$AM$26,'2_개행동'!$AD$5:$AD$26,"CON"),_xlfn.MAXIFS('3_보호자행동'!$AM$5:$AM$35,'3_보호자행동'!$AD$5:$AD$35,"CON")))</f>
        <v/>
      </c>
      <c r="T14" s="49">
        <f>IF((COUNTIFS('1_바디시그널'!$AD$5:$AD$36,"CON",'1_바디시그널'!$AM$5:$AM$36,"&gt;=1")+COUNTIFS('2_개행동'!$AD$5:$AD$26,"CON",'2_개행동'!$AM$5:$AM$26,"&gt;=1")+COUNTIFS('3_보호자행동'!$AD$5:$AD$35,"CON",'3_보호자행동'!$AM$5:$AM$35,"&gt;=1"))=0,"",ROUND((SUMIFS('1_바디시그널'!$AM$5:$AM$36,'1_바디시그널'!$AD$5:$AD$36,"CON",'1_바디시그널'!$AM$5:$AM$36,"&gt;=1")+SUMIFS('2_개행동'!$AM$5:$AM$26,'2_개행동'!$AD$5:$AD$26,"CON",'2_개행동'!$AM$5:$AM$26,"&gt;=1")+SUMIFS('3_보호자행동'!$AM$5:$AM$35,'3_보호자행동'!$AD$5:$AD$35,"CON",'3_보호자행동'!$AM$5:$AM$35,"&gt;=1"))/(COUNTIFS('1_바디시그널'!$AD$5:$AD$36,"CON",'1_바디시그널'!$AM$5:$AM$36,"&gt;=1")+COUNTIFS('2_개행동'!$AD$5:$AD$26,"CON",'2_개행동'!$AM$5:$AM$26,"&gt;=1")+COUNTIFS('3_보호자행동'!$AD$5:$AD$35,"CON",'3_보호자행동'!$AM$5:$AM$35,"&gt;=1")),2))</f>
        <v/>
      </c>
      <c r="U14" s="49">
        <f>IF((COUNTIFS('1_바디시그널'!$AD$5:$AD$36,"CON",'1_바디시그널'!$AM$5:$AM$36,"&gt;=1")+COUNTIFS('2_개행동'!$AD$5:$AD$26,"CON",'2_개행동'!$AM$5:$AM$26,"&gt;=1")+COUNTIFS('3_보호자행동'!$AD$5:$AD$35,"CON",'3_보호자행동'!$AM$5:$AM$35,"&gt;=1"))=0,"",IF((SUMIFS('1_바디시그널'!$AM$5:$AM$36,'1_바디시그널'!$AD$5:$AD$36,"CON",'1_바디시그널'!$BG$5:$BG$36,"A")+SUMIFS('2_개행동'!$AM$5:$AM$26,'2_개행동'!$AD$5:$AD$26,"CON",'2_개행동'!$BG$5:$BG$26,"A")+SUMIFS('3_보호자행동'!$AM$5:$AM$35,'3_보호자행동'!$AD$5:$AD$35,"CON",'3_보호자행동'!$BG$5:$BG$35,"A"))&gt;(SUMIFS('1_바디시그널'!$AM$5:$AM$36,'1_바디시그널'!$AD$5:$AD$36,"CON",'1_바디시그널'!$BG$5:$BG$36,"B")+SUMIFS('2_개행동'!$AM$5:$AM$26,'2_개행동'!$AD$5:$AD$26,"CON",'2_개행동'!$BG$5:$BG$26,"B")+SUMIFS('3_보호자행동'!$AM$5:$AM$35,'3_보호자행동'!$AD$5:$AD$35,"CON",'3_보호자행동'!$BG$5:$BG$35,"B")),"A",IF((SUMIFS('1_바디시그널'!$AM$5:$AM$36,'1_바디시그널'!$AD$5:$AD$36,"CON",'1_바디시그널'!$BG$5:$BG$36,"B")+SUMIFS('2_개행동'!$AM$5:$AM$26,'2_개행동'!$AD$5:$AD$26,"CON",'2_개행동'!$BG$5:$BG$26,"B")+SUMIFS('3_보호자행동'!$AM$5:$AM$35,'3_보호자행동'!$AD$5:$AD$35,"CON",'3_보호자행동'!$BG$5:$BG$35,"B"))&gt;(SUMIFS('1_바디시그널'!$AM$5:$AM$36,'1_바디시그널'!$AD$5:$AD$36,"CON",'1_바디시그널'!$BG$5:$BG$36,"A")+SUMIFS('2_개행동'!$AM$5:$AM$26,'2_개행동'!$AD$5:$AD$26,"CON",'2_개행동'!$BG$5:$BG$26,"A")+SUMIFS('3_보호자행동'!$AM$5:$AM$35,'3_보호자행동'!$AD$5:$AD$35,"CON",'3_보호자행동'!$BG$5:$BG$35,"A")),"B","-")))</f>
        <v/>
      </c>
      <c r="V14" s="48">
        <f>IF(COUNT(X14:AA14)=0,"",ROUND(MAX(X14:AA14)-MIN(X14:AA14),2))</f>
        <v/>
      </c>
      <c r="W14" s="47" t="n"/>
      <c r="X14" s="49">
        <f>IFERROR(SUMIFS('3_보호자행동'!$AM$5:$AM$35,'3_보호자행동'!$A$5:$A$35,"입장",'3_보호자행동'!$AM$5:$AM$35,"&gt;=1")/COUNTIFS('3_보호자행동'!$A$5:$A$35,"입장",'3_보호자행동'!$AM$5:$AM$35,"&gt;=1"),"")</f>
        <v/>
      </c>
      <c r="Y14" s="49">
        <f>IFERROR(SUMIFS('3_보호자행동'!$AM$5:$AM$35,'3_보호자행동'!$A$5:$A$35,"분리",'3_보호자행동'!$AM$5:$AM$35,"&gt;=1")/COUNTIFS('3_보호자행동'!$A$5:$A$35,"분리",'3_보호자행동'!$AM$5:$AM$35,"&gt;=1"),"")</f>
        <v/>
      </c>
      <c r="Z14" s="49">
        <f>IFERROR(SUMIFS('3_보호자행동'!$AM$5:$AM$35,'3_보호자행동'!$A$5:$A$35,"훈련",'3_보호자행동'!$AM$5:$AM$35,"&gt;=1")/COUNTIFS('3_보호자행동'!$A$5:$A$35,"훈련",'3_보호자행동'!$AM$5:$AM$35,"&gt;=1"),"")</f>
        <v/>
      </c>
      <c r="AA14" s="49">
        <f>IFERROR(SUMIFS('3_보호자행동'!$AM$5:$AM$35,'3_보호자행동'!$A$5:$A$35,"놀이",'3_보호자행동'!$AM$5:$AM$35,"&gt;=1")/COUNTIFS('3_보호자행동'!$A$5:$A$35,"놀이",'3_보호자행동'!$AM$5:$AM$35,"&gt;=1"),"")</f>
        <v/>
      </c>
      <c r="AB14">
        <f>IF((COUNTIFS('1_바디시그널'!$AD$5:$AD$36,"TRN",'1_바디시그널'!$AM$5:$AM$36,"&gt;=1")+COUNTIFS('2_개행동'!$AD$5:$AD$26,"TRN",'2_개행동'!$AM$5:$AM$26,"&gt;=1")+COUNTIFS('3_보호자행동'!$AD$5:$AD$35,"TRN",'3_보호자행동'!$AM$5:$AM$35,"&gt;=1"))=0,"",MAX(_xlfn.MAXIFS('1_바디시그널'!$AM$5:$AM$36,'1_바디시그널'!$AD$5:$AD$36,"TRN"),_xlfn.MAXIFS('2_개행동'!$AM$5:$AM$26,'2_개행동'!$AD$5:$AD$26,"TRN"),_xlfn.MAXIFS('3_보호자행동'!$AM$5:$AM$35,'3_보호자행동'!$AD$5:$AD$35,"TRN")))</f>
        <v/>
      </c>
      <c r="AC14">
        <f>IF((COUNTIFS('1_바디시그널'!$AD$5:$AD$36,"TRN",'1_바디시그널'!$AM$5:$AM$36,"&gt;=1")+COUNTIFS('2_개행동'!$AD$5:$AD$26,"TRN",'2_개행동'!$AM$5:$AM$26,"&gt;=1")+COUNTIFS('3_보호자행동'!$AD$5:$AD$35,"TRN",'3_보호자행동'!$AM$5:$AM$35,"&gt;=1"))=0,"",ROUND((SUMIFS('1_바디시그널'!$AM$5:$AM$36,'1_바디시그널'!$AD$5:$AD$36,"TRN",'1_바디시그널'!$AM$5:$AM$36,"&gt;=1")+SUMIFS('2_개행동'!$AM$5:$AM$26,'2_개행동'!$AD$5:$AD$26,"TRN",'2_개행동'!$AM$5:$AM$26,"&gt;=1")+SUMIFS('3_보호자행동'!$AM$5:$AM$35,'3_보호자행동'!$AD$5:$AD$35,"TRN",'3_보호자행동'!$AM$5:$AM$35,"&gt;=1"))/(COUNTIFS('1_바디시그널'!$AD$5:$AD$36,"TRN",'1_바디시그널'!$AM$5:$AM$36,"&gt;=1")+COUNTIFS('2_개행동'!$AD$5:$AD$26,"TRN",'2_개행동'!$AM$5:$AM$26,"&gt;=1")+COUNTIFS('3_보호자행동'!$AD$5:$AD$35,"TRN",'3_보호자행동'!$AM$5:$AM$35,"&gt;=1")),2))</f>
        <v/>
      </c>
      <c r="AD14">
        <f>IF((COUNTIFS('1_바디시그널'!$AD$5:$AD$36,"TRN",'1_바디시그널'!$AM$5:$AM$36,"&gt;=1")+COUNTIFS('2_개행동'!$AD$5:$AD$26,"TRN",'2_개행동'!$AM$5:$AM$26,"&gt;=1")+COUNTIFS('3_보호자행동'!$AD$5:$AD$35,"TRN",'3_보호자행동'!$AM$5:$AM$35,"&gt;=1"))=0,"",IF((SUMIFS('1_바디시그널'!$AM$5:$AM$36,'1_바디시그널'!$AD$5:$AD$36,"TRN",'1_바디시그널'!$BG$5:$BG$36,"A")+SUMIFS('2_개행동'!$AM$5:$AM$26,'2_개행동'!$AD$5:$AD$26,"TRN",'2_개행동'!$BG$5:$BG$26,"A")+SUMIFS('3_보호자행동'!$AM$5:$AM$35,'3_보호자행동'!$AD$5:$AD$35,"TRN",'3_보호자행동'!$BG$5:$BG$35,"A"))&gt;(SUMIFS('1_바디시그널'!$AM$5:$AM$36,'1_바디시그널'!$AD$5:$AD$36,"TRN",'1_바디시그널'!$BG$5:$BG$36,"B")+SUMIFS('2_개행동'!$AM$5:$AM$26,'2_개행동'!$AD$5:$AD$26,"TRN",'2_개행동'!$BG$5:$BG$26,"B")+SUMIFS('3_보호자행동'!$AM$5:$AM$35,'3_보호자행동'!$AD$5:$AD$35,"TRN",'3_보호자행동'!$BG$5:$BG$35,"B")),"A",IF((SUMIFS('1_바디시그널'!$AM$5:$AM$36,'1_바디시그널'!$AD$5:$AD$36,"TRN",'1_바디시그널'!$BG$5:$BG$36,"B")+SUMIFS('2_개행동'!$AM$5:$AM$26,'2_개행동'!$AD$5:$AD$26,"TRN",'2_개행동'!$BG$5:$BG$26,"B")+SUMIFS('3_보호자행동'!$AM$5:$AM$35,'3_보호자행동'!$AD$5:$AD$35,"TRN",'3_보호자행동'!$BG$5:$BG$35,"B"))&gt;(SUMIFS('1_바디시그널'!$AM$5:$AM$36,'1_바디시그널'!$AD$5:$AD$36,"TRN",'1_바디시그널'!$BG$5:$BG$36,"A")+SUMIFS('2_개행동'!$AM$5:$AM$26,'2_개행동'!$AD$5:$AD$26,"TRN",'2_개행동'!$BG$5:$BG$26,"A")+SUMIFS('3_보호자행동'!$AM$5:$AM$35,'3_보호자행동'!$AD$5:$AD$35,"TRN",'3_보호자행동'!$BG$5:$BG$35,"A")),"B","-")))</f>
        <v/>
      </c>
      <c r="AE14">
        <f>IF('2_개행동'!$R$11="","",'2_개행동'!$R$11&amp;IF('2_개행동'!$R$11=3," [B]",IF('2_개행동'!$R$11=1,""," [A]")))</f>
        <v/>
      </c>
    </row>
    <row r="15" ht="18.75" customHeight="1" s="1">
      <c r="A15" s="46" t="n">
        <v>10</v>
      </c>
      <c r="B15" s="47" t="n"/>
      <c r="C15" s="47" t="n"/>
      <c r="D15" s="48">
        <f>IF((COUNTIFS('1_바디시그널'!$AD$5:$AD$36,"EDU",'1_바디시그널'!$AN$5:$AN$36,"&gt;=1")+COUNTIFS('2_개행동'!$AD$5:$AD$26,"EDU",'2_개행동'!$AN$5:$AN$26,"&gt;=1")+COUNTIFS('3_보호자행동'!$AD$5:$AD$35,"EDU",'3_보호자행동'!$AN$5:$AN$35,"&gt;=1"))=0,"",MAX(_xlfn.MAXIFS('1_바디시그널'!$AN$5:$AN$36,'1_바디시그널'!$AD$5:$AD$36,"EDU"),_xlfn.MAXIFS('2_개행동'!$AN$5:$AN$26,'2_개행동'!$AD$5:$AD$26,"EDU"),_xlfn.MAXIFS('3_보호자행동'!$AN$5:$AN$35,'3_보호자행동'!$AD$5:$AD$35,"EDU")))</f>
        <v/>
      </c>
      <c r="E15" s="49">
        <f>IF((COUNTIFS('1_바디시그널'!$AD$5:$AD$36,"EDU",'1_바디시그널'!$AN$5:$AN$36,"&gt;=1")+COUNTIFS('2_개행동'!$AD$5:$AD$26,"EDU",'2_개행동'!$AN$5:$AN$26,"&gt;=1")+COUNTIFS('3_보호자행동'!$AD$5:$AD$35,"EDU",'3_보호자행동'!$AN$5:$AN$35,"&gt;=1"))=0,"",ROUND((SUMIFS('1_바디시그널'!$AN$5:$AN$36,'1_바디시그널'!$AD$5:$AD$36,"EDU",'1_바디시그널'!$AN$5:$AN$36,"&gt;=1")+SUMIFS('2_개행동'!$AN$5:$AN$26,'2_개행동'!$AD$5:$AD$26,"EDU",'2_개행동'!$AN$5:$AN$26,"&gt;=1")+SUMIFS('3_보호자행동'!$AN$5:$AN$35,'3_보호자행동'!$AD$5:$AD$35,"EDU",'3_보호자행동'!$AN$5:$AN$35,"&gt;=1"))/(COUNTIFS('1_바디시그널'!$AD$5:$AD$36,"EDU",'1_바디시그널'!$AN$5:$AN$36,"&gt;=1")+COUNTIFS('2_개행동'!$AD$5:$AD$26,"EDU",'2_개행동'!$AN$5:$AN$26,"&gt;=1")+COUNTIFS('3_보호자행동'!$AD$5:$AD$35,"EDU",'3_보호자행동'!$AN$5:$AN$35,"&gt;=1")),2))</f>
        <v/>
      </c>
      <c r="F15" s="49">
        <f>IF((COUNTIFS('1_바디시그널'!$AD$5:$AD$36,"EDU",'1_바디시그널'!$AN$5:$AN$36,"&gt;=1")+COUNTIFS('2_개행동'!$AD$5:$AD$26,"EDU",'2_개행동'!$AN$5:$AN$26,"&gt;=1")+COUNTIFS('3_보호자행동'!$AD$5:$AD$35,"EDU",'3_보호자행동'!$AN$5:$AN$35,"&gt;=1"))=0,"",IF((SUMIFS('1_바디시그널'!$AN$5:$AN$36,'1_바디시그널'!$AD$5:$AD$36,"EDU",'1_바디시그널'!$BH$5:$BH$36,"A")+SUMIFS('2_개행동'!$AN$5:$AN$26,'2_개행동'!$AD$5:$AD$26,"EDU",'2_개행동'!$BH$5:$BH$26,"A")+SUMIFS('3_보호자행동'!$AN$5:$AN$35,'3_보호자행동'!$AD$5:$AD$35,"EDU",'3_보호자행동'!$BH$5:$BH$35,"A"))&gt;(SUMIFS('1_바디시그널'!$AN$5:$AN$36,'1_바디시그널'!$AD$5:$AD$36,"EDU",'1_바디시그널'!$BH$5:$BH$36,"B")+SUMIFS('2_개행동'!$AN$5:$AN$26,'2_개행동'!$AD$5:$AD$26,"EDU",'2_개행동'!$BH$5:$BH$26,"B")+SUMIFS('3_보호자행동'!$AN$5:$AN$35,'3_보호자행동'!$AD$5:$AD$35,"EDU",'3_보호자행동'!$BH$5:$BH$35,"B")),"A",IF((SUMIFS('1_바디시그널'!$AN$5:$AN$36,'1_바디시그널'!$AD$5:$AD$36,"EDU",'1_바디시그널'!$BH$5:$BH$36,"B")+SUMIFS('2_개행동'!$AN$5:$AN$26,'2_개행동'!$AD$5:$AD$26,"EDU",'2_개행동'!$BH$5:$BH$26,"B")+SUMIFS('3_보호자행동'!$AN$5:$AN$35,'3_보호자행동'!$AD$5:$AD$35,"EDU",'3_보호자행동'!$BH$5:$BH$35,"B"))&gt;(SUMIFS('1_바디시그널'!$AN$5:$AN$36,'1_바디시그널'!$AD$5:$AD$36,"EDU",'1_바디시그널'!$BH$5:$BH$36,"A")+SUMIFS('2_개행동'!$AN$5:$AN$26,'2_개행동'!$AD$5:$AD$26,"EDU",'2_개행동'!$BH$5:$BH$26,"A")+SUMIFS('3_보호자행동'!$AN$5:$AN$35,'3_보호자행동'!$AD$5:$AD$35,"EDU",'3_보호자행동'!$BH$5:$BH$35,"A")),"B","-")))</f>
        <v/>
      </c>
      <c r="G15" s="49">
        <f>IF((COUNTIFS('1_바디시그널'!$AD$5:$AD$36,"SOC_P",'1_바디시그널'!$AN$5:$AN$36,"&gt;=1")+COUNTIFS('2_개행동'!$AD$5:$AD$26,"SOC_P",'2_개행동'!$AN$5:$AN$26,"&gt;=1")+COUNTIFS('3_보호자행동'!$AD$5:$AD$35,"SOC_P",'3_보호자행동'!$AN$5:$AN$35,"&gt;=1"))=0,"",MAX(_xlfn.MAXIFS('1_바디시그널'!$AN$5:$AN$36,'1_바디시그널'!$AD$5:$AD$36,"SOC_P"),_xlfn.MAXIFS('2_개행동'!$AN$5:$AN$26,'2_개행동'!$AD$5:$AD$26,"SOC_P"),_xlfn.MAXIFS('3_보호자행동'!$AN$5:$AN$35,'3_보호자행동'!$AD$5:$AD$35,"SOC_P")))</f>
        <v/>
      </c>
      <c r="H15" s="49">
        <f>IF((COUNTIFS('1_바디시그널'!$AD$5:$AD$36,"SOC_P",'1_바디시그널'!$AN$5:$AN$36,"&gt;=1")+COUNTIFS('2_개행동'!$AD$5:$AD$26,"SOC_P",'2_개행동'!$AN$5:$AN$26,"&gt;=1")+COUNTIFS('3_보호자행동'!$AD$5:$AD$35,"SOC_P",'3_보호자행동'!$AN$5:$AN$35,"&gt;=1"))=0,"",ROUND((SUMIFS('1_바디시그널'!$AN$5:$AN$36,'1_바디시그널'!$AD$5:$AD$36,"SOC_P",'1_바디시그널'!$AN$5:$AN$36,"&gt;=1")+SUMIFS('2_개행동'!$AN$5:$AN$26,'2_개행동'!$AD$5:$AD$26,"SOC_P",'2_개행동'!$AN$5:$AN$26,"&gt;=1")+SUMIFS('3_보호자행동'!$AN$5:$AN$35,'3_보호자행동'!$AD$5:$AD$35,"SOC_P",'3_보호자행동'!$AN$5:$AN$35,"&gt;=1"))/(COUNTIFS('1_바디시그널'!$AD$5:$AD$36,"SOC_P",'1_바디시그널'!$AN$5:$AN$36,"&gt;=1")+COUNTIFS('2_개행동'!$AD$5:$AD$26,"SOC_P",'2_개행동'!$AN$5:$AN$26,"&gt;=1")+COUNTIFS('3_보호자행동'!$AD$5:$AD$35,"SOC_P",'3_보호자행동'!$AN$5:$AN$35,"&gt;=1")),2))</f>
        <v/>
      </c>
      <c r="I15" s="49">
        <f>IF((COUNTIFS('1_바디시그널'!$AD$5:$AD$36,"SOC_P",'1_바디시그널'!$AN$5:$AN$36,"&gt;=1")+COUNTIFS('2_개행동'!$AD$5:$AD$26,"SOC_P",'2_개행동'!$AN$5:$AN$26,"&gt;=1")+COUNTIFS('3_보호자행동'!$AD$5:$AD$35,"SOC_P",'3_보호자행동'!$AN$5:$AN$35,"&gt;=1"))=0,"",IF((SUMIFS('1_바디시그널'!$AN$5:$AN$36,'1_바디시그널'!$AD$5:$AD$36,"SOC_P",'1_바디시그널'!$BH$5:$BH$36,"A")+SUMIFS('2_개행동'!$AN$5:$AN$26,'2_개행동'!$AD$5:$AD$26,"SOC_P",'2_개행동'!$BH$5:$BH$26,"A")+SUMIFS('3_보호자행동'!$AN$5:$AN$35,'3_보호자행동'!$AD$5:$AD$35,"SOC_P",'3_보호자행동'!$BH$5:$BH$35,"A"))&gt;(SUMIFS('1_바디시그널'!$AN$5:$AN$36,'1_바디시그널'!$AD$5:$AD$36,"SOC_P",'1_바디시그널'!$BH$5:$BH$36,"B")+SUMIFS('2_개행동'!$AN$5:$AN$26,'2_개행동'!$AD$5:$AD$26,"SOC_P",'2_개행동'!$BH$5:$BH$26,"B")+SUMIFS('3_보호자행동'!$AN$5:$AN$35,'3_보호자행동'!$AD$5:$AD$35,"SOC_P",'3_보호자행동'!$BH$5:$BH$35,"B")),"A",IF((SUMIFS('1_바디시그널'!$AN$5:$AN$36,'1_바디시그널'!$AD$5:$AD$36,"SOC_P",'1_바디시그널'!$BH$5:$BH$36,"B")+SUMIFS('2_개행동'!$AN$5:$AN$26,'2_개행동'!$AD$5:$AD$26,"SOC_P",'2_개행동'!$BH$5:$BH$26,"B")+SUMIFS('3_보호자행동'!$AN$5:$AN$35,'3_보호자행동'!$AD$5:$AD$35,"SOC_P",'3_보호자행동'!$BH$5:$BH$35,"B"))&gt;(SUMIFS('1_바디시그널'!$AN$5:$AN$36,'1_바디시그널'!$AD$5:$AD$36,"SOC_P",'1_바디시그널'!$BH$5:$BH$36,"A")+SUMIFS('2_개행동'!$AN$5:$AN$26,'2_개행동'!$AD$5:$AD$26,"SOC_P",'2_개행동'!$BH$5:$BH$26,"A")+SUMIFS('3_보호자행동'!$AN$5:$AN$35,'3_보호자행동'!$AD$5:$AD$35,"SOC_P",'3_보호자행동'!$BH$5:$BH$35,"A")),"B","-")))</f>
        <v/>
      </c>
      <c r="J15" s="49">
        <f>IF((COUNTIFS('1_바디시그널'!$AD$5:$AD$36,"SOC_D",'1_바디시그널'!$AN$5:$AN$36,"&gt;=1")+COUNTIFS('2_개행동'!$AD$5:$AD$26,"SOC_D",'2_개행동'!$AN$5:$AN$26,"&gt;=1")+COUNTIFS('3_보호자행동'!$AD$5:$AD$35,"SOC_D",'3_보호자행동'!$AN$5:$AN$35,"&gt;=1"))=0,"",MAX(_xlfn.MAXIFS('1_바디시그널'!$AN$5:$AN$36,'1_바디시그널'!$AD$5:$AD$36,"SOC_D"),_xlfn.MAXIFS('2_개행동'!$AN$5:$AN$26,'2_개행동'!$AD$5:$AD$26,"SOC_D"),_xlfn.MAXIFS('3_보호자행동'!$AN$5:$AN$35,'3_보호자행동'!$AD$5:$AD$35,"SOC_D")))</f>
        <v/>
      </c>
      <c r="K15" s="49">
        <f>IF((COUNTIFS('1_바디시그널'!$AD$5:$AD$36,"SOC_D",'1_바디시그널'!$AN$5:$AN$36,"&gt;=1")+COUNTIFS('2_개행동'!$AD$5:$AD$26,"SOC_D",'2_개행동'!$AN$5:$AN$26,"&gt;=1")+COUNTIFS('3_보호자행동'!$AD$5:$AD$35,"SOC_D",'3_보호자행동'!$AN$5:$AN$35,"&gt;=1"))=0,"",ROUND((SUMIFS('1_바디시그널'!$AN$5:$AN$36,'1_바디시그널'!$AD$5:$AD$36,"SOC_D",'1_바디시그널'!$AN$5:$AN$36,"&gt;=1")+SUMIFS('2_개행동'!$AN$5:$AN$26,'2_개행동'!$AD$5:$AD$26,"SOC_D",'2_개행동'!$AN$5:$AN$26,"&gt;=1")+SUMIFS('3_보호자행동'!$AN$5:$AN$35,'3_보호자행동'!$AD$5:$AD$35,"SOC_D",'3_보호자행동'!$AN$5:$AN$35,"&gt;=1"))/(COUNTIFS('1_바디시그널'!$AD$5:$AD$36,"SOC_D",'1_바디시그널'!$AN$5:$AN$36,"&gt;=1")+COUNTIFS('2_개행동'!$AD$5:$AD$26,"SOC_D",'2_개행동'!$AN$5:$AN$26,"&gt;=1")+COUNTIFS('3_보호자행동'!$AD$5:$AD$35,"SOC_D",'3_보호자행동'!$AN$5:$AN$35,"&gt;=1")),2))</f>
        <v/>
      </c>
      <c r="L15" s="49">
        <f>IF((COUNTIFS('1_바디시그널'!$AD$5:$AD$36,"SOC_D",'1_바디시그널'!$AN$5:$AN$36,"&gt;=1")+COUNTIFS('2_개행동'!$AD$5:$AD$26,"SOC_D",'2_개행동'!$AN$5:$AN$26,"&gt;=1")+COUNTIFS('3_보호자행동'!$AD$5:$AD$35,"SOC_D",'3_보호자행동'!$AN$5:$AN$35,"&gt;=1"))=0,"",IF((SUMIFS('1_바디시그널'!$AN$5:$AN$36,'1_바디시그널'!$AD$5:$AD$36,"SOC_D",'1_바디시그널'!$BH$5:$BH$36,"A")+SUMIFS('2_개행동'!$AN$5:$AN$26,'2_개행동'!$AD$5:$AD$26,"SOC_D",'2_개행동'!$BH$5:$BH$26,"A")+SUMIFS('3_보호자행동'!$AN$5:$AN$35,'3_보호자행동'!$AD$5:$AD$35,"SOC_D",'3_보호자행동'!$BH$5:$BH$35,"A"))&gt;(SUMIFS('1_바디시그널'!$AN$5:$AN$36,'1_바디시그널'!$AD$5:$AD$36,"SOC_D",'1_바디시그널'!$BH$5:$BH$36,"B")+SUMIFS('2_개행동'!$AN$5:$AN$26,'2_개행동'!$AD$5:$AD$26,"SOC_D",'2_개행동'!$BH$5:$BH$26,"B")+SUMIFS('3_보호자행동'!$AN$5:$AN$35,'3_보호자행동'!$AD$5:$AD$35,"SOC_D",'3_보호자행동'!$BH$5:$BH$35,"B")),"A",IF((SUMIFS('1_바디시그널'!$AN$5:$AN$36,'1_바디시그널'!$AD$5:$AD$36,"SOC_D",'1_바디시그널'!$BH$5:$BH$36,"B")+SUMIFS('2_개행동'!$AN$5:$AN$26,'2_개행동'!$AD$5:$AD$26,"SOC_D",'2_개행동'!$BH$5:$BH$26,"B")+SUMIFS('3_보호자행동'!$AN$5:$AN$35,'3_보호자행동'!$AD$5:$AD$35,"SOC_D",'3_보호자행동'!$BH$5:$BH$35,"B"))&gt;(SUMIFS('1_바디시그널'!$AN$5:$AN$36,'1_바디시그널'!$AD$5:$AD$36,"SOC_D",'1_바디시그널'!$BH$5:$BH$36,"A")+SUMIFS('2_개행동'!$AN$5:$AN$26,'2_개행동'!$AD$5:$AD$26,"SOC_D",'2_개행동'!$BH$5:$BH$26,"A")+SUMIFS('3_보호자행동'!$AN$5:$AN$35,'3_보호자행동'!$AD$5:$AD$35,"SOC_D",'3_보호자행동'!$BH$5:$BH$35,"A")),"B","-")))</f>
        <v/>
      </c>
      <c r="M15" s="49">
        <f>IF((COUNTIFS('1_바디시그널'!$AD$5:$AD$36,"SOC_E",'1_바디시그널'!$AN$5:$AN$36,"&gt;=1")+COUNTIFS('2_개행동'!$AD$5:$AD$26,"SOC_E",'2_개행동'!$AN$5:$AN$26,"&gt;=1")+COUNTIFS('3_보호자행동'!$AD$5:$AD$35,"SOC_E",'3_보호자행동'!$AN$5:$AN$35,"&gt;=1"))=0,"",MAX(_xlfn.MAXIFS('1_바디시그널'!$AN$5:$AN$36,'1_바디시그널'!$AD$5:$AD$36,"SOC_E"),_xlfn.MAXIFS('2_개행동'!$AN$5:$AN$26,'2_개행동'!$AD$5:$AD$26,"SOC_E"),_xlfn.MAXIFS('3_보호자행동'!$AN$5:$AN$35,'3_보호자행동'!$AD$5:$AD$35,"SOC_E")))</f>
        <v/>
      </c>
      <c r="N15" s="49">
        <f>IF((COUNTIFS('1_바디시그널'!$AD$5:$AD$36,"SOC_E",'1_바디시그널'!$AN$5:$AN$36,"&gt;=1")+COUNTIFS('2_개행동'!$AD$5:$AD$26,"SOC_E",'2_개행동'!$AN$5:$AN$26,"&gt;=1")+COUNTIFS('3_보호자행동'!$AD$5:$AD$35,"SOC_E",'3_보호자행동'!$AN$5:$AN$35,"&gt;=1"))=0,"",ROUND((SUMIFS('1_바디시그널'!$AN$5:$AN$36,'1_바디시그널'!$AD$5:$AD$36,"SOC_E",'1_바디시그널'!$AN$5:$AN$36,"&gt;=1")+SUMIFS('2_개행동'!$AN$5:$AN$26,'2_개행동'!$AD$5:$AD$26,"SOC_E",'2_개행동'!$AN$5:$AN$26,"&gt;=1")+SUMIFS('3_보호자행동'!$AN$5:$AN$35,'3_보호자행동'!$AD$5:$AD$35,"SOC_E",'3_보호자행동'!$AN$5:$AN$35,"&gt;=1"))/(COUNTIFS('1_바디시그널'!$AD$5:$AD$36,"SOC_E",'1_바디시그널'!$AN$5:$AN$36,"&gt;=1")+COUNTIFS('2_개행동'!$AD$5:$AD$26,"SOC_E",'2_개행동'!$AN$5:$AN$26,"&gt;=1")+COUNTIFS('3_보호자행동'!$AD$5:$AD$35,"SOC_E",'3_보호자행동'!$AN$5:$AN$35,"&gt;=1")),2))</f>
        <v/>
      </c>
      <c r="O15" s="49">
        <f>IF((COUNTIFS('1_바디시그널'!$AD$5:$AD$36,"SOC_E",'1_바디시그널'!$AN$5:$AN$36,"&gt;=1")+COUNTIFS('2_개행동'!$AD$5:$AD$26,"SOC_E",'2_개행동'!$AN$5:$AN$26,"&gt;=1")+COUNTIFS('3_보호자행동'!$AD$5:$AD$35,"SOC_E",'3_보호자행동'!$AN$5:$AN$35,"&gt;=1"))=0,"",IF((SUMIFS('1_바디시그널'!$AN$5:$AN$36,'1_바디시그널'!$AD$5:$AD$36,"SOC_E",'1_바디시그널'!$BH$5:$BH$36,"A")+SUMIFS('2_개행동'!$AN$5:$AN$26,'2_개행동'!$AD$5:$AD$26,"SOC_E",'2_개행동'!$BH$5:$BH$26,"A")+SUMIFS('3_보호자행동'!$AN$5:$AN$35,'3_보호자행동'!$AD$5:$AD$35,"SOC_E",'3_보호자행동'!$BH$5:$BH$35,"A"))&gt;(SUMIFS('1_바디시그널'!$AN$5:$AN$36,'1_바디시그널'!$AD$5:$AD$36,"SOC_E",'1_바디시그널'!$BH$5:$BH$36,"B")+SUMIFS('2_개행동'!$AN$5:$AN$26,'2_개행동'!$AD$5:$AD$26,"SOC_E",'2_개행동'!$BH$5:$BH$26,"B")+SUMIFS('3_보호자행동'!$AN$5:$AN$35,'3_보호자행동'!$AD$5:$AD$35,"SOC_E",'3_보호자행동'!$BH$5:$BH$35,"B")),"A",IF((SUMIFS('1_바디시그널'!$AN$5:$AN$36,'1_바디시그널'!$AD$5:$AD$36,"SOC_E",'1_바디시그널'!$BH$5:$BH$36,"B")+SUMIFS('2_개행동'!$AN$5:$AN$26,'2_개행동'!$AD$5:$AD$26,"SOC_E",'2_개행동'!$BH$5:$BH$26,"B")+SUMIFS('3_보호자행동'!$AN$5:$AN$35,'3_보호자행동'!$AD$5:$AD$35,"SOC_E",'3_보호자행동'!$BH$5:$BH$35,"B"))&gt;(SUMIFS('1_바디시그널'!$AN$5:$AN$36,'1_바디시그널'!$AD$5:$AD$36,"SOC_E",'1_바디시그널'!$BH$5:$BH$36,"A")+SUMIFS('2_개행동'!$AN$5:$AN$26,'2_개행동'!$AD$5:$AD$26,"SOC_E",'2_개행동'!$BH$5:$BH$26,"A")+SUMIFS('3_보호자행동'!$AN$5:$AN$35,'3_보호자행동'!$AD$5:$AD$35,"SOC_E",'3_보호자행동'!$BH$5:$BH$35,"A")),"B","-")))</f>
        <v/>
      </c>
      <c r="P15" s="49">
        <f>IF((COUNTIFS('1_바디시그널'!$AD$5:$AD$36,"ATT",'1_바디시그널'!$AN$5:$AN$36,"&gt;=1")+COUNTIFS('2_개행동'!$AD$5:$AD$26,"ATT",'2_개행동'!$AN$5:$AN$26,"&gt;=1")+COUNTIFS('3_보호자행동'!$AD$5:$AD$35,"ATT",'3_보호자행동'!$AN$5:$AN$35,"&gt;=1"))=0,"",MAX(_xlfn.MAXIFS('1_바디시그널'!$AN$5:$AN$36,'1_바디시그널'!$AD$5:$AD$36,"ATT"),_xlfn.MAXIFS('2_개행동'!$AN$5:$AN$26,'2_개행동'!$AD$5:$AD$26,"ATT"),_xlfn.MAXIFS('3_보호자행동'!$AN$5:$AN$35,'3_보호자행동'!$AD$5:$AD$35,"ATT")))</f>
        <v/>
      </c>
      <c r="Q15" s="49">
        <f>IF((COUNTIFS('1_바디시그널'!$AD$5:$AD$36,"ATT",'1_바디시그널'!$AN$5:$AN$36,"&gt;=1")+COUNTIFS('2_개행동'!$AD$5:$AD$26,"ATT",'2_개행동'!$AN$5:$AN$26,"&gt;=1")+COUNTIFS('3_보호자행동'!$AD$5:$AD$35,"ATT",'3_보호자행동'!$AN$5:$AN$35,"&gt;=1"))=0,"",ROUND((SUMIFS('1_바디시그널'!$AN$5:$AN$36,'1_바디시그널'!$AD$5:$AD$36,"ATT",'1_바디시그널'!$AN$5:$AN$36,"&gt;=1")+SUMIFS('2_개행동'!$AN$5:$AN$26,'2_개행동'!$AD$5:$AD$26,"ATT",'2_개행동'!$AN$5:$AN$26,"&gt;=1")+SUMIFS('3_보호자행동'!$AN$5:$AN$35,'3_보호자행동'!$AD$5:$AD$35,"ATT",'3_보호자행동'!$AN$5:$AN$35,"&gt;=1"))/(COUNTIFS('1_바디시그널'!$AD$5:$AD$36,"ATT",'1_바디시그널'!$AN$5:$AN$36,"&gt;=1")+COUNTIFS('2_개행동'!$AD$5:$AD$26,"ATT",'2_개행동'!$AN$5:$AN$26,"&gt;=1")+COUNTIFS('3_보호자행동'!$AD$5:$AD$35,"ATT",'3_보호자행동'!$AN$5:$AN$35,"&gt;=1")),2))</f>
        <v/>
      </c>
      <c r="R15" s="49">
        <f>IF((COUNTIFS('1_바디시그널'!$AD$5:$AD$36,"ATT",'1_바디시그널'!$AN$5:$AN$36,"&gt;=1")+COUNTIFS('2_개행동'!$AD$5:$AD$26,"ATT",'2_개행동'!$AN$5:$AN$26,"&gt;=1")+COUNTIFS('3_보호자행동'!$AD$5:$AD$35,"ATT",'3_보호자행동'!$AN$5:$AN$35,"&gt;=1"))=0,"",IF((SUMIFS('1_바디시그널'!$AN$5:$AN$36,'1_바디시그널'!$AD$5:$AD$36,"ATT",'1_바디시그널'!$BH$5:$BH$36,"A")+SUMIFS('2_개행동'!$AN$5:$AN$26,'2_개행동'!$AD$5:$AD$26,"ATT",'2_개행동'!$BH$5:$BH$26,"A")+SUMIFS('3_보호자행동'!$AN$5:$AN$35,'3_보호자행동'!$AD$5:$AD$35,"ATT",'3_보호자행동'!$BH$5:$BH$35,"A"))&gt;(SUMIFS('1_바디시그널'!$AN$5:$AN$36,'1_바디시그널'!$AD$5:$AD$36,"ATT",'1_바디시그널'!$BH$5:$BH$36,"B")+SUMIFS('2_개행동'!$AN$5:$AN$26,'2_개행동'!$AD$5:$AD$26,"ATT",'2_개행동'!$BH$5:$BH$26,"B")+SUMIFS('3_보호자행동'!$AN$5:$AN$35,'3_보호자행동'!$AD$5:$AD$35,"ATT",'3_보호자행동'!$BH$5:$BH$35,"B")),"A",IF((SUMIFS('1_바디시그널'!$AN$5:$AN$36,'1_바디시그널'!$AD$5:$AD$36,"ATT",'1_바디시그널'!$BH$5:$BH$36,"B")+SUMIFS('2_개행동'!$AN$5:$AN$26,'2_개행동'!$AD$5:$AD$26,"ATT",'2_개행동'!$BH$5:$BH$26,"B")+SUMIFS('3_보호자행동'!$AN$5:$AN$35,'3_보호자행동'!$AD$5:$AD$35,"ATT",'3_보호자행동'!$BH$5:$BH$35,"B"))&gt;(SUMIFS('1_바디시그널'!$AN$5:$AN$36,'1_바디시그널'!$AD$5:$AD$36,"ATT",'1_바디시그널'!$BH$5:$BH$36,"A")+SUMIFS('2_개행동'!$AN$5:$AN$26,'2_개행동'!$AD$5:$AD$26,"ATT",'2_개행동'!$BH$5:$BH$26,"A")+SUMIFS('3_보호자행동'!$AN$5:$AN$35,'3_보호자행동'!$AD$5:$AD$35,"ATT",'3_보호자행동'!$BH$5:$BH$35,"A")),"B","-")))</f>
        <v/>
      </c>
      <c r="S15" s="49">
        <f>IF((COUNTIFS('1_바디시그널'!$AD$5:$AD$36,"CON",'1_바디시그널'!$AN$5:$AN$36,"&gt;=1")+COUNTIFS('2_개행동'!$AD$5:$AD$26,"CON",'2_개행동'!$AN$5:$AN$26,"&gt;=1")+COUNTIFS('3_보호자행동'!$AD$5:$AD$35,"CON",'3_보호자행동'!$AN$5:$AN$35,"&gt;=1"))=0,"",MAX(_xlfn.MAXIFS('1_바디시그널'!$AN$5:$AN$36,'1_바디시그널'!$AD$5:$AD$36,"CON"),_xlfn.MAXIFS('2_개행동'!$AN$5:$AN$26,'2_개행동'!$AD$5:$AD$26,"CON"),_xlfn.MAXIFS('3_보호자행동'!$AN$5:$AN$35,'3_보호자행동'!$AD$5:$AD$35,"CON")))</f>
        <v/>
      </c>
      <c r="T15" s="49">
        <f>IF((COUNTIFS('1_바디시그널'!$AD$5:$AD$36,"CON",'1_바디시그널'!$AN$5:$AN$36,"&gt;=1")+COUNTIFS('2_개행동'!$AD$5:$AD$26,"CON",'2_개행동'!$AN$5:$AN$26,"&gt;=1")+COUNTIFS('3_보호자행동'!$AD$5:$AD$35,"CON",'3_보호자행동'!$AN$5:$AN$35,"&gt;=1"))=0,"",ROUND((SUMIFS('1_바디시그널'!$AN$5:$AN$36,'1_바디시그널'!$AD$5:$AD$36,"CON",'1_바디시그널'!$AN$5:$AN$36,"&gt;=1")+SUMIFS('2_개행동'!$AN$5:$AN$26,'2_개행동'!$AD$5:$AD$26,"CON",'2_개행동'!$AN$5:$AN$26,"&gt;=1")+SUMIFS('3_보호자행동'!$AN$5:$AN$35,'3_보호자행동'!$AD$5:$AD$35,"CON",'3_보호자행동'!$AN$5:$AN$35,"&gt;=1"))/(COUNTIFS('1_바디시그널'!$AD$5:$AD$36,"CON",'1_바디시그널'!$AN$5:$AN$36,"&gt;=1")+COUNTIFS('2_개행동'!$AD$5:$AD$26,"CON",'2_개행동'!$AN$5:$AN$26,"&gt;=1")+COUNTIFS('3_보호자행동'!$AD$5:$AD$35,"CON",'3_보호자행동'!$AN$5:$AN$35,"&gt;=1")),2))</f>
        <v/>
      </c>
      <c r="U15" s="49">
        <f>IF((COUNTIFS('1_바디시그널'!$AD$5:$AD$36,"CON",'1_바디시그널'!$AN$5:$AN$36,"&gt;=1")+COUNTIFS('2_개행동'!$AD$5:$AD$26,"CON",'2_개행동'!$AN$5:$AN$26,"&gt;=1")+COUNTIFS('3_보호자행동'!$AD$5:$AD$35,"CON",'3_보호자행동'!$AN$5:$AN$35,"&gt;=1"))=0,"",IF((SUMIFS('1_바디시그널'!$AN$5:$AN$36,'1_바디시그널'!$AD$5:$AD$36,"CON",'1_바디시그널'!$BH$5:$BH$36,"A")+SUMIFS('2_개행동'!$AN$5:$AN$26,'2_개행동'!$AD$5:$AD$26,"CON",'2_개행동'!$BH$5:$BH$26,"A")+SUMIFS('3_보호자행동'!$AN$5:$AN$35,'3_보호자행동'!$AD$5:$AD$35,"CON",'3_보호자행동'!$BH$5:$BH$35,"A"))&gt;(SUMIFS('1_바디시그널'!$AN$5:$AN$36,'1_바디시그널'!$AD$5:$AD$36,"CON",'1_바디시그널'!$BH$5:$BH$36,"B")+SUMIFS('2_개행동'!$AN$5:$AN$26,'2_개행동'!$AD$5:$AD$26,"CON",'2_개행동'!$BH$5:$BH$26,"B")+SUMIFS('3_보호자행동'!$AN$5:$AN$35,'3_보호자행동'!$AD$5:$AD$35,"CON",'3_보호자행동'!$BH$5:$BH$35,"B")),"A",IF((SUMIFS('1_바디시그널'!$AN$5:$AN$36,'1_바디시그널'!$AD$5:$AD$36,"CON",'1_바디시그널'!$BH$5:$BH$36,"B")+SUMIFS('2_개행동'!$AN$5:$AN$26,'2_개행동'!$AD$5:$AD$26,"CON",'2_개행동'!$BH$5:$BH$26,"B")+SUMIFS('3_보호자행동'!$AN$5:$AN$35,'3_보호자행동'!$AD$5:$AD$35,"CON",'3_보호자행동'!$BH$5:$BH$35,"B"))&gt;(SUMIFS('1_바디시그널'!$AN$5:$AN$36,'1_바디시그널'!$AD$5:$AD$36,"CON",'1_바디시그널'!$BH$5:$BH$36,"A")+SUMIFS('2_개행동'!$AN$5:$AN$26,'2_개행동'!$AD$5:$AD$26,"CON",'2_개행동'!$BH$5:$BH$26,"A")+SUMIFS('3_보호자행동'!$AN$5:$AN$35,'3_보호자행동'!$AD$5:$AD$35,"CON",'3_보호자행동'!$BH$5:$BH$35,"A")),"B","-")))</f>
        <v/>
      </c>
      <c r="V15" s="48">
        <f>IF(COUNT(X15:AA15)=0,"",ROUND(MAX(X15:AA15)-MIN(X15:AA15),2))</f>
        <v/>
      </c>
      <c r="W15" s="47" t="n"/>
      <c r="X15" s="49">
        <f>IFERROR(SUMIFS('3_보호자행동'!$AN$5:$AN$35,'3_보호자행동'!$A$5:$A$35,"입장",'3_보호자행동'!$AN$5:$AN$35,"&gt;=1")/COUNTIFS('3_보호자행동'!$A$5:$A$35,"입장",'3_보호자행동'!$AN$5:$AN$35,"&gt;=1"),"")</f>
        <v/>
      </c>
      <c r="Y15" s="49">
        <f>IFERROR(SUMIFS('3_보호자행동'!$AN$5:$AN$35,'3_보호자행동'!$A$5:$A$35,"분리",'3_보호자행동'!$AN$5:$AN$35,"&gt;=1")/COUNTIFS('3_보호자행동'!$A$5:$A$35,"분리",'3_보호자행동'!$AN$5:$AN$35,"&gt;=1"),"")</f>
        <v/>
      </c>
      <c r="Z15" s="49">
        <f>IFERROR(SUMIFS('3_보호자행동'!$AN$5:$AN$35,'3_보호자행동'!$A$5:$A$35,"훈련",'3_보호자행동'!$AN$5:$AN$35,"&gt;=1")/COUNTIFS('3_보호자행동'!$A$5:$A$35,"훈련",'3_보호자행동'!$AN$5:$AN$35,"&gt;=1"),"")</f>
        <v/>
      </c>
      <c r="AA15" s="49">
        <f>IFERROR(SUMIFS('3_보호자행동'!$AN$5:$AN$35,'3_보호자행동'!$A$5:$A$35,"놀이",'3_보호자행동'!$AN$5:$AN$35,"&gt;=1")/COUNTIFS('3_보호자행동'!$A$5:$A$35,"놀이",'3_보호자행동'!$AN$5:$AN$35,"&gt;=1"),"")</f>
        <v/>
      </c>
      <c r="AB15">
        <f>IF((COUNTIFS('1_바디시그널'!$AD$5:$AD$36,"TRN",'1_바디시그널'!$AN$5:$AN$36,"&gt;=1")+COUNTIFS('2_개행동'!$AD$5:$AD$26,"TRN",'2_개행동'!$AN$5:$AN$26,"&gt;=1")+COUNTIFS('3_보호자행동'!$AD$5:$AD$35,"TRN",'3_보호자행동'!$AN$5:$AN$35,"&gt;=1"))=0,"",MAX(_xlfn.MAXIFS('1_바디시그널'!$AN$5:$AN$36,'1_바디시그널'!$AD$5:$AD$36,"TRN"),_xlfn.MAXIFS('2_개행동'!$AN$5:$AN$26,'2_개행동'!$AD$5:$AD$26,"TRN"),_xlfn.MAXIFS('3_보호자행동'!$AN$5:$AN$35,'3_보호자행동'!$AD$5:$AD$35,"TRN")))</f>
        <v/>
      </c>
      <c r="AC15">
        <f>IF((COUNTIFS('1_바디시그널'!$AD$5:$AD$36,"TRN",'1_바디시그널'!$AN$5:$AN$36,"&gt;=1")+COUNTIFS('2_개행동'!$AD$5:$AD$26,"TRN",'2_개행동'!$AN$5:$AN$26,"&gt;=1")+COUNTIFS('3_보호자행동'!$AD$5:$AD$35,"TRN",'3_보호자행동'!$AN$5:$AN$35,"&gt;=1"))=0,"",ROUND((SUMIFS('1_바디시그널'!$AN$5:$AN$36,'1_바디시그널'!$AD$5:$AD$36,"TRN",'1_바디시그널'!$AN$5:$AN$36,"&gt;=1")+SUMIFS('2_개행동'!$AN$5:$AN$26,'2_개행동'!$AD$5:$AD$26,"TRN",'2_개행동'!$AN$5:$AN$26,"&gt;=1")+SUMIFS('3_보호자행동'!$AN$5:$AN$35,'3_보호자행동'!$AD$5:$AD$35,"TRN",'3_보호자행동'!$AN$5:$AN$35,"&gt;=1"))/(COUNTIFS('1_바디시그널'!$AD$5:$AD$36,"TRN",'1_바디시그널'!$AN$5:$AN$36,"&gt;=1")+COUNTIFS('2_개행동'!$AD$5:$AD$26,"TRN",'2_개행동'!$AN$5:$AN$26,"&gt;=1")+COUNTIFS('3_보호자행동'!$AD$5:$AD$35,"TRN",'3_보호자행동'!$AN$5:$AN$35,"&gt;=1")),2))</f>
        <v/>
      </c>
      <c r="AD15">
        <f>IF((COUNTIFS('1_바디시그널'!$AD$5:$AD$36,"TRN",'1_바디시그널'!$AN$5:$AN$36,"&gt;=1")+COUNTIFS('2_개행동'!$AD$5:$AD$26,"TRN",'2_개행동'!$AN$5:$AN$26,"&gt;=1")+COUNTIFS('3_보호자행동'!$AD$5:$AD$35,"TRN",'3_보호자행동'!$AN$5:$AN$35,"&gt;=1"))=0,"",IF((SUMIFS('1_바디시그널'!$AN$5:$AN$36,'1_바디시그널'!$AD$5:$AD$36,"TRN",'1_바디시그널'!$BH$5:$BH$36,"A")+SUMIFS('2_개행동'!$AN$5:$AN$26,'2_개행동'!$AD$5:$AD$26,"TRN",'2_개행동'!$BH$5:$BH$26,"A")+SUMIFS('3_보호자행동'!$AN$5:$AN$35,'3_보호자행동'!$AD$5:$AD$35,"TRN",'3_보호자행동'!$BH$5:$BH$35,"A"))&gt;(SUMIFS('1_바디시그널'!$AN$5:$AN$36,'1_바디시그널'!$AD$5:$AD$36,"TRN",'1_바디시그널'!$BH$5:$BH$36,"B")+SUMIFS('2_개행동'!$AN$5:$AN$26,'2_개행동'!$AD$5:$AD$26,"TRN",'2_개행동'!$BH$5:$BH$26,"B")+SUMIFS('3_보호자행동'!$AN$5:$AN$35,'3_보호자행동'!$AD$5:$AD$35,"TRN",'3_보호자행동'!$BH$5:$BH$35,"B")),"A",IF((SUMIFS('1_바디시그널'!$AN$5:$AN$36,'1_바디시그널'!$AD$5:$AD$36,"TRN",'1_바디시그널'!$BH$5:$BH$36,"B")+SUMIFS('2_개행동'!$AN$5:$AN$26,'2_개행동'!$AD$5:$AD$26,"TRN",'2_개행동'!$BH$5:$BH$26,"B")+SUMIFS('3_보호자행동'!$AN$5:$AN$35,'3_보호자행동'!$AD$5:$AD$35,"TRN",'3_보호자행동'!$BH$5:$BH$35,"B"))&gt;(SUMIFS('1_바디시그널'!$AN$5:$AN$36,'1_바디시그널'!$AD$5:$AD$36,"TRN",'1_바디시그널'!$BH$5:$BH$36,"A")+SUMIFS('2_개행동'!$AN$5:$AN$26,'2_개행동'!$AD$5:$AD$26,"TRN",'2_개행동'!$BH$5:$BH$26,"A")+SUMIFS('3_보호자행동'!$AN$5:$AN$35,'3_보호자행동'!$AD$5:$AD$35,"TRN",'3_보호자행동'!$BH$5:$BH$35,"A")),"B","-")))</f>
        <v/>
      </c>
      <c r="AE15">
        <f>IF('2_개행동'!$S$11="","",'2_개행동'!$S$11&amp;IF('2_개행동'!$S$11=3," [B]",IF('2_개행동'!$S$11=1,""," [A]")))</f>
        <v/>
      </c>
    </row>
    <row r="16" ht="18.75" customHeight="1" s="1">
      <c r="A16" s="46" t="n">
        <v>11</v>
      </c>
      <c r="B16" s="47" t="n"/>
      <c r="C16" s="47" t="n"/>
      <c r="D16" s="48">
        <f>IF((COUNTIFS('1_바디시그널'!$AD$5:$AD$36,"EDU",'1_바디시그널'!$AO$5:$AO$36,"&gt;=1")+COUNTIFS('2_개행동'!$AD$5:$AD$26,"EDU",'2_개행동'!$AO$5:$AO$26,"&gt;=1")+COUNTIFS('3_보호자행동'!$AD$5:$AD$35,"EDU",'3_보호자행동'!$AO$5:$AO$35,"&gt;=1"))=0,"",MAX(_xlfn.MAXIFS('1_바디시그널'!$AO$5:$AO$36,'1_바디시그널'!$AD$5:$AD$36,"EDU"),_xlfn.MAXIFS('2_개행동'!$AO$5:$AO$26,'2_개행동'!$AD$5:$AD$26,"EDU"),_xlfn.MAXIFS('3_보호자행동'!$AO$5:$AO$35,'3_보호자행동'!$AD$5:$AD$35,"EDU")))</f>
        <v/>
      </c>
      <c r="E16" s="49">
        <f>IF((COUNTIFS('1_바디시그널'!$AD$5:$AD$36,"EDU",'1_바디시그널'!$AO$5:$AO$36,"&gt;=1")+COUNTIFS('2_개행동'!$AD$5:$AD$26,"EDU",'2_개행동'!$AO$5:$AO$26,"&gt;=1")+COUNTIFS('3_보호자행동'!$AD$5:$AD$35,"EDU",'3_보호자행동'!$AO$5:$AO$35,"&gt;=1"))=0,"",ROUND((SUMIFS('1_바디시그널'!$AO$5:$AO$36,'1_바디시그널'!$AD$5:$AD$36,"EDU",'1_바디시그널'!$AO$5:$AO$36,"&gt;=1")+SUMIFS('2_개행동'!$AO$5:$AO$26,'2_개행동'!$AD$5:$AD$26,"EDU",'2_개행동'!$AO$5:$AO$26,"&gt;=1")+SUMIFS('3_보호자행동'!$AO$5:$AO$35,'3_보호자행동'!$AD$5:$AD$35,"EDU",'3_보호자행동'!$AO$5:$AO$35,"&gt;=1"))/(COUNTIFS('1_바디시그널'!$AD$5:$AD$36,"EDU",'1_바디시그널'!$AO$5:$AO$36,"&gt;=1")+COUNTIFS('2_개행동'!$AD$5:$AD$26,"EDU",'2_개행동'!$AO$5:$AO$26,"&gt;=1")+COUNTIFS('3_보호자행동'!$AD$5:$AD$35,"EDU",'3_보호자행동'!$AO$5:$AO$35,"&gt;=1")),2))</f>
        <v/>
      </c>
      <c r="F16" s="49">
        <f>IF((COUNTIFS('1_바디시그널'!$AD$5:$AD$36,"EDU",'1_바디시그널'!$AO$5:$AO$36,"&gt;=1")+COUNTIFS('2_개행동'!$AD$5:$AD$26,"EDU",'2_개행동'!$AO$5:$AO$26,"&gt;=1")+COUNTIFS('3_보호자행동'!$AD$5:$AD$35,"EDU",'3_보호자행동'!$AO$5:$AO$35,"&gt;=1"))=0,"",IF((SUMIFS('1_바디시그널'!$AO$5:$AO$36,'1_바디시그널'!$AD$5:$AD$36,"EDU",'1_바디시그널'!$BI$5:$BI$36,"A")+SUMIFS('2_개행동'!$AO$5:$AO$26,'2_개행동'!$AD$5:$AD$26,"EDU",'2_개행동'!$BI$5:$BI$26,"A")+SUMIFS('3_보호자행동'!$AO$5:$AO$35,'3_보호자행동'!$AD$5:$AD$35,"EDU",'3_보호자행동'!$BI$5:$BI$35,"A"))&gt;(SUMIFS('1_바디시그널'!$AO$5:$AO$36,'1_바디시그널'!$AD$5:$AD$36,"EDU",'1_바디시그널'!$BI$5:$BI$36,"B")+SUMIFS('2_개행동'!$AO$5:$AO$26,'2_개행동'!$AD$5:$AD$26,"EDU",'2_개행동'!$BI$5:$BI$26,"B")+SUMIFS('3_보호자행동'!$AO$5:$AO$35,'3_보호자행동'!$AD$5:$AD$35,"EDU",'3_보호자행동'!$BI$5:$BI$35,"B")),"A",IF((SUMIFS('1_바디시그널'!$AO$5:$AO$36,'1_바디시그널'!$AD$5:$AD$36,"EDU",'1_바디시그널'!$BI$5:$BI$36,"B")+SUMIFS('2_개행동'!$AO$5:$AO$26,'2_개행동'!$AD$5:$AD$26,"EDU",'2_개행동'!$BI$5:$BI$26,"B")+SUMIFS('3_보호자행동'!$AO$5:$AO$35,'3_보호자행동'!$AD$5:$AD$35,"EDU",'3_보호자행동'!$BI$5:$BI$35,"B"))&gt;(SUMIFS('1_바디시그널'!$AO$5:$AO$36,'1_바디시그널'!$AD$5:$AD$36,"EDU",'1_바디시그널'!$BI$5:$BI$36,"A")+SUMIFS('2_개행동'!$AO$5:$AO$26,'2_개행동'!$AD$5:$AD$26,"EDU",'2_개행동'!$BI$5:$BI$26,"A")+SUMIFS('3_보호자행동'!$AO$5:$AO$35,'3_보호자행동'!$AD$5:$AD$35,"EDU",'3_보호자행동'!$BI$5:$BI$35,"A")),"B","-")))</f>
        <v/>
      </c>
      <c r="G16" s="49">
        <f>IF((COUNTIFS('1_바디시그널'!$AD$5:$AD$36,"SOC_P",'1_바디시그널'!$AO$5:$AO$36,"&gt;=1")+COUNTIFS('2_개행동'!$AD$5:$AD$26,"SOC_P",'2_개행동'!$AO$5:$AO$26,"&gt;=1")+COUNTIFS('3_보호자행동'!$AD$5:$AD$35,"SOC_P",'3_보호자행동'!$AO$5:$AO$35,"&gt;=1"))=0,"",MAX(_xlfn.MAXIFS('1_바디시그널'!$AO$5:$AO$36,'1_바디시그널'!$AD$5:$AD$36,"SOC_P"),_xlfn.MAXIFS('2_개행동'!$AO$5:$AO$26,'2_개행동'!$AD$5:$AD$26,"SOC_P"),_xlfn.MAXIFS('3_보호자행동'!$AO$5:$AO$35,'3_보호자행동'!$AD$5:$AD$35,"SOC_P")))</f>
        <v/>
      </c>
      <c r="H16" s="49">
        <f>IF((COUNTIFS('1_바디시그널'!$AD$5:$AD$36,"SOC_P",'1_바디시그널'!$AO$5:$AO$36,"&gt;=1")+COUNTIFS('2_개행동'!$AD$5:$AD$26,"SOC_P",'2_개행동'!$AO$5:$AO$26,"&gt;=1")+COUNTIFS('3_보호자행동'!$AD$5:$AD$35,"SOC_P",'3_보호자행동'!$AO$5:$AO$35,"&gt;=1"))=0,"",ROUND((SUMIFS('1_바디시그널'!$AO$5:$AO$36,'1_바디시그널'!$AD$5:$AD$36,"SOC_P",'1_바디시그널'!$AO$5:$AO$36,"&gt;=1")+SUMIFS('2_개행동'!$AO$5:$AO$26,'2_개행동'!$AD$5:$AD$26,"SOC_P",'2_개행동'!$AO$5:$AO$26,"&gt;=1")+SUMIFS('3_보호자행동'!$AO$5:$AO$35,'3_보호자행동'!$AD$5:$AD$35,"SOC_P",'3_보호자행동'!$AO$5:$AO$35,"&gt;=1"))/(COUNTIFS('1_바디시그널'!$AD$5:$AD$36,"SOC_P",'1_바디시그널'!$AO$5:$AO$36,"&gt;=1")+COUNTIFS('2_개행동'!$AD$5:$AD$26,"SOC_P",'2_개행동'!$AO$5:$AO$26,"&gt;=1")+COUNTIFS('3_보호자행동'!$AD$5:$AD$35,"SOC_P",'3_보호자행동'!$AO$5:$AO$35,"&gt;=1")),2))</f>
        <v/>
      </c>
      <c r="I16" s="49">
        <f>IF((COUNTIFS('1_바디시그널'!$AD$5:$AD$36,"SOC_P",'1_바디시그널'!$AO$5:$AO$36,"&gt;=1")+COUNTIFS('2_개행동'!$AD$5:$AD$26,"SOC_P",'2_개행동'!$AO$5:$AO$26,"&gt;=1")+COUNTIFS('3_보호자행동'!$AD$5:$AD$35,"SOC_P",'3_보호자행동'!$AO$5:$AO$35,"&gt;=1"))=0,"",IF((SUMIFS('1_바디시그널'!$AO$5:$AO$36,'1_바디시그널'!$AD$5:$AD$36,"SOC_P",'1_바디시그널'!$BI$5:$BI$36,"A")+SUMIFS('2_개행동'!$AO$5:$AO$26,'2_개행동'!$AD$5:$AD$26,"SOC_P",'2_개행동'!$BI$5:$BI$26,"A")+SUMIFS('3_보호자행동'!$AO$5:$AO$35,'3_보호자행동'!$AD$5:$AD$35,"SOC_P",'3_보호자행동'!$BI$5:$BI$35,"A"))&gt;(SUMIFS('1_바디시그널'!$AO$5:$AO$36,'1_바디시그널'!$AD$5:$AD$36,"SOC_P",'1_바디시그널'!$BI$5:$BI$36,"B")+SUMIFS('2_개행동'!$AO$5:$AO$26,'2_개행동'!$AD$5:$AD$26,"SOC_P",'2_개행동'!$BI$5:$BI$26,"B")+SUMIFS('3_보호자행동'!$AO$5:$AO$35,'3_보호자행동'!$AD$5:$AD$35,"SOC_P",'3_보호자행동'!$BI$5:$BI$35,"B")),"A",IF((SUMIFS('1_바디시그널'!$AO$5:$AO$36,'1_바디시그널'!$AD$5:$AD$36,"SOC_P",'1_바디시그널'!$BI$5:$BI$36,"B")+SUMIFS('2_개행동'!$AO$5:$AO$26,'2_개행동'!$AD$5:$AD$26,"SOC_P",'2_개행동'!$BI$5:$BI$26,"B")+SUMIFS('3_보호자행동'!$AO$5:$AO$35,'3_보호자행동'!$AD$5:$AD$35,"SOC_P",'3_보호자행동'!$BI$5:$BI$35,"B"))&gt;(SUMIFS('1_바디시그널'!$AO$5:$AO$36,'1_바디시그널'!$AD$5:$AD$36,"SOC_P",'1_바디시그널'!$BI$5:$BI$36,"A")+SUMIFS('2_개행동'!$AO$5:$AO$26,'2_개행동'!$AD$5:$AD$26,"SOC_P",'2_개행동'!$BI$5:$BI$26,"A")+SUMIFS('3_보호자행동'!$AO$5:$AO$35,'3_보호자행동'!$AD$5:$AD$35,"SOC_P",'3_보호자행동'!$BI$5:$BI$35,"A")),"B","-")))</f>
        <v/>
      </c>
      <c r="J16" s="49">
        <f>IF((COUNTIFS('1_바디시그널'!$AD$5:$AD$36,"SOC_D",'1_바디시그널'!$AO$5:$AO$36,"&gt;=1")+COUNTIFS('2_개행동'!$AD$5:$AD$26,"SOC_D",'2_개행동'!$AO$5:$AO$26,"&gt;=1")+COUNTIFS('3_보호자행동'!$AD$5:$AD$35,"SOC_D",'3_보호자행동'!$AO$5:$AO$35,"&gt;=1"))=0,"",MAX(_xlfn.MAXIFS('1_바디시그널'!$AO$5:$AO$36,'1_바디시그널'!$AD$5:$AD$36,"SOC_D"),_xlfn.MAXIFS('2_개행동'!$AO$5:$AO$26,'2_개행동'!$AD$5:$AD$26,"SOC_D"),_xlfn.MAXIFS('3_보호자행동'!$AO$5:$AO$35,'3_보호자행동'!$AD$5:$AD$35,"SOC_D")))</f>
        <v/>
      </c>
      <c r="K16" s="49">
        <f>IF((COUNTIFS('1_바디시그널'!$AD$5:$AD$36,"SOC_D",'1_바디시그널'!$AO$5:$AO$36,"&gt;=1")+COUNTIFS('2_개행동'!$AD$5:$AD$26,"SOC_D",'2_개행동'!$AO$5:$AO$26,"&gt;=1")+COUNTIFS('3_보호자행동'!$AD$5:$AD$35,"SOC_D",'3_보호자행동'!$AO$5:$AO$35,"&gt;=1"))=0,"",ROUND((SUMIFS('1_바디시그널'!$AO$5:$AO$36,'1_바디시그널'!$AD$5:$AD$36,"SOC_D",'1_바디시그널'!$AO$5:$AO$36,"&gt;=1")+SUMIFS('2_개행동'!$AO$5:$AO$26,'2_개행동'!$AD$5:$AD$26,"SOC_D",'2_개행동'!$AO$5:$AO$26,"&gt;=1")+SUMIFS('3_보호자행동'!$AO$5:$AO$35,'3_보호자행동'!$AD$5:$AD$35,"SOC_D",'3_보호자행동'!$AO$5:$AO$35,"&gt;=1"))/(COUNTIFS('1_바디시그널'!$AD$5:$AD$36,"SOC_D",'1_바디시그널'!$AO$5:$AO$36,"&gt;=1")+COUNTIFS('2_개행동'!$AD$5:$AD$26,"SOC_D",'2_개행동'!$AO$5:$AO$26,"&gt;=1")+COUNTIFS('3_보호자행동'!$AD$5:$AD$35,"SOC_D",'3_보호자행동'!$AO$5:$AO$35,"&gt;=1")),2))</f>
        <v/>
      </c>
      <c r="L16" s="49">
        <f>IF((COUNTIFS('1_바디시그널'!$AD$5:$AD$36,"SOC_D",'1_바디시그널'!$AO$5:$AO$36,"&gt;=1")+COUNTIFS('2_개행동'!$AD$5:$AD$26,"SOC_D",'2_개행동'!$AO$5:$AO$26,"&gt;=1")+COUNTIFS('3_보호자행동'!$AD$5:$AD$35,"SOC_D",'3_보호자행동'!$AO$5:$AO$35,"&gt;=1"))=0,"",IF((SUMIFS('1_바디시그널'!$AO$5:$AO$36,'1_바디시그널'!$AD$5:$AD$36,"SOC_D",'1_바디시그널'!$BI$5:$BI$36,"A")+SUMIFS('2_개행동'!$AO$5:$AO$26,'2_개행동'!$AD$5:$AD$26,"SOC_D",'2_개행동'!$BI$5:$BI$26,"A")+SUMIFS('3_보호자행동'!$AO$5:$AO$35,'3_보호자행동'!$AD$5:$AD$35,"SOC_D",'3_보호자행동'!$BI$5:$BI$35,"A"))&gt;(SUMIFS('1_바디시그널'!$AO$5:$AO$36,'1_바디시그널'!$AD$5:$AD$36,"SOC_D",'1_바디시그널'!$BI$5:$BI$36,"B")+SUMIFS('2_개행동'!$AO$5:$AO$26,'2_개행동'!$AD$5:$AD$26,"SOC_D",'2_개행동'!$BI$5:$BI$26,"B")+SUMIFS('3_보호자행동'!$AO$5:$AO$35,'3_보호자행동'!$AD$5:$AD$35,"SOC_D",'3_보호자행동'!$BI$5:$BI$35,"B")),"A",IF((SUMIFS('1_바디시그널'!$AO$5:$AO$36,'1_바디시그널'!$AD$5:$AD$36,"SOC_D",'1_바디시그널'!$BI$5:$BI$36,"B")+SUMIFS('2_개행동'!$AO$5:$AO$26,'2_개행동'!$AD$5:$AD$26,"SOC_D",'2_개행동'!$BI$5:$BI$26,"B")+SUMIFS('3_보호자행동'!$AO$5:$AO$35,'3_보호자행동'!$AD$5:$AD$35,"SOC_D",'3_보호자행동'!$BI$5:$BI$35,"B"))&gt;(SUMIFS('1_바디시그널'!$AO$5:$AO$36,'1_바디시그널'!$AD$5:$AD$36,"SOC_D",'1_바디시그널'!$BI$5:$BI$36,"A")+SUMIFS('2_개행동'!$AO$5:$AO$26,'2_개행동'!$AD$5:$AD$26,"SOC_D",'2_개행동'!$BI$5:$BI$26,"A")+SUMIFS('3_보호자행동'!$AO$5:$AO$35,'3_보호자행동'!$AD$5:$AD$35,"SOC_D",'3_보호자행동'!$BI$5:$BI$35,"A")),"B","-")))</f>
        <v/>
      </c>
      <c r="M16" s="49">
        <f>IF((COUNTIFS('1_바디시그널'!$AD$5:$AD$36,"SOC_E",'1_바디시그널'!$AO$5:$AO$36,"&gt;=1")+COUNTIFS('2_개행동'!$AD$5:$AD$26,"SOC_E",'2_개행동'!$AO$5:$AO$26,"&gt;=1")+COUNTIFS('3_보호자행동'!$AD$5:$AD$35,"SOC_E",'3_보호자행동'!$AO$5:$AO$35,"&gt;=1"))=0,"",MAX(_xlfn.MAXIFS('1_바디시그널'!$AO$5:$AO$36,'1_바디시그널'!$AD$5:$AD$36,"SOC_E"),_xlfn.MAXIFS('2_개행동'!$AO$5:$AO$26,'2_개행동'!$AD$5:$AD$26,"SOC_E"),_xlfn.MAXIFS('3_보호자행동'!$AO$5:$AO$35,'3_보호자행동'!$AD$5:$AD$35,"SOC_E")))</f>
        <v/>
      </c>
      <c r="N16" s="49">
        <f>IF((COUNTIFS('1_바디시그널'!$AD$5:$AD$36,"SOC_E",'1_바디시그널'!$AO$5:$AO$36,"&gt;=1")+COUNTIFS('2_개행동'!$AD$5:$AD$26,"SOC_E",'2_개행동'!$AO$5:$AO$26,"&gt;=1")+COUNTIFS('3_보호자행동'!$AD$5:$AD$35,"SOC_E",'3_보호자행동'!$AO$5:$AO$35,"&gt;=1"))=0,"",ROUND((SUMIFS('1_바디시그널'!$AO$5:$AO$36,'1_바디시그널'!$AD$5:$AD$36,"SOC_E",'1_바디시그널'!$AO$5:$AO$36,"&gt;=1")+SUMIFS('2_개행동'!$AO$5:$AO$26,'2_개행동'!$AD$5:$AD$26,"SOC_E",'2_개행동'!$AO$5:$AO$26,"&gt;=1")+SUMIFS('3_보호자행동'!$AO$5:$AO$35,'3_보호자행동'!$AD$5:$AD$35,"SOC_E",'3_보호자행동'!$AO$5:$AO$35,"&gt;=1"))/(COUNTIFS('1_바디시그널'!$AD$5:$AD$36,"SOC_E",'1_바디시그널'!$AO$5:$AO$36,"&gt;=1")+COUNTIFS('2_개행동'!$AD$5:$AD$26,"SOC_E",'2_개행동'!$AO$5:$AO$26,"&gt;=1")+COUNTIFS('3_보호자행동'!$AD$5:$AD$35,"SOC_E",'3_보호자행동'!$AO$5:$AO$35,"&gt;=1")),2))</f>
        <v/>
      </c>
      <c r="O16" s="49">
        <f>IF((COUNTIFS('1_바디시그널'!$AD$5:$AD$36,"SOC_E",'1_바디시그널'!$AO$5:$AO$36,"&gt;=1")+COUNTIFS('2_개행동'!$AD$5:$AD$26,"SOC_E",'2_개행동'!$AO$5:$AO$26,"&gt;=1")+COUNTIFS('3_보호자행동'!$AD$5:$AD$35,"SOC_E",'3_보호자행동'!$AO$5:$AO$35,"&gt;=1"))=0,"",IF((SUMIFS('1_바디시그널'!$AO$5:$AO$36,'1_바디시그널'!$AD$5:$AD$36,"SOC_E",'1_바디시그널'!$BI$5:$BI$36,"A")+SUMIFS('2_개행동'!$AO$5:$AO$26,'2_개행동'!$AD$5:$AD$26,"SOC_E",'2_개행동'!$BI$5:$BI$26,"A")+SUMIFS('3_보호자행동'!$AO$5:$AO$35,'3_보호자행동'!$AD$5:$AD$35,"SOC_E",'3_보호자행동'!$BI$5:$BI$35,"A"))&gt;(SUMIFS('1_바디시그널'!$AO$5:$AO$36,'1_바디시그널'!$AD$5:$AD$36,"SOC_E",'1_바디시그널'!$BI$5:$BI$36,"B")+SUMIFS('2_개행동'!$AO$5:$AO$26,'2_개행동'!$AD$5:$AD$26,"SOC_E",'2_개행동'!$BI$5:$BI$26,"B")+SUMIFS('3_보호자행동'!$AO$5:$AO$35,'3_보호자행동'!$AD$5:$AD$35,"SOC_E",'3_보호자행동'!$BI$5:$BI$35,"B")),"A",IF((SUMIFS('1_바디시그널'!$AO$5:$AO$36,'1_바디시그널'!$AD$5:$AD$36,"SOC_E",'1_바디시그널'!$BI$5:$BI$36,"B")+SUMIFS('2_개행동'!$AO$5:$AO$26,'2_개행동'!$AD$5:$AD$26,"SOC_E",'2_개행동'!$BI$5:$BI$26,"B")+SUMIFS('3_보호자행동'!$AO$5:$AO$35,'3_보호자행동'!$AD$5:$AD$35,"SOC_E",'3_보호자행동'!$BI$5:$BI$35,"B"))&gt;(SUMIFS('1_바디시그널'!$AO$5:$AO$36,'1_바디시그널'!$AD$5:$AD$36,"SOC_E",'1_바디시그널'!$BI$5:$BI$36,"A")+SUMIFS('2_개행동'!$AO$5:$AO$26,'2_개행동'!$AD$5:$AD$26,"SOC_E",'2_개행동'!$BI$5:$BI$26,"A")+SUMIFS('3_보호자행동'!$AO$5:$AO$35,'3_보호자행동'!$AD$5:$AD$35,"SOC_E",'3_보호자행동'!$BI$5:$BI$35,"A")),"B","-")))</f>
        <v/>
      </c>
      <c r="P16" s="49">
        <f>IF((COUNTIFS('1_바디시그널'!$AD$5:$AD$36,"ATT",'1_바디시그널'!$AO$5:$AO$36,"&gt;=1")+COUNTIFS('2_개행동'!$AD$5:$AD$26,"ATT",'2_개행동'!$AO$5:$AO$26,"&gt;=1")+COUNTIFS('3_보호자행동'!$AD$5:$AD$35,"ATT",'3_보호자행동'!$AO$5:$AO$35,"&gt;=1"))=0,"",MAX(_xlfn.MAXIFS('1_바디시그널'!$AO$5:$AO$36,'1_바디시그널'!$AD$5:$AD$36,"ATT"),_xlfn.MAXIFS('2_개행동'!$AO$5:$AO$26,'2_개행동'!$AD$5:$AD$26,"ATT"),_xlfn.MAXIFS('3_보호자행동'!$AO$5:$AO$35,'3_보호자행동'!$AD$5:$AD$35,"ATT")))</f>
        <v/>
      </c>
      <c r="Q16" s="49">
        <f>IF((COUNTIFS('1_바디시그널'!$AD$5:$AD$36,"ATT",'1_바디시그널'!$AO$5:$AO$36,"&gt;=1")+COUNTIFS('2_개행동'!$AD$5:$AD$26,"ATT",'2_개행동'!$AO$5:$AO$26,"&gt;=1")+COUNTIFS('3_보호자행동'!$AD$5:$AD$35,"ATT",'3_보호자행동'!$AO$5:$AO$35,"&gt;=1"))=0,"",ROUND((SUMIFS('1_바디시그널'!$AO$5:$AO$36,'1_바디시그널'!$AD$5:$AD$36,"ATT",'1_바디시그널'!$AO$5:$AO$36,"&gt;=1")+SUMIFS('2_개행동'!$AO$5:$AO$26,'2_개행동'!$AD$5:$AD$26,"ATT",'2_개행동'!$AO$5:$AO$26,"&gt;=1")+SUMIFS('3_보호자행동'!$AO$5:$AO$35,'3_보호자행동'!$AD$5:$AD$35,"ATT",'3_보호자행동'!$AO$5:$AO$35,"&gt;=1"))/(COUNTIFS('1_바디시그널'!$AD$5:$AD$36,"ATT",'1_바디시그널'!$AO$5:$AO$36,"&gt;=1")+COUNTIFS('2_개행동'!$AD$5:$AD$26,"ATT",'2_개행동'!$AO$5:$AO$26,"&gt;=1")+COUNTIFS('3_보호자행동'!$AD$5:$AD$35,"ATT",'3_보호자행동'!$AO$5:$AO$35,"&gt;=1")),2))</f>
        <v/>
      </c>
      <c r="R16" s="49">
        <f>IF((COUNTIFS('1_바디시그널'!$AD$5:$AD$36,"ATT",'1_바디시그널'!$AO$5:$AO$36,"&gt;=1")+COUNTIFS('2_개행동'!$AD$5:$AD$26,"ATT",'2_개행동'!$AO$5:$AO$26,"&gt;=1")+COUNTIFS('3_보호자행동'!$AD$5:$AD$35,"ATT",'3_보호자행동'!$AO$5:$AO$35,"&gt;=1"))=0,"",IF((SUMIFS('1_바디시그널'!$AO$5:$AO$36,'1_바디시그널'!$AD$5:$AD$36,"ATT",'1_바디시그널'!$BI$5:$BI$36,"A")+SUMIFS('2_개행동'!$AO$5:$AO$26,'2_개행동'!$AD$5:$AD$26,"ATT",'2_개행동'!$BI$5:$BI$26,"A")+SUMIFS('3_보호자행동'!$AO$5:$AO$35,'3_보호자행동'!$AD$5:$AD$35,"ATT",'3_보호자행동'!$BI$5:$BI$35,"A"))&gt;(SUMIFS('1_바디시그널'!$AO$5:$AO$36,'1_바디시그널'!$AD$5:$AD$36,"ATT",'1_바디시그널'!$BI$5:$BI$36,"B")+SUMIFS('2_개행동'!$AO$5:$AO$26,'2_개행동'!$AD$5:$AD$26,"ATT",'2_개행동'!$BI$5:$BI$26,"B")+SUMIFS('3_보호자행동'!$AO$5:$AO$35,'3_보호자행동'!$AD$5:$AD$35,"ATT",'3_보호자행동'!$BI$5:$BI$35,"B")),"A",IF((SUMIFS('1_바디시그널'!$AO$5:$AO$36,'1_바디시그널'!$AD$5:$AD$36,"ATT",'1_바디시그널'!$BI$5:$BI$36,"B")+SUMIFS('2_개행동'!$AO$5:$AO$26,'2_개행동'!$AD$5:$AD$26,"ATT",'2_개행동'!$BI$5:$BI$26,"B")+SUMIFS('3_보호자행동'!$AO$5:$AO$35,'3_보호자행동'!$AD$5:$AD$35,"ATT",'3_보호자행동'!$BI$5:$BI$35,"B"))&gt;(SUMIFS('1_바디시그널'!$AO$5:$AO$36,'1_바디시그널'!$AD$5:$AD$36,"ATT",'1_바디시그널'!$BI$5:$BI$36,"A")+SUMIFS('2_개행동'!$AO$5:$AO$26,'2_개행동'!$AD$5:$AD$26,"ATT",'2_개행동'!$BI$5:$BI$26,"A")+SUMIFS('3_보호자행동'!$AO$5:$AO$35,'3_보호자행동'!$AD$5:$AD$35,"ATT",'3_보호자행동'!$BI$5:$BI$35,"A")),"B","-")))</f>
        <v/>
      </c>
      <c r="S16" s="49">
        <f>IF((COUNTIFS('1_바디시그널'!$AD$5:$AD$36,"CON",'1_바디시그널'!$AO$5:$AO$36,"&gt;=1")+COUNTIFS('2_개행동'!$AD$5:$AD$26,"CON",'2_개행동'!$AO$5:$AO$26,"&gt;=1")+COUNTIFS('3_보호자행동'!$AD$5:$AD$35,"CON",'3_보호자행동'!$AO$5:$AO$35,"&gt;=1"))=0,"",MAX(_xlfn.MAXIFS('1_바디시그널'!$AO$5:$AO$36,'1_바디시그널'!$AD$5:$AD$36,"CON"),_xlfn.MAXIFS('2_개행동'!$AO$5:$AO$26,'2_개행동'!$AD$5:$AD$26,"CON"),_xlfn.MAXIFS('3_보호자행동'!$AO$5:$AO$35,'3_보호자행동'!$AD$5:$AD$35,"CON")))</f>
        <v/>
      </c>
      <c r="T16" s="49">
        <f>IF((COUNTIFS('1_바디시그널'!$AD$5:$AD$36,"CON",'1_바디시그널'!$AO$5:$AO$36,"&gt;=1")+COUNTIFS('2_개행동'!$AD$5:$AD$26,"CON",'2_개행동'!$AO$5:$AO$26,"&gt;=1")+COUNTIFS('3_보호자행동'!$AD$5:$AD$35,"CON",'3_보호자행동'!$AO$5:$AO$35,"&gt;=1"))=0,"",ROUND((SUMIFS('1_바디시그널'!$AO$5:$AO$36,'1_바디시그널'!$AD$5:$AD$36,"CON",'1_바디시그널'!$AO$5:$AO$36,"&gt;=1")+SUMIFS('2_개행동'!$AO$5:$AO$26,'2_개행동'!$AD$5:$AD$26,"CON",'2_개행동'!$AO$5:$AO$26,"&gt;=1")+SUMIFS('3_보호자행동'!$AO$5:$AO$35,'3_보호자행동'!$AD$5:$AD$35,"CON",'3_보호자행동'!$AO$5:$AO$35,"&gt;=1"))/(COUNTIFS('1_바디시그널'!$AD$5:$AD$36,"CON",'1_바디시그널'!$AO$5:$AO$36,"&gt;=1")+COUNTIFS('2_개행동'!$AD$5:$AD$26,"CON",'2_개행동'!$AO$5:$AO$26,"&gt;=1")+COUNTIFS('3_보호자행동'!$AD$5:$AD$35,"CON",'3_보호자행동'!$AO$5:$AO$35,"&gt;=1")),2))</f>
        <v/>
      </c>
      <c r="U16" s="49">
        <f>IF((COUNTIFS('1_바디시그널'!$AD$5:$AD$36,"CON",'1_바디시그널'!$AO$5:$AO$36,"&gt;=1")+COUNTIFS('2_개행동'!$AD$5:$AD$26,"CON",'2_개행동'!$AO$5:$AO$26,"&gt;=1")+COUNTIFS('3_보호자행동'!$AD$5:$AD$35,"CON",'3_보호자행동'!$AO$5:$AO$35,"&gt;=1"))=0,"",IF((SUMIFS('1_바디시그널'!$AO$5:$AO$36,'1_바디시그널'!$AD$5:$AD$36,"CON",'1_바디시그널'!$BI$5:$BI$36,"A")+SUMIFS('2_개행동'!$AO$5:$AO$26,'2_개행동'!$AD$5:$AD$26,"CON",'2_개행동'!$BI$5:$BI$26,"A")+SUMIFS('3_보호자행동'!$AO$5:$AO$35,'3_보호자행동'!$AD$5:$AD$35,"CON",'3_보호자행동'!$BI$5:$BI$35,"A"))&gt;(SUMIFS('1_바디시그널'!$AO$5:$AO$36,'1_바디시그널'!$AD$5:$AD$36,"CON",'1_바디시그널'!$BI$5:$BI$36,"B")+SUMIFS('2_개행동'!$AO$5:$AO$26,'2_개행동'!$AD$5:$AD$26,"CON",'2_개행동'!$BI$5:$BI$26,"B")+SUMIFS('3_보호자행동'!$AO$5:$AO$35,'3_보호자행동'!$AD$5:$AD$35,"CON",'3_보호자행동'!$BI$5:$BI$35,"B")),"A",IF((SUMIFS('1_바디시그널'!$AO$5:$AO$36,'1_바디시그널'!$AD$5:$AD$36,"CON",'1_바디시그널'!$BI$5:$BI$36,"B")+SUMIFS('2_개행동'!$AO$5:$AO$26,'2_개행동'!$AD$5:$AD$26,"CON",'2_개행동'!$BI$5:$BI$26,"B")+SUMIFS('3_보호자행동'!$AO$5:$AO$35,'3_보호자행동'!$AD$5:$AD$35,"CON",'3_보호자행동'!$BI$5:$BI$35,"B"))&gt;(SUMIFS('1_바디시그널'!$AO$5:$AO$36,'1_바디시그널'!$AD$5:$AD$36,"CON",'1_바디시그널'!$BI$5:$BI$36,"A")+SUMIFS('2_개행동'!$AO$5:$AO$26,'2_개행동'!$AD$5:$AD$26,"CON",'2_개행동'!$BI$5:$BI$26,"A")+SUMIFS('3_보호자행동'!$AO$5:$AO$35,'3_보호자행동'!$AD$5:$AD$35,"CON",'3_보호자행동'!$BI$5:$BI$35,"A")),"B","-")))</f>
        <v/>
      </c>
      <c r="V16" s="48">
        <f>IF(COUNT(X16:AA16)=0,"",ROUND(MAX(X16:AA16)-MIN(X16:AA16),2))</f>
        <v/>
      </c>
      <c r="W16" s="47" t="n"/>
      <c r="X16" s="49">
        <f>IFERROR(SUMIFS('3_보호자행동'!$AO$5:$AO$35,'3_보호자행동'!$A$5:$A$35,"입장",'3_보호자행동'!$AO$5:$AO$35,"&gt;=1")/COUNTIFS('3_보호자행동'!$A$5:$A$35,"입장",'3_보호자행동'!$AO$5:$AO$35,"&gt;=1"),"")</f>
        <v/>
      </c>
      <c r="Y16" s="49">
        <f>IFERROR(SUMIFS('3_보호자행동'!$AO$5:$AO$35,'3_보호자행동'!$A$5:$A$35,"분리",'3_보호자행동'!$AO$5:$AO$35,"&gt;=1")/COUNTIFS('3_보호자행동'!$A$5:$A$35,"분리",'3_보호자행동'!$AO$5:$AO$35,"&gt;=1"),"")</f>
        <v/>
      </c>
      <c r="Z16" s="49">
        <f>IFERROR(SUMIFS('3_보호자행동'!$AO$5:$AO$35,'3_보호자행동'!$A$5:$A$35,"훈련",'3_보호자행동'!$AO$5:$AO$35,"&gt;=1")/COUNTIFS('3_보호자행동'!$A$5:$A$35,"훈련",'3_보호자행동'!$AO$5:$AO$35,"&gt;=1"),"")</f>
        <v/>
      </c>
      <c r="AA16" s="49">
        <f>IFERROR(SUMIFS('3_보호자행동'!$AO$5:$AO$35,'3_보호자행동'!$A$5:$A$35,"놀이",'3_보호자행동'!$AO$5:$AO$35,"&gt;=1")/COUNTIFS('3_보호자행동'!$A$5:$A$35,"놀이",'3_보호자행동'!$AO$5:$AO$35,"&gt;=1"),"")</f>
        <v/>
      </c>
      <c r="AB16">
        <f>IF((COUNTIFS('1_바디시그널'!$AD$5:$AD$36,"TRN",'1_바디시그널'!$AO$5:$AO$36,"&gt;=1")+COUNTIFS('2_개행동'!$AD$5:$AD$26,"TRN",'2_개행동'!$AO$5:$AO$26,"&gt;=1")+COUNTIFS('3_보호자행동'!$AD$5:$AD$35,"TRN",'3_보호자행동'!$AO$5:$AO$35,"&gt;=1"))=0,"",MAX(_xlfn.MAXIFS('1_바디시그널'!$AO$5:$AO$36,'1_바디시그널'!$AD$5:$AD$36,"TRN"),_xlfn.MAXIFS('2_개행동'!$AO$5:$AO$26,'2_개행동'!$AD$5:$AD$26,"TRN"),_xlfn.MAXIFS('3_보호자행동'!$AO$5:$AO$35,'3_보호자행동'!$AD$5:$AD$35,"TRN")))</f>
        <v/>
      </c>
      <c r="AC16">
        <f>IF((COUNTIFS('1_바디시그널'!$AD$5:$AD$36,"TRN",'1_바디시그널'!$AO$5:$AO$36,"&gt;=1")+COUNTIFS('2_개행동'!$AD$5:$AD$26,"TRN",'2_개행동'!$AO$5:$AO$26,"&gt;=1")+COUNTIFS('3_보호자행동'!$AD$5:$AD$35,"TRN",'3_보호자행동'!$AO$5:$AO$35,"&gt;=1"))=0,"",ROUND((SUMIFS('1_바디시그널'!$AO$5:$AO$36,'1_바디시그널'!$AD$5:$AD$36,"TRN",'1_바디시그널'!$AO$5:$AO$36,"&gt;=1")+SUMIFS('2_개행동'!$AO$5:$AO$26,'2_개행동'!$AD$5:$AD$26,"TRN",'2_개행동'!$AO$5:$AO$26,"&gt;=1")+SUMIFS('3_보호자행동'!$AO$5:$AO$35,'3_보호자행동'!$AD$5:$AD$35,"TRN",'3_보호자행동'!$AO$5:$AO$35,"&gt;=1"))/(COUNTIFS('1_바디시그널'!$AD$5:$AD$36,"TRN",'1_바디시그널'!$AO$5:$AO$36,"&gt;=1")+COUNTIFS('2_개행동'!$AD$5:$AD$26,"TRN",'2_개행동'!$AO$5:$AO$26,"&gt;=1")+COUNTIFS('3_보호자행동'!$AD$5:$AD$35,"TRN",'3_보호자행동'!$AO$5:$AO$35,"&gt;=1")),2))</f>
        <v/>
      </c>
      <c r="AD16">
        <f>IF((COUNTIFS('1_바디시그널'!$AD$5:$AD$36,"TRN",'1_바디시그널'!$AO$5:$AO$36,"&gt;=1")+COUNTIFS('2_개행동'!$AD$5:$AD$26,"TRN",'2_개행동'!$AO$5:$AO$26,"&gt;=1")+COUNTIFS('3_보호자행동'!$AD$5:$AD$35,"TRN",'3_보호자행동'!$AO$5:$AO$35,"&gt;=1"))=0,"",IF((SUMIFS('1_바디시그널'!$AO$5:$AO$36,'1_바디시그널'!$AD$5:$AD$36,"TRN",'1_바디시그널'!$BI$5:$BI$36,"A")+SUMIFS('2_개행동'!$AO$5:$AO$26,'2_개행동'!$AD$5:$AD$26,"TRN",'2_개행동'!$BI$5:$BI$26,"A")+SUMIFS('3_보호자행동'!$AO$5:$AO$35,'3_보호자행동'!$AD$5:$AD$35,"TRN",'3_보호자행동'!$BI$5:$BI$35,"A"))&gt;(SUMIFS('1_바디시그널'!$AO$5:$AO$36,'1_바디시그널'!$AD$5:$AD$36,"TRN",'1_바디시그널'!$BI$5:$BI$36,"B")+SUMIFS('2_개행동'!$AO$5:$AO$26,'2_개행동'!$AD$5:$AD$26,"TRN",'2_개행동'!$BI$5:$BI$26,"B")+SUMIFS('3_보호자행동'!$AO$5:$AO$35,'3_보호자행동'!$AD$5:$AD$35,"TRN",'3_보호자행동'!$BI$5:$BI$35,"B")),"A",IF((SUMIFS('1_바디시그널'!$AO$5:$AO$36,'1_바디시그널'!$AD$5:$AD$36,"TRN",'1_바디시그널'!$BI$5:$BI$36,"B")+SUMIFS('2_개행동'!$AO$5:$AO$26,'2_개행동'!$AD$5:$AD$26,"TRN",'2_개행동'!$BI$5:$BI$26,"B")+SUMIFS('3_보호자행동'!$AO$5:$AO$35,'3_보호자행동'!$AD$5:$AD$35,"TRN",'3_보호자행동'!$BI$5:$BI$35,"B"))&gt;(SUMIFS('1_바디시그널'!$AO$5:$AO$36,'1_바디시그널'!$AD$5:$AD$36,"TRN",'1_바디시그널'!$BI$5:$BI$36,"A")+SUMIFS('2_개행동'!$AO$5:$AO$26,'2_개행동'!$AD$5:$AD$26,"TRN",'2_개행동'!$BI$5:$BI$26,"A")+SUMIFS('3_보호자행동'!$AO$5:$AO$35,'3_보호자행동'!$AD$5:$AD$35,"TRN",'3_보호자행동'!$BI$5:$BI$35,"A")),"B","-")))</f>
        <v/>
      </c>
      <c r="AE16">
        <f>IF('2_개행동'!$T$11="","",'2_개행동'!$T$11&amp;IF('2_개행동'!$T$11=3," [B]",IF('2_개행동'!$T$11=1,""," [A]")))</f>
        <v/>
      </c>
    </row>
    <row r="17" ht="18.75" customHeight="1" s="1">
      <c r="A17" s="46" t="n">
        <v>12</v>
      </c>
      <c r="B17" s="47" t="n"/>
      <c r="C17" s="47" t="n"/>
      <c r="D17" s="48">
        <f>IF((COUNTIFS('1_바디시그널'!$AD$5:$AD$36,"EDU",'1_바디시그널'!$AP$5:$AP$36,"&gt;=1")+COUNTIFS('2_개행동'!$AD$5:$AD$26,"EDU",'2_개행동'!$AP$5:$AP$26,"&gt;=1")+COUNTIFS('3_보호자행동'!$AD$5:$AD$35,"EDU",'3_보호자행동'!$AP$5:$AP$35,"&gt;=1"))=0,"",MAX(_xlfn.MAXIFS('1_바디시그널'!$AP$5:$AP$36,'1_바디시그널'!$AD$5:$AD$36,"EDU"),_xlfn.MAXIFS('2_개행동'!$AP$5:$AP$26,'2_개행동'!$AD$5:$AD$26,"EDU"),_xlfn.MAXIFS('3_보호자행동'!$AP$5:$AP$35,'3_보호자행동'!$AD$5:$AD$35,"EDU")))</f>
        <v/>
      </c>
      <c r="E17" s="49">
        <f>IF((COUNTIFS('1_바디시그널'!$AD$5:$AD$36,"EDU",'1_바디시그널'!$AP$5:$AP$36,"&gt;=1")+COUNTIFS('2_개행동'!$AD$5:$AD$26,"EDU",'2_개행동'!$AP$5:$AP$26,"&gt;=1")+COUNTIFS('3_보호자행동'!$AD$5:$AD$35,"EDU",'3_보호자행동'!$AP$5:$AP$35,"&gt;=1"))=0,"",ROUND((SUMIFS('1_바디시그널'!$AP$5:$AP$36,'1_바디시그널'!$AD$5:$AD$36,"EDU",'1_바디시그널'!$AP$5:$AP$36,"&gt;=1")+SUMIFS('2_개행동'!$AP$5:$AP$26,'2_개행동'!$AD$5:$AD$26,"EDU",'2_개행동'!$AP$5:$AP$26,"&gt;=1")+SUMIFS('3_보호자행동'!$AP$5:$AP$35,'3_보호자행동'!$AD$5:$AD$35,"EDU",'3_보호자행동'!$AP$5:$AP$35,"&gt;=1"))/(COUNTIFS('1_바디시그널'!$AD$5:$AD$36,"EDU",'1_바디시그널'!$AP$5:$AP$36,"&gt;=1")+COUNTIFS('2_개행동'!$AD$5:$AD$26,"EDU",'2_개행동'!$AP$5:$AP$26,"&gt;=1")+COUNTIFS('3_보호자행동'!$AD$5:$AD$35,"EDU",'3_보호자행동'!$AP$5:$AP$35,"&gt;=1")),2))</f>
        <v/>
      </c>
      <c r="F17" s="49">
        <f>IF((COUNTIFS('1_바디시그널'!$AD$5:$AD$36,"EDU",'1_바디시그널'!$AP$5:$AP$36,"&gt;=1")+COUNTIFS('2_개행동'!$AD$5:$AD$26,"EDU",'2_개행동'!$AP$5:$AP$26,"&gt;=1")+COUNTIFS('3_보호자행동'!$AD$5:$AD$35,"EDU",'3_보호자행동'!$AP$5:$AP$35,"&gt;=1"))=0,"",IF((SUMIFS('1_바디시그널'!$AP$5:$AP$36,'1_바디시그널'!$AD$5:$AD$36,"EDU",'1_바디시그널'!$BJ$5:$BJ$36,"A")+SUMIFS('2_개행동'!$AP$5:$AP$26,'2_개행동'!$AD$5:$AD$26,"EDU",'2_개행동'!$BJ$5:$BJ$26,"A")+SUMIFS('3_보호자행동'!$AP$5:$AP$35,'3_보호자행동'!$AD$5:$AD$35,"EDU",'3_보호자행동'!$BJ$5:$BJ$35,"A"))&gt;(SUMIFS('1_바디시그널'!$AP$5:$AP$36,'1_바디시그널'!$AD$5:$AD$36,"EDU",'1_바디시그널'!$BJ$5:$BJ$36,"B")+SUMIFS('2_개행동'!$AP$5:$AP$26,'2_개행동'!$AD$5:$AD$26,"EDU",'2_개행동'!$BJ$5:$BJ$26,"B")+SUMIFS('3_보호자행동'!$AP$5:$AP$35,'3_보호자행동'!$AD$5:$AD$35,"EDU",'3_보호자행동'!$BJ$5:$BJ$35,"B")),"A",IF((SUMIFS('1_바디시그널'!$AP$5:$AP$36,'1_바디시그널'!$AD$5:$AD$36,"EDU",'1_바디시그널'!$BJ$5:$BJ$36,"B")+SUMIFS('2_개행동'!$AP$5:$AP$26,'2_개행동'!$AD$5:$AD$26,"EDU",'2_개행동'!$BJ$5:$BJ$26,"B")+SUMIFS('3_보호자행동'!$AP$5:$AP$35,'3_보호자행동'!$AD$5:$AD$35,"EDU",'3_보호자행동'!$BJ$5:$BJ$35,"B"))&gt;(SUMIFS('1_바디시그널'!$AP$5:$AP$36,'1_바디시그널'!$AD$5:$AD$36,"EDU",'1_바디시그널'!$BJ$5:$BJ$36,"A")+SUMIFS('2_개행동'!$AP$5:$AP$26,'2_개행동'!$AD$5:$AD$26,"EDU",'2_개행동'!$BJ$5:$BJ$26,"A")+SUMIFS('3_보호자행동'!$AP$5:$AP$35,'3_보호자행동'!$AD$5:$AD$35,"EDU",'3_보호자행동'!$BJ$5:$BJ$35,"A")),"B","-")))</f>
        <v/>
      </c>
      <c r="G17" s="49">
        <f>IF((COUNTIFS('1_바디시그널'!$AD$5:$AD$36,"SOC_P",'1_바디시그널'!$AP$5:$AP$36,"&gt;=1")+COUNTIFS('2_개행동'!$AD$5:$AD$26,"SOC_P",'2_개행동'!$AP$5:$AP$26,"&gt;=1")+COUNTIFS('3_보호자행동'!$AD$5:$AD$35,"SOC_P",'3_보호자행동'!$AP$5:$AP$35,"&gt;=1"))=0,"",MAX(_xlfn.MAXIFS('1_바디시그널'!$AP$5:$AP$36,'1_바디시그널'!$AD$5:$AD$36,"SOC_P"),_xlfn.MAXIFS('2_개행동'!$AP$5:$AP$26,'2_개행동'!$AD$5:$AD$26,"SOC_P"),_xlfn.MAXIFS('3_보호자행동'!$AP$5:$AP$35,'3_보호자행동'!$AD$5:$AD$35,"SOC_P")))</f>
        <v/>
      </c>
      <c r="H17" s="49">
        <f>IF((COUNTIFS('1_바디시그널'!$AD$5:$AD$36,"SOC_P",'1_바디시그널'!$AP$5:$AP$36,"&gt;=1")+COUNTIFS('2_개행동'!$AD$5:$AD$26,"SOC_P",'2_개행동'!$AP$5:$AP$26,"&gt;=1")+COUNTIFS('3_보호자행동'!$AD$5:$AD$35,"SOC_P",'3_보호자행동'!$AP$5:$AP$35,"&gt;=1"))=0,"",ROUND((SUMIFS('1_바디시그널'!$AP$5:$AP$36,'1_바디시그널'!$AD$5:$AD$36,"SOC_P",'1_바디시그널'!$AP$5:$AP$36,"&gt;=1")+SUMIFS('2_개행동'!$AP$5:$AP$26,'2_개행동'!$AD$5:$AD$26,"SOC_P",'2_개행동'!$AP$5:$AP$26,"&gt;=1")+SUMIFS('3_보호자행동'!$AP$5:$AP$35,'3_보호자행동'!$AD$5:$AD$35,"SOC_P",'3_보호자행동'!$AP$5:$AP$35,"&gt;=1"))/(COUNTIFS('1_바디시그널'!$AD$5:$AD$36,"SOC_P",'1_바디시그널'!$AP$5:$AP$36,"&gt;=1")+COUNTIFS('2_개행동'!$AD$5:$AD$26,"SOC_P",'2_개행동'!$AP$5:$AP$26,"&gt;=1")+COUNTIFS('3_보호자행동'!$AD$5:$AD$35,"SOC_P",'3_보호자행동'!$AP$5:$AP$35,"&gt;=1")),2))</f>
        <v/>
      </c>
      <c r="I17" s="49">
        <f>IF((COUNTIFS('1_바디시그널'!$AD$5:$AD$36,"SOC_P",'1_바디시그널'!$AP$5:$AP$36,"&gt;=1")+COUNTIFS('2_개행동'!$AD$5:$AD$26,"SOC_P",'2_개행동'!$AP$5:$AP$26,"&gt;=1")+COUNTIFS('3_보호자행동'!$AD$5:$AD$35,"SOC_P",'3_보호자행동'!$AP$5:$AP$35,"&gt;=1"))=0,"",IF((SUMIFS('1_바디시그널'!$AP$5:$AP$36,'1_바디시그널'!$AD$5:$AD$36,"SOC_P",'1_바디시그널'!$BJ$5:$BJ$36,"A")+SUMIFS('2_개행동'!$AP$5:$AP$26,'2_개행동'!$AD$5:$AD$26,"SOC_P",'2_개행동'!$BJ$5:$BJ$26,"A")+SUMIFS('3_보호자행동'!$AP$5:$AP$35,'3_보호자행동'!$AD$5:$AD$35,"SOC_P",'3_보호자행동'!$BJ$5:$BJ$35,"A"))&gt;(SUMIFS('1_바디시그널'!$AP$5:$AP$36,'1_바디시그널'!$AD$5:$AD$36,"SOC_P",'1_바디시그널'!$BJ$5:$BJ$36,"B")+SUMIFS('2_개행동'!$AP$5:$AP$26,'2_개행동'!$AD$5:$AD$26,"SOC_P",'2_개행동'!$BJ$5:$BJ$26,"B")+SUMIFS('3_보호자행동'!$AP$5:$AP$35,'3_보호자행동'!$AD$5:$AD$35,"SOC_P",'3_보호자행동'!$BJ$5:$BJ$35,"B")),"A",IF((SUMIFS('1_바디시그널'!$AP$5:$AP$36,'1_바디시그널'!$AD$5:$AD$36,"SOC_P",'1_바디시그널'!$BJ$5:$BJ$36,"B")+SUMIFS('2_개행동'!$AP$5:$AP$26,'2_개행동'!$AD$5:$AD$26,"SOC_P",'2_개행동'!$BJ$5:$BJ$26,"B")+SUMIFS('3_보호자행동'!$AP$5:$AP$35,'3_보호자행동'!$AD$5:$AD$35,"SOC_P",'3_보호자행동'!$BJ$5:$BJ$35,"B"))&gt;(SUMIFS('1_바디시그널'!$AP$5:$AP$36,'1_바디시그널'!$AD$5:$AD$36,"SOC_P",'1_바디시그널'!$BJ$5:$BJ$36,"A")+SUMIFS('2_개행동'!$AP$5:$AP$26,'2_개행동'!$AD$5:$AD$26,"SOC_P",'2_개행동'!$BJ$5:$BJ$26,"A")+SUMIFS('3_보호자행동'!$AP$5:$AP$35,'3_보호자행동'!$AD$5:$AD$35,"SOC_P",'3_보호자행동'!$BJ$5:$BJ$35,"A")),"B","-")))</f>
        <v/>
      </c>
      <c r="J17" s="49">
        <f>IF((COUNTIFS('1_바디시그널'!$AD$5:$AD$36,"SOC_D",'1_바디시그널'!$AP$5:$AP$36,"&gt;=1")+COUNTIFS('2_개행동'!$AD$5:$AD$26,"SOC_D",'2_개행동'!$AP$5:$AP$26,"&gt;=1")+COUNTIFS('3_보호자행동'!$AD$5:$AD$35,"SOC_D",'3_보호자행동'!$AP$5:$AP$35,"&gt;=1"))=0,"",MAX(_xlfn.MAXIFS('1_바디시그널'!$AP$5:$AP$36,'1_바디시그널'!$AD$5:$AD$36,"SOC_D"),_xlfn.MAXIFS('2_개행동'!$AP$5:$AP$26,'2_개행동'!$AD$5:$AD$26,"SOC_D"),_xlfn.MAXIFS('3_보호자행동'!$AP$5:$AP$35,'3_보호자행동'!$AD$5:$AD$35,"SOC_D")))</f>
        <v/>
      </c>
      <c r="K17" s="49">
        <f>IF((COUNTIFS('1_바디시그널'!$AD$5:$AD$36,"SOC_D",'1_바디시그널'!$AP$5:$AP$36,"&gt;=1")+COUNTIFS('2_개행동'!$AD$5:$AD$26,"SOC_D",'2_개행동'!$AP$5:$AP$26,"&gt;=1")+COUNTIFS('3_보호자행동'!$AD$5:$AD$35,"SOC_D",'3_보호자행동'!$AP$5:$AP$35,"&gt;=1"))=0,"",ROUND((SUMIFS('1_바디시그널'!$AP$5:$AP$36,'1_바디시그널'!$AD$5:$AD$36,"SOC_D",'1_바디시그널'!$AP$5:$AP$36,"&gt;=1")+SUMIFS('2_개행동'!$AP$5:$AP$26,'2_개행동'!$AD$5:$AD$26,"SOC_D",'2_개행동'!$AP$5:$AP$26,"&gt;=1")+SUMIFS('3_보호자행동'!$AP$5:$AP$35,'3_보호자행동'!$AD$5:$AD$35,"SOC_D",'3_보호자행동'!$AP$5:$AP$35,"&gt;=1"))/(COUNTIFS('1_바디시그널'!$AD$5:$AD$36,"SOC_D",'1_바디시그널'!$AP$5:$AP$36,"&gt;=1")+COUNTIFS('2_개행동'!$AD$5:$AD$26,"SOC_D",'2_개행동'!$AP$5:$AP$26,"&gt;=1")+COUNTIFS('3_보호자행동'!$AD$5:$AD$35,"SOC_D",'3_보호자행동'!$AP$5:$AP$35,"&gt;=1")),2))</f>
        <v/>
      </c>
      <c r="L17" s="49">
        <f>IF((COUNTIFS('1_바디시그널'!$AD$5:$AD$36,"SOC_D",'1_바디시그널'!$AP$5:$AP$36,"&gt;=1")+COUNTIFS('2_개행동'!$AD$5:$AD$26,"SOC_D",'2_개행동'!$AP$5:$AP$26,"&gt;=1")+COUNTIFS('3_보호자행동'!$AD$5:$AD$35,"SOC_D",'3_보호자행동'!$AP$5:$AP$35,"&gt;=1"))=0,"",IF((SUMIFS('1_바디시그널'!$AP$5:$AP$36,'1_바디시그널'!$AD$5:$AD$36,"SOC_D",'1_바디시그널'!$BJ$5:$BJ$36,"A")+SUMIFS('2_개행동'!$AP$5:$AP$26,'2_개행동'!$AD$5:$AD$26,"SOC_D",'2_개행동'!$BJ$5:$BJ$26,"A")+SUMIFS('3_보호자행동'!$AP$5:$AP$35,'3_보호자행동'!$AD$5:$AD$35,"SOC_D",'3_보호자행동'!$BJ$5:$BJ$35,"A"))&gt;(SUMIFS('1_바디시그널'!$AP$5:$AP$36,'1_바디시그널'!$AD$5:$AD$36,"SOC_D",'1_바디시그널'!$BJ$5:$BJ$36,"B")+SUMIFS('2_개행동'!$AP$5:$AP$26,'2_개행동'!$AD$5:$AD$26,"SOC_D",'2_개행동'!$BJ$5:$BJ$26,"B")+SUMIFS('3_보호자행동'!$AP$5:$AP$35,'3_보호자행동'!$AD$5:$AD$35,"SOC_D",'3_보호자행동'!$BJ$5:$BJ$35,"B")),"A",IF((SUMIFS('1_바디시그널'!$AP$5:$AP$36,'1_바디시그널'!$AD$5:$AD$36,"SOC_D",'1_바디시그널'!$BJ$5:$BJ$36,"B")+SUMIFS('2_개행동'!$AP$5:$AP$26,'2_개행동'!$AD$5:$AD$26,"SOC_D",'2_개행동'!$BJ$5:$BJ$26,"B")+SUMIFS('3_보호자행동'!$AP$5:$AP$35,'3_보호자행동'!$AD$5:$AD$35,"SOC_D",'3_보호자행동'!$BJ$5:$BJ$35,"B"))&gt;(SUMIFS('1_바디시그널'!$AP$5:$AP$36,'1_바디시그널'!$AD$5:$AD$36,"SOC_D",'1_바디시그널'!$BJ$5:$BJ$36,"A")+SUMIFS('2_개행동'!$AP$5:$AP$26,'2_개행동'!$AD$5:$AD$26,"SOC_D",'2_개행동'!$BJ$5:$BJ$26,"A")+SUMIFS('3_보호자행동'!$AP$5:$AP$35,'3_보호자행동'!$AD$5:$AD$35,"SOC_D",'3_보호자행동'!$BJ$5:$BJ$35,"A")),"B","-")))</f>
        <v/>
      </c>
      <c r="M17" s="49">
        <f>IF((COUNTIFS('1_바디시그널'!$AD$5:$AD$36,"SOC_E",'1_바디시그널'!$AP$5:$AP$36,"&gt;=1")+COUNTIFS('2_개행동'!$AD$5:$AD$26,"SOC_E",'2_개행동'!$AP$5:$AP$26,"&gt;=1")+COUNTIFS('3_보호자행동'!$AD$5:$AD$35,"SOC_E",'3_보호자행동'!$AP$5:$AP$35,"&gt;=1"))=0,"",MAX(_xlfn.MAXIFS('1_바디시그널'!$AP$5:$AP$36,'1_바디시그널'!$AD$5:$AD$36,"SOC_E"),_xlfn.MAXIFS('2_개행동'!$AP$5:$AP$26,'2_개행동'!$AD$5:$AD$26,"SOC_E"),_xlfn.MAXIFS('3_보호자행동'!$AP$5:$AP$35,'3_보호자행동'!$AD$5:$AD$35,"SOC_E")))</f>
        <v/>
      </c>
      <c r="N17" s="49">
        <f>IF((COUNTIFS('1_바디시그널'!$AD$5:$AD$36,"SOC_E",'1_바디시그널'!$AP$5:$AP$36,"&gt;=1")+COUNTIFS('2_개행동'!$AD$5:$AD$26,"SOC_E",'2_개행동'!$AP$5:$AP$26,"&gt;=1")+COUNTIFS('3_보호자행동'!$AD$5:$AD$35,"SOC_E",'3_보호자행동'!$AP$5:$AP$35,"&gt;=1"))=0,"",ROUND((SUMIFS('1_바디시그널'!$AP$5:$AP$36,'1_바디시그널'!$AD$5:$AD$36,"SOC_E",'1_바디시그널'!$AP$5:$AP$36,"&gt;=1")+SUMIFS('2_개행동'!$AP$5:$AP$26,'2_개행동'!$AD$5:$AD$26,"SOC_E",'2_개행동'!$AP$5:$AP$26,"&gt;=1")+SUMIFS('3_보호자행동'!$AP$5:$AP$35,'3_보호자행동'!$AD$5:$AD$35,"SOC_E",'3_보호자행동'!$AP$5:$AP$35,"&gt;=1"))/(COUNTIFS('1_바디시그널'!$AD$5:$AD$36,"SOC_E",'1_바디시그널'!$AP$5:$AP$36,"&gt;=1")+COUNTIFS('2_개행동'!$AD$5:$AD$26,"SOC_E",'2_개행동'!$AP$5:$AP$26,"&gt;=1")+COUNTIFS('3_보호자행동'!$AD$5:$AD$35,"SOC_E",'3_보호자행동'!$AP$5:$AP$35,"&gt;=1")),2))</f>
        <v/>
      </c>
      <c r="O17" s="49">
        <f>IF((COUNTIFS('1_바디시그널'!$AD$5:$AD$36,"SOC_E",'1_바디시그널'!$AP$5:$AP$36,"&gt;=1")+COUNTIFS('2_개행동'!$AD$5:$AD$26,"SOC_E",'2_개행동'!$AP$5:$AP$26,"&gt;=1")+COUNTIFS('3_보호자행동'!$AD$5:$AD$35,"SOC_E",'3_보호자행동'!$AP$5:$AP$35,"&gt;=1"))=0,"",IF((SUMIFS('1_바디시그널'!$AP$5:$AP$36,'1_바디시그널'!$AD$5:$AD$36,"SOC_E",'1_바디시그널'!$BJ$5:$BJ$36,"A")+SUMIFS('2_개행동'!$AP$5:$AP$26,'2_개행동'!$AD$5:$AD$26,"SOC_E",'2_개행동'!$BJ$5:$BJ$26,"A")+SUMIFS('3_보호자행동'!$AP$5:$AP$35,'3_보호자행동'!$AD$5:$AD$35,"SOC_E",'3_보호자행동'!$BJ$5:$BJ$35,"A"))&gt;(SUMIFS('1_바디시그널'!$AP$5:$AP$36,'1_바디시그널'!$AD$5:$AD$36,"SOC_E",'1_바디시그널'!$BJ$5:$BJ$36,"B")+SUMIFS('2_개행동'!$AP$5:$AP$26,'2_개행동'!$AD$5:$AD$26,"SOC_E",'2_개행동'!$BJ$5:$BJ$26,"B")+SUMIFS('3_보호자행동'!$AP$5:$AP$35,'3_보호자행동'!$AD$5:$AD$35,"SOC_E",'3_보호자행동'!$BJ$5:$BJ$35,"B")),"A",IF((SUMIFS('1_바디시그널'!$AP$5:$AP$36,'1_바디시그널'!$AD$5:$AD$36,"SOC_E",'1_바디시그널'!$BJ$5:$BJ$36,"B")+SUMIFS('2_개행동'!$AP$5:$AP$26,'2_개행동'!$AD$5:$AD$26,"SOC_E",'2_개행동'!$BJ$5:$BJ$26,"B")+SUMIFS('3_보호자행동'!$AP$5:$AP$35,'3_보호자행동'!$AD$5:$AD$35,"SOC_E",'3_보호자행동'!$BJ$5:$BJ$35,"B"))&gt;(SUMIFS('1_바디시그널'!$AP$5:$AP$36,'1_바디시그널'!$AD$5:$AD$36,"SOC_E",'1_바디시그널'!$BJ$5:$BJ$36,"A")+SUMIFS('2_개행동'!$AP$5:$AP$26,'2_개행동'!$AD$5:$AD$26,"SOC_E",'2_개행동'!$BJ$5:$BJ$26,"A")+SUMIFS('3_보호자행동'!$AP$5:$AP$35,'3_보호자행동'!$AD$5:$AD$35,"SOC_E",'3_보호자행동'!$BJ$5:$BJ$35,"A")),"B","-")))</f>
        <v/>
      </c>
      <c r="P17" s="49">
        <f>IF((COUNTIFS('1_바디시그널'!$AD$5:$AD$36,"ATT",'1_바디시그널'!$AP$5:$AP$36,"&gt;=1")+COUNTIFS('2_개행동'!$AD$5:$AD$26,"ATT",'2_개행동'!$AP$5:$AP$26,"&gt;=1")+COUNTIFS('3_보호자행동'!$AD$5:$AD$35,"ATT",'3_보호자행동'!$AP$5:$AP$35,"&gt;=1"))=0,"",MAX(_xlfn.MAXIFS('1_바디시그널'!$AP$5:$AP$36,'1_바디시그널'!$AD$5:$AD$36,"ATT"),_xlfn.MAXIFS('2_개행동'!$AP$5:$AP$26,'2_개행동'!$AD$5:$AD$26,"ATT"),_xlfn.MAXIFS('3_보호자행동'!$AP$5:$AP$35,'3_보호자행동'!$AD$5:$AD$35,"ATT")))</f>
        <v/>
      </c>
      <c r="Q17" s="49">
        <f>IF((COUNTIFS('1_바디시그널'!$AD$5:$AD$36,"ATT",'1_바디시그널'!$AP$5:$AP$36,"&gt;=1")+COUNTIFS('2_개행동'!$AD$5:$AD$26,"ATT",'2_개행동'!$AP$5:$AP$26,"&gt;=1")+COUNTIFS('3_보호자행동'!$AD$5:$AD$35,"ATT",'3_보호자행동'!$AP$5:$AP$35,"&gt;=1"))=0,"",ROUND((SUMIFS('1_바디시그널'!$AP$5:$AP$36,'1_바디시그널'!$AD$5:$AD$36,"ATT",'1_바디시그널'!$AP$5:$AP$36,"&gt;=1")+SUMIFS('2_개행동'!$AP$5:$AP$26,'2_개행동'!$AD$5:$AD$26,"ATT",'2_개행동'!$AP$5:$AP$26,"&gt;=1")+SUMIFS('3_보호자행동'!$AP$5:$AP$35,'3_보호자행동'!$AD$5:$AD$35,"ATT",'3_보호자행동'!$AP$5:$AP$35,"&gt;=1"))/(COUNTIFS('1_바디시그널'!$AD$5:$AD$36,"ATT",'1_바디시그널'!$AP$5:$AP$36,"&gt;=1")+COUNTIFS('2_개행동'!$AD$5:$AD$26,"ATT",'2_개행동'!$AP$5:$AP$26,"&gt;=1")+COUNTIFS('3_보호자행동'!$AD$5:$AD$35,"ATT",'3_보호자행동'!$AP$5:$AP$35,"&gt;=1")),2))</f>
        <v/>
      </c>
      <c r="R17" s="49">
        <f>IF((COUNTIFS('1_바디시그널'!$AD$5:$AD$36,"ATT",'1_바디시그널'!$AP$5:$AP$36,"&gt;=1")+COUNTIFS('2_개행동'!$AD$5:$AD$26,"ATT",'2_개행동'!$AP$5:$AP$26,"&gt;=1")+COUNTIFS('3_보호자행동'!$AD$5:$AD$35,"ATT",'3_보호자행동'!$AP$5:$AP$35,"&gt;=1"))=0,"",IF((SUMIFS('1_바디시그널'!$AP$5:$AP$36,'1_바디시그널'!$AD$5:$AD$36,"ATT",'1_바디시그널'!$BJ$5:$BJ$36,"A")+SUMIFS('2_개행동'!$AP$5:$AP$26,'2_개행동'!$AD$5:$AD$26,"ATT",'2_개행동'!$BJ$5:$BJ$26,"A")+SUMIFS('3_보호자행동'!$AP$5:$AP$35,'3_보호자행동'!$AD$5:$AD$35,"ATT",'3_보호자행동'!$BJ$5:$BJ$35,"A"))&gt;(SUMIFS('1_바디시그널'!$AP$5:$AP$36,'1_바디시그널'!$AD$5:$AD$36,"ATT",'1_바디시그널'!$BJ$5:$BJ$36,"B")+SUMIFS('2_개행동'!$AP$5:$AP$26,'2_개행동'!$AD$5:$AD$26,"ATT",'2_개행동'!$BJ$5:$BJ$26,"B")+SUMIFS('3_보호자행동'!$AP$5:$AP$35,'3_보호자행동'!$AD$5:$AD$35,"ATT",'3_보호자행동'!$BJ$5:$BJ$35,"B")),"A",IF((SUMIFS('1_바디시그널'!$AP$5:$AP$36,'1_바디시그널'!$AD$5:$AD$36,"ATT",'1_바디시그널'!$BJ$5:$BJ$36,"B")+SUMIFS('2_개행동'!$AP$5:$AP$26,'2_개행동'!$AD$5:$AD$26,"ATT",'2_개행동'!$BJ$5:$BJ$26,"B")+SUMIFS('3_보호자행동'!$AP$5:$AP$35,'3_보호자행동'!$AD$5:$AD$35,"ATT",'3_보호자행동'!$BJ$5:$BJ$35,"B"))&gt;(SUMIFS('1_바디시그널'!$AP$5:$AP$36,'1_바디시그널'!$AD$5:$AD$36,"ATT",'1_바디시그널'!$BJ$5:$BJ$36,"A")+SUMIFS('2_개행동'!$AP$5:$AP$26,'2_개행동'!$AD$5:$AD$26,"ATT",'2_개행동'!$BJ$5:$BJ$26,"A")+SUMIFS('3_보호자행동'!$AP$5:$AP$35,'3_보호자행동'!$AD$5:$AD$35,"ATT",'3_보호자행동'!$BJ$5:$BJ$35,"A")),"B","-")))</f>
        <v/>
      </c>
      <c r="S17" s="49">
        <f>IF((COUNTIFS('1_바디시그널'!$AD$5:$AD$36,"CON",'1_바디시그널'!$AP$5:$AP$36,"&gt;=1")+COUNTIFS('2_개행동'!$AD$5:$AD$26,"CON",'2_개행동'!$AP$5:$AP$26,"&gt;=1")+COUNTIFS('3_보호자행동'!$AD$5:$AD$35,"CON",'3_보호자행동'!$AP$5:$AP$35,"&gt;=1"))=0,"",MAX(_xlfn.MAXIFS('1_바디시그널'!$AP$5:$AP$36,'1_바디시그널'!$AD$5:$AD$36,"CON"),_xlfn.MAXIFS('2_개행동'!$AP$5:$AP$26,'2_개행동'!$AD$5:$AD$26,"CON"),_xlfn.MAXIFS('3_보호자행동'!$AP$5:$AP$35,'3_보호자행동'!$AD$5:$AD$35,"CON")))</f>
        <v/>
      </c>
      <c r="T17" s="49">
        <f>IF((COUNTIFS('1_바디시그널'!$AD$5:$AD$36,"CON",'1_바디시그널'!$AP$5:$AP$36,"&gt;=1")+COUNTIFS('2_개행동'!$AD$5:$AD$26,"CON",'2_개행동'!$AP$5:$AP$26,"&gt;=1")+COUNTIFS('3_보호자행동'!$AD$5:$AD$35,"CON",'3_보호자행동'!$AP$5:$AP$35,"&gt;=1"))=0,"",ROUND((SUMIFS('1_바디시그널'!$AP$5:$AP$36,'1_바디시그널'!$AD$5:$AD$36,"CON",'1_바디시그널'!$AP$5:$AP$36,"&gt;=1")+SUMIFS('2_개행동'!$AP$5:$AP$26,'2_개행동'!$AD$5:$AD$26,"CON",'2_개행동'!$AP$5:$AP$26,"&gt;=1")+SUMIFS('3_보호자행동'!$AP$5:$AP$35,'3_보호자행동'!$AD$5:$AD$35,"CON",'3_보호자행동'!$AP$5:$AP$35,"&gt;=1"))/(COUNTIFS('1_바디시그널'!$AD$5:$AD$36,"CON",'1_바디시그널'!$AP$5:$AP$36,"&gt;=1")+COUNTIFS('2_개행동'!$AD$5:$AD$26,"CON",'2_개행동'!$AP$5:$AP$26,"&gt;=1")+COUNTIFS('3_보호자행동'!$AD$5:$AD$35,"CON",'3_보호자행동'!$AP$5:$AP$35,"&gt;=1")),2))</f>
        <v/>
      </c>
      <c r="U17" s="49">
        <f>IF((COUNTIFS('1_바디시그널'!$AD$5:$AD$36,"CON",'1_바디시그널'!$AP$5:$AP$36,"&gt;=1")+COUNTIFS('2_개행동'!$AD$5:$AD$26,"CON",'2_개행동'!$AP$5:$AP$26,"&gt;=1")+COUNTIFS('3_보호자행동'!$AD$5:$AD$35,"CON",'3_보호자행동'!$AP$5:$AP$35,"&gt;=1"))=0,"",IF((SUMIFS('1_바디시그널'!$AP$5:$AP$36,'1_바디시그널'!$AD$5:$AD$36,"CON",'1_바디시그널'!$BJ$5:$BJ$36,"A")+SUMIFS('2_개행동'!$AP$5:$AP$26,'2_개행동'!$AD$5:$AD$26,"CON",'2_개행동'!$BJ$5:$BJ$26,"A")+SUMIFS('3_보호자행동'!$AP$5:$AP$35,'3_보호자행동'!$AD$5:$AD$35,"CON",'3_보호자행동'!$BJ$5:$BJ$35,"A"))&gt;(SUMIFS('1_바디시그널'!$AP$5:$AP$36,'1_바디시그널'!$AD$5:$AD$36,"CON",'1_바디시그널'!$BJ$5:$BJ$36,"B")+SUMIFS('2_개행동'!$AP$5:$AP$26,'2_개행동'!$AD$5:$AD$26,"CON",'2_개행동'!$BJ$5:$BJ$26,"B")+SUMIFS('3_보호자행동'!$AP$5:$AP$35,'3_보호자행동'!$AD$5:$AD$35,"CON",'3_보호자행동'!$BJ$5:$BJ$35,"B")),"A",IF((SUMIFS('1_바디시그널'!$AP$5:$AP$36,'1_바디시그널'!$AD$5:$AD$36,"CON",'1_바디시그널'!$BJ$5:$BJ$36,"B")+SUMIFS('2_개행동'!$AP$5:$AP$26,'2_개행동'!$AD$5:$AD$26,"CON",'2_개행동'!$BJ$5:$BJ$26,"B")+SUMIFS('3_보호자행동'!$AP$5:$AP$35,'3_보호자행동'!$AD$5:$AD$35,"CON",'3_보호자행동'!$BJ$5:$BJ$35,"B"))&gt;(SUMIFS('1_바디시그널'!$AP$5:$AP$36,'1_바디시그널'!$AD$5:$AD$36,"CON",'1_바디시그널'!$BJ$5:$BJ$36,"A")+SUMIFS('2_개행동'!$AP$5:$AP$26,'2_개행동'!$AD$5:$AD$26,"CON",'2_개행동'!$BJ$5:$BJ$26,"A")+SUMIFS('3_보호자행동'!$AP$5:$AP$35,'3_보호자행동'!$AD$5:$AD$35,"CON",'3_보호자행동'!$BJ$5:$BJ$35,"A")),"B","-")))</f>
        <v/>
      </c>
      <c r="V17" s="48">
        <f>IF(COUNT(X17:AA17)=0,"",ROUND(MAX(X17:AA17)-MIN(X17:AA17),2))</f>
        <v/>
      </c>
      <c r="W17" s="47" t="n"/>
      <c r="X17" s="49">
        <f>IFERROR(SUMIFS('3_보호자행동'!$AP$5:$AP$35,'3_보호자행동'!$A$5:$A$35,"입장",'3_보호자행동'!$AP$5:$AP$35,"&gt;=1")/COUNTIFS('3_보호자행동'!$A$5:$A$35,"입장",'3_보호자행동'!$AP$5:$AP$35,"&gt;=1"),"")</f>
        <v/>
      </c>
      <c r="Y17" s="49">
        <f>IFERROR(SUMIFS('3_보호자행동'!$AP$5:$AP$35,'3_보호자행동'!$A$5:$A$35,"분리",'3_보호자행동'!$AP$5:$AP$35,"&gt;=1")/COUNTIFS('3_보호자행동'!$A$5:$A$35,"분리",'3_보호자행동'!$AP$5:$AP$35,"&gt;=1"),"")</f>
        <v/>
      </c>
      <c r="Z17" s="49">
        <f>IFERROR(SUMIFS('3_보호자행동'!$AP$5:$AP$35,'3_보호자행동'!$A$5:$A$35,"훈련",'3_보호자행동'!$AP$5:$AP$35,"&gt;=1")/COUNTIFS('3_보호자행동'!$A$5:$A$35,"훈련",'3_보호자행동'!$AP$5:$AP$35,"&gt;=1"),"")</f>
        <v/>
      </c>
      <c r="AA17" s="49">
        <f>IFERROR(SUMIFS('3_보호자행동'!$AP$5:$AP$35,'3_보호자행동'!$A$5:$A$35,"놀이",'3_보호자행동'!$AP$5:$AP$35,"&gt;=1")/COUNTIFS('3_보호자행동'!$A$5:$A$35,"놀이",'3_보호자행동'!$AP$5:$AP$35,"&gt;=1"),"")</f>
        <v/>
      </c>
      <c r="AB17">
        <f>IF((COUNTIFS('1_바디시그널'!$AD$5:$AD$36,"TRN",'1_바디시그널'!$AP$5:$AP$36,"&gt;=1")+COUNTIFS('2_개행동'!$AD$5:$AD$26,"TRN",'2_개행동'!$AP$5:$AP$26,"&gt;=1")+COUNTIFS('3_보호자행동'!$AD$5:$AD$35,"TRN",'3_보호자행동'!$AP$5:$AP$35,"&gt;=1"))=0,"",MAX(_xlfn.MAXIFS('1_바디시그널'!$AP$5:$AP$36,'1_바디시그널'!$AD$5:$AD$36,"TRN"),_xlfn.MAXIFS('2_개행동'!$AP$5:$AP$26,'2_개행동'!$AD$5:$AD$26,"TRN"),_xlfn.MAXIFS('3_보호자행동'!$AP$5:$AP$35,'3_보호자행동'!$AD$5:$AD$35,"TRN")))</f>
        <v/>
      </c>
      <c r="AC17">
        <f>IF((COUNTIFS('1_바디시그널'!$AD$5:$AD$36,"TRN",'1_바디시그널'!$AP$5:$AP$36,"&gt;=1")+COUNTIFS('2_개행동'!$AD$5:$AD$26,"TRN",'2_개행동'!$AP$5:$AP$26,"&gt;=1")+COUNTIFS('3_보호자행동'!$AD$5:$AD$35,"TRN",'3_보호자행동'!$AP$5:$AP$35,"&gt;=1"))=0,"",ROUND((SUMIFS('1_바디시그널'!$AP$5:$AP$36,'1_바디시그널'!$AD$5:$AD$36,"TRN",'1_바디시그널'!$AP$5:$AP$36,"&gt;=1")+SUMIFS('2_개행동'!$AP$5:$AP$26,'2_개행동'!$AD$5:$AD$26,"TRN",'2_개행동'!$AP$5:$AP$26,"&gt;=1")+SUMIFS('3_보호자행동'!$AP$5:$AP$35,'3_보호자행동'!$AD$5:$AD$35,"TRN",'3_보호자행동'!$AP$5:$AP$35,"&gt;=1"))/(COUNTIFS('1_바디시그널'!$AD$5:$AD$36,"TRN",'1_바디시그널'!$AP$5:$AP$36,"&gt;=1")+COUNTIFS('2_개행동'!$AD$5:$AD$26,"TRN",'2_개행동'!$AP$5:$AP$26,"&gt;=1")+COUNTIFS('3_보호자행동'!$AD$5:$AD$35,"TRN",'3_보호자행동'!$AP$5:$AP$35,"&gt;=1")),2))</f>
        <v/>
      </c>
      <c r="AD17">
        <f>IF((COUNTIFS('1_바디시그널'!$AD$5:$AD$36,"TRN",'1_바디시그널'!$AP$5:$AP$36,"&gt;=1")+COUNTIFS('2_개행동'!$AD$5:$AD$26,"TRN",'2_개행동'!$AP$5:$AP$26,"&gt;=1")+COUNTIFS('3_보호자행동'!$AD$5:$AD$35,"TRN",'3_보호자행동'!$AP$5:$AP$35,"&gt;=1"))=0,"",IF((SUMIFS('1_바디시그널'!$AP$5:$AP$36,'1_바디시그널'!$AD$5:$AD$36,"TRN",'1_바디시그널'!$BJ$5:$BJ$36,"A")+SUMIFS('2_개행동'!$AP$5:$AP$26,'2_개행동'!$AD$5:$AD$26,"TRN",'2_개행동'!$BJ$5:$BJ$26,"A")+SUMIFS('3_보호자행동'!$AP$5:$AP$35,'3_보호자행동'!$AD$5:$AD$35,"TRN",'3_보호자행동'!$BJ$5:$BJ$35,"A"))&gt;(SUMIFS('1_바디시그널'!$AP$5:$AP$36,'1_바디시그널'!$AD$5:$AD$36,"TRN",'1_바디시그널'!$BJ$5:$BJ$36,"B")+SUMIFS('2_개행동'!$AP$5:$AP$26,'2_개행동'!$AD$5:$AD$26,"TRN",'2_개행동'!$BJ$5:$BJ$26,"B")+SUMIFS('3_보호자행동'!$AP$5:$AP$35,'3_보호자행동'!$AD$5:$AD$35,"TRN",'3_보호자행동'!$BJ$5:$BJ$35,"B")),"A",IF((SUMIFS('1_바디시그널'!$AP$5:$AP$36,'1_바디시그널'!$AD$5:$AD$36,"TRN",'1_바디시그널'!$BJ$5:$BJ$36,"B")+SUMIFS('2_개행동'!$AP$5:$AP$26,'2_개행동'!$AD$5:$AD$26,"TRN",'2_개행동'!$BJ$5:$BJ$26,"B")+SUMIFS('3_보호자행동'!$AP$5:$AP$35,'3_보호자행동'!$AD$5:$AD$35,"TRN",'3_보호자행동'!$BJ$5:$BJ$35,"B"))&gt;(SUMIFS('1_바디시그널'!$AP$5:$AP$36,'1_바디시그널'!$AD$5:$AD$36,"TRN",'1_바디시그널'!$BJ$5:$BJ$36,"A")+SUMIFS('2_개행동'!$AP$5:$AP$26,'2_개행동'!$AD$5:$AD$26,"TRN",'2_개행동'!$BJ$5:$BJ$26,"A")+SUMIFS('3_보호자행동'!$AP$5:$AP$35,'3_보호자행동'!$AD$5:$AD$35,"TRN",'3_보호자행동'!$BJ$5:$BJ$35,"A")),"B","-")))</f>
        <v/>
      </c>
      <c r="AE17">
        <f>IF('2_개행동'!$U$11="","",'2_개행동'!$U$11&amp;IF('2_개행동'!$U$11=3," [B]",IF('2_개행동'!$U$11=1,""," [A]")))</f>
        <v/>
      </c>
    </row>
    <row r="18" ht="18.75" customHeight="1" s="1">
      <c r="A18" s="46" t="n">
        <v>13</v>
      </c>
      <c r="B18" s="47" t="n"/>
      <c r="C18" s="47" t="n"/>
      <c r="D18" s="48">
        <f>IF((COUNTIFS('1_바디시그널'!$AD$5:$AD$36,"EDU",'1_바디시그널'!$AQ$5:$AQ$36,"&gt;=1")+COUNTIFS('2_개행동'!$AD$5:$AD$26,"EDU",'2_개행동'!$AQ$5:$AQ$26,"&gt;=1")+COUNTIFS('3_보호자행동'!$AD$5:$AD$35,"EDU",'3_보호자행동'!$AQ$5:$AQ$35,"&gt;=1"))=0,"",MAX(_xlfn.MAXIFS('1_바디시그널'!$AQ$5:$AQ$36,'1_바디시그널'!$AD$5:$AD$36,"EDU"),_xlfn.MAXIFS('2_개행동'!$AQ$5:$AQ$26,'2_개행동'!$AD$5:$AD$26,"EDU"),_xlfn.MAXIFS('3_보호자행동'!$AQ$5:$AQ$35,'3_보호자행동'!$AD$5:$AD$35,"EDU")))</f>
        <v/>
      </c>
      <c r="E18" s="49">
        <f>IF((COUNTIFS('1_바디시그널'!$AD$5:$AD$36,"EDU",'1_바디시그널'!$AQ$5:$AQ$36,"&gt;=1")+COUNTIFS('2_개행동'!$AD$5:$AD$26,"EDU",'2_개행동'!$AQ$5:$AQ$26,"&gt;=1")+COUNTIFS('3_보호자행동'!$AD$5:$AD$35,"EDU",'3_보호자행동'!$AQ$5:$AQ$35,"&gt;=1"))=0,"",ROUND((SUMIFS('1_바디시그널'!$AQ$5:$AQ$36,'1_바디시그널'!$AD$5:$AD$36,"EDU",'1_바디시그널'!$AQ$5:$AQ$36,"&gt;=1")+SUMIFS('2_개행동'!$AQ$5:$AQ$26,'2_개행동'!$AD$5:$AD$26,"EDU",'2_개행동'!$AQ$5:$AQ$26,"&gt;=1")+SUMIFS('3_보호자행동'!$AQ$5:$AQ$35,'3_보호자행동'!$AD$5:$AD$35,"EDU",'3_보호자행동'!$AQ$5:$AQ$35,"&gt;=1"))/(COUNTIFS('1_바디시그널'!$AD$5:$AD$36,"EDU",'1_바디시그널'!$AQ$5:$AQ$36,"&gt;=1")+COUNTIFS('2_개행동'!$AD$5:$AD$26,"EDU",'2_개행동'!$AQ$5:$AQ$26,"&gt;=1")+COUNTIFS('3_보호자행동'!$AD$5:$AD$35,"EDU",'3_보호자행동'!$AQ$5:$AQ$35,"&gt;=1")),2))</f>
        <v/>
      </c>
      <c r="F18" s="49">
        <f>IF((COUNTIFS('1_바디시그널'!$AD$5:$AD$36,"EDU",'1_바디시그널'!$AQ$5:$AQ$36,"&gt;=1")+COUNTIFS('2_개행동'!$AD$5:$AD$26,"EDU",'2_개행동'!$AQ$5:$AQ$26,"&gt;=1")+COUNTIFS('3_보호자행동'!$AD$5:$AD$35,"EDU",'3_보호자행동'!$AQ$5:$AQ$35,"&gt;=1"))=0,"",IF((SUMIFS('1_바디시그널'!$AQ$5:$AQ$36,'1_바디시그널'!$AD$5:$AD$36,"EDU",'1_바디시그널'!$BK$5:$BK$36,"A")+SUMIFS('2_개행동'!$AQ$5:$AQ$26,'2_개행동'!$AD$5:$AD$26,"EDU",'2_개행동'!$BK$5:$BK$26,"A")+SUMIFS('3_보호자행동'!$AQ$5:$AQ$35,'3_보호자행동'!$AD$5:$AD$35,"EDU",'3_보호자행동'!$BK$5:$BK$35,"A"))&gt;(SUMIFS('1_바디시그널'!$AQ$5:$AQ$36,'1_바디시그널'!$AD$5:$AD$36,"EDU",'1_바디시그널'!$BK$5:$BK$36,"B")+SUMIFS('2_개행동'!$AQ$5:$AQ$26,'2_개행동'!$AD$5:$AD$26,"EDU",'2_개행동'!$BK$5:$BK$26,"B")+SUMIFS('3_보호자행동'!$AQ$5:$AQ$35,'3_보호자행동'!$AD$5:$AD$35,"EDU",'3_보호자행동'!$BK$5:$BK$35,"B")),"A",IF((SUMIFS('1_바디시그널'!$AQ$5:$AQ$36,'1_바디시그널'!$AD$5:$AD$36,"EDU",'1_바디시그널'!$BK$5:$BK$36,"B")+SUMIFS('2_개행동'!$AQ$5:$AQ$26,'2_개행동'!$AD$5:$AD$26,"EDU",'2_개행동'!$BK$5:$BK$26,"B")+SUMIFS('3_보호자행동'!$AQ$5:$AQ$35,'3_보호자행동'!$AD$5:$AD$35,"EDU",'3_보호자행동'!$BK$5:$BK$35,"B"))&gt;(SUMIFS('1_바디시그널'!$AQ$5:$AQ$36,'1_바디시그널'!$AD$5:$AD$36,"EDU",'1_바디시그널'!$BK$5:$BK$36,"A")+SUMIFS('2_개행동'!$AQ$5:$AQ$26,'2_개행동'!$AD$5:$AD$26,"EDU",'2_개행동'!$BK$5:$BK$26,"A")+SUMIFS('3_보호자행동'!$AQ$5:$AQ$35,'3_보호자행동'!$AD$5:$AD$35,"EDU",'3_보호자행동'!$BK$5:$BK$35,"A")),"B","-")))</f>
        <v/>
      </c>
      <c r="G18" s="49">
        <f>IF((COUNTIFS('1_바디시그널'!$AD$5:$AD$36,"SOC_P",'1_바디시그널'!$AQ$5:$AQ$36,"&gt;=1")+COUNTIFS('2_개행동'!$AD$5:$AD$26,"SOC_P",'2_개행동'!$AQ$5:$AQ$26,"&gt;=1")+COUNTIFS('3_보호자행동'!$AD$5:$AD$35,"SOC_P",'3_보호자행동'!$AQ$5:$AQ$35,"&gt;=1"))=0,"",MAX(_xlfn.MAXIFS('1_바디시그널'!$AQ$5:$AQ$36,'1_바디시그널'!$AD$5:$AD$36,"SOC_P"),_xlfn.MAXIFS('2_개행동'!$AQ$5:$AQ$26,'2_개행동'!$AD$5:$AD$26,"SOC_P"),_xlfn.MAXIFS('3_보호자행동'!$AQ$5:$AQ$35,'3_보호자행동'!$AD$5:$AD$35,"SOC_P")))</f>
        <v/>
      </c>
      <c r="H18" s="49">
        <f>IF((COUNTIFS('1_바디시그널'!$AD$5:$AD$36,"SOC_P",'1_바디시그널'!$AQ$5:$AQ$36,"&gt;=1")+COUNTIFS('2_개행동'!$AD$5:$AD$26,"SOC_P",'2_개행동'!$AQ$5:$AQ$26,"&gt;=1")+COUNTIFS('3_보호자행동'!$AD$5:$AD$35,"SOC_P",'3_보호자행동'!$AQ$5:$AQ$35,"&gt;=1"))=0,"",ROUND((SUMIFS('1_바디시그널'!$AQ$5:$AQ$36,'1_바디시그널'!$AD$5:$AD$36,"SOC_P",'1_바디시그널'!$AQ$5:$AQ$36,"&gt;=1")+SUMIFS('2_개행동'!$AQ$5:$AQ$26,'2_개행동'!$AD$5:$AD$26,"SOC_P",'2_개행동'!$AQ$5:$AQ$26,"&gt;=1")+SUMIFS('3_보호자행동'!$AQ$5:$AQ$35,'3_보호자행동'!$AD$5:$AD$35,"SOC_P",'3_보호자행동'!$AQ$5:$AQ$35,"&gt;=1"))/(COUNTIFS('1_바디시그널'!$AD$5:$AD$36,"SOC_P",'1_바디시그널'!$AQ$5:$AQ$36,"&gt;=1")+COUNTIFS('2_개행동'!$AD$5:$AD$26,"SOC_P",'2_개행동'!$AQ$5:$AQ$26,"&gt;=1")+COUNTIFS('3_보호자행동'!$AD$5:$AD$35,"SOC_P",'3_보호자행동'!$AQ$5:$AQ$35,"&gt;=1")),2))</f>
        <v/>
      </c>
      <c r="I18" s="49">
        <f>IF((COUNTIFS('1_바디시그널'!$AD$5:$AD$36,"SOC_P",'1_바디시그널'!$AQ$5:$AQ$36,"&gt;=1")+COUNTIFS('2_개행동'!$AD$5:$AD$26,"SOC_P",'2_개행동'!$AQ$5:$AQ$26,"&gt;=1")+COUNTIFS('3_보호자행동'!$AD$5:$AD$35,"SOC_P",'3_보호자행동'!$AQ$5:$AQ$35,"&gt;=1"))=0,"",IF((SUMIFS('1_바디시그널'!$AQ$5:$AQ$36,'1_바디시그널'!$AD$5:$AD$36,"SOC_P",'1_바디시그널'!$BK$5:$BK$36,"A")+SUMIFS('2_개행동'!$AQ$5:$AQ$26,'2_개행동'!$AD$5:$AD$26,"SOC_P",'2_개행동'!$BK$5:$BK$26,"A")+SUMIFS('3_보호자행동'!$AQ$5:$AQ$35,'3_보호자행동'!$AD$5:$AD$35,"SOC_P",'3_보호자행동'!$BK$5:$BK$35,"A"))&gt;(SUMIFS('1_바디시그널'!$AQ$5:$AQ$36,'1_바디시그널'!$AD$5:$AD$36,"SOC_P",'1_바디시그널'!$BK$5:$BK$36,"B")+SUMIFS('2_개행동'!$AQ$5:$AQ$26,'2_개행동'!$AD$5:$AD$26,"SOC_P",'2_개행동'!$BK$5:$BK$26,"B")+SUMIFS('3_보호자행동'!$AQ$5:$AQ$35,'3_보호자행동'!$AD$5:$AD$35,"SOC_P",'3_보호자행동'!$BK$5:$BK$35,"B")),"A",IF((SUMIFS('1_바디시그널'!$AQ$5:$AQ$36,'1_바디시그널'!$AD$5:$AD$36,"SOC_P",'1_바디시그널'!$BK$5:$BK$36,"B")+SUMIFS('2_개행동'!$AQ$5:$AQ$26,'2_개행동'!$AD$5:$AD$26,"SOC_P",'2_개행동'!$BK$5:$BK$26,"B")+SUMIFS('3_보호자행동'!$AQ$5:$AQ$35,'3_보호자행동'!$AD$5:$AD$35,"SOC_P",'3_보호자행동'!$BK$5:$BK$35,"B"))&gt;(SUMIFS('1_바디시그널'!$AQ$5:$AQ$36,'1_바디시그널'!$AD$5:$AD$36,"SOC_P",'1_바디시그널'!$BK$5:$BK$36,"A")+SUMIFS('2_개행동'!$AQ$5:$AQ$26,'2_개행동'!$AD$5:$AD$26,"SOC_P",'2_개행동'!$BK$5:$BK$26,"A")+SUMIFS('3_보호자행동'!$AQ$5:$AQ$35,'3_보호자행동'!$AD$5:$AD$35,"SOC_P",'3_보호자행동'!$BK$5:$BK$35,"A")),"B","-")))</f>
        <v/>
      </c>
      <c r="J18" s="49">
        <f>IF((COUNTIFS('1_바디시그널'!$AD$5:$AD$36,"SOC_D",'1_바디시그널'!$AQ$5:$AQ$36,"&gt;=1")+COUNTIFS('2_개행동'!$AD$5:$AD$26,"SOC_D",'2_개행동'!$AQ$5:$AQ$26,"&gt;=1")+COUNTIFS('3_보호자행동'!$AD$5:$AD$35,"SOC_D",'3_보호자행동'!$AQ$5:$AQ$35,"&gt;=1"))=0,"",MAX(_xlfn.MAXIFS('1_바디시그널'!$AQ$5:$AQ$36,'1_바디시그널'!$AD$5:$AD$36,"SOC_D"),_xlfn.MAXIFS('2_개행동'!$AQ$5:$AQ$26,'2_개행동'!$AD$5:$AD$26,"SOC_D"),_xlfn.MAXIFS('3_보호자행동'!$AQ$5:$AQ$35,'3_보호자행동'!$AD$5:$AD$35,"SOC_D")))</f>
        <v/>
      </c>
      <c r="K18" s="49">
        <f>IF((COUNTIFS('1_바디시그널'!$AD$5:$AD$36,"SOC_D",'1_바디시그널'!$AQ$5:$AQ$36,"&gt;=1")+COUNTIFS('2_개행동'!$AD$5:$AD$26,"SOC_D",'2_개행동'!$AQ$5:$AQ$26,"&gt;=1")+COUNTIFS('3_보호자행동'!$AD$5:$AD$35,"SOC_D",'3_보호자행동'!$AQ$5:$AQ$35,"&gt;=1"))=0,"",ROUND((SUMIFS('1_바디시그널'!$AQ$5:$AQ$36,'1_바디시그널'!$AD$5:$AD$36,"SOC_D",'1_바디시그널'!$AQ$5:$AQ$36,"&gt;=1")+SUMIFS('2_개행동'!$AQ$5:$AQ$26,'2_개행동'!$AD$5:$AD$26,"SOC_D",'2_개행동'!$AQ$5:$AQ$26,"&gt;=1")+SUMIFS('3_보호자행동'!$AQ$5:$AQ$35,'3_보호자행동'!$AD$5:$AD$35,"SOC_D",'3_보호자행동'!$AQ$5:$AQ$35,"&gt;=1"))/(COUNTIFS('1_바디시그널'!$AD$5:$AD$36,"SOC_D",'1_바디시그널'!$AQ$5:$AQ$36,"&gt;=1")+COUNTIFS('2_개행동'!$AD$5:$AD$26,"SOC_D",'2_개행동'!$AQ$5:$AQ$26,"&gt;=1")+COUNTIFS('3_보호자행동'!$AD$5:$AD$35,"SOC_D",'3_보호자행동'!$AQ$5:$AQ$35,"&gt;=1")),2))</f>
        <v/>
      </c>
      <c r="L18" s="49">
        <f>IF((COUNTIFS('1_바디시그널'!$AD$5:$AD$36,"SOC_D",'1_바디시그널'!$AQ$5:$AQ$36,"&gt;=1")+COUNTIFS('2_개행동'!$AD$5:$AD$26,"SOC_D",'2_개행동'!$AQ$5:$AQ$26,"&gt;=1")+COUNTIFS('3_보호자행동'!$AD$5:$AD$35,"SOC_D",'3_보호자행동'!$AQ$5:$AQ$35,"&gt;=1"))=0,"",IF((SUMIFS('1_바디시그널'!$AQ$5:$AQ$36,'1_바디시그널'!$AD$5:$AD$36,"SOC_D",'1_바디시그널'!$BK$5:$BK$36,"A")+SUMIFS('2_개행동'!$AQ$5:$AQ$26,'2_개행동'!$AD$5:$AD$26,"SOC_D",'2_개행동'!$BK$5:$BK$26,"A")+SUMIFS('3_보호자행동'!$AQ$5:$AQ$35,'3_보호자행동'!$AD$5:$AD$35,"SOC_D",'3_보호자행동'!$BK$5:$BK$35,"A"))&gt;(SUMIFS('1_바디시그널'!$AQ$5:$AQ$36,'1_바디시그널'!$AD$5:$AD$36,"SOC_D",'1_바디시그널'!$BK$5:$BK$36,"B")+SUMIFS('2_개행동'!$AQ$5:$AQ$26,'2_개행동'!$AD$5:$AD$26,"SOC_D",'2_개행동'!$BK$5:$BK$26,"B")+SUMIFS('3_보호자행동'!$AQ$5:$AQ$35,'3_보호자행동'!$AD$5:$AD$35,"SOC_D",'3_보호자행동'!$BK$5:$BK$35,"B")),"A",IF((SUMIFS('1_바디시그널'!$AQ$5:$AQ$36,'1_바디시그널'!$AD$5:$AD$36,"SOC_D",'1_바디시그널'!$BK$5:$BK$36,"B")+SUMIFS('2_개행동'!$AQ$5:$AQ$26,'2_개행동'!$AD$5:$AD$26,"SOC_D",'2_개행동'!$BK$5:$BK$26,"B")+SUMIFS('3_보호자행동'!$AQ$5:$AQ$35,'3_보호자행동'!$AD$5:$AD$35,"SOC_D",'3_보호자행동'!$BK$5:$BK$35,"B"))&gt;(SUMIFS('1_바디시그널'!$AQ$5:$AQ$36,'1_바디시그널'!$AD$5:$AD$36,"SOC_D",'1_바디시그널'!$BK$5:$BK$36,"A")+SUMIFS('2_개행동'!$AQ$5:$AQ$26,'2_개행동'!$AD$5:$AD$26,"SOC_D",'2_개행동'!$BK$5:$BK$26,"A")+SUMIFS('3_보호자행동'!$AQ$5:$AQ$35,'3_보호자행동'!$AD$5:$AD$35,"SOC_D",'3_보호자행동'!$BK$5:$BK$35,"A")),"B","-")))</f>
        <v/>
      </c>
      <c r="M18" s="49">
        <f>IF((COUNTIFS('1_바디시그널'!$AD$5:$AD$36,"SOC_E",'1_바디시그널'!$AQ$5:$AQ$36,"&gt;=1")+COUNTIFS('2_개행동'!$AD$5:$AD$26,"SOC_E",'2_개행동'!$AQ$5:$AQ$26,"&gt;=1")+COUNTIFS('3_보호자행동'!$AD$5:$AD$35,"SOC_E",'3_보호자행동'!$AQ$5:$AQ$35,"&gt;=1"))=0,"",MAX(_xlfn.MAXIFS('1_바디시그널'!$AQ$5:$AQ$36,'1_바디시그널'!$AD$5:$AD$36,"SOC_E"),_xlfn.MAXIFS('2_개행동'!$AQ$5:$AQ$26,'2_개행동'!$AD$5:$AD$26,"SOC_E"),_xlfn.MAXIFS('3_보호자행동'!$AQ$5:$AQ$35,'3_보호자행동'!$AD$5:$AD$35,"SOC_E")))</f>
        <v/>
      </c>
      <c r="N18" s="49">
        <f>IF((COUNTIFS('1_바디시그널'!$AD$5:$AD$36,"SOC_E",'1_바디시그널'!$AQ$5:$AQ$36,"&gt;=1")+COUNTIFS('2_개행동'!$AD$5:$AD$26,"SOC_E",'2_개행동'!$AQ$5:$AQ$26,"&gt;=1")+COUNTIFS('3_보호자행동'!$AD$5:$AD$35,"SOC_E",'3_보호자행동'!$AQ$5:$AQ$35,"&gt;=1"))=0,"",ROUND((SUMIFS('1_바디시그널'!$AQ$5:$AQ$36,'1_바디시그널'!$AD$5:$AD$36,"SOC_E",'1_바디시그널'!$AQ$5:$AQ$36,"&gt;=1")+SUMIFS('2_개행동'!$AQ$5:$AQ$26,'2_개행동'!$AD$5:$AD$26,"SOC_E",'2_개행동'!$AQ$5:$AQ$26,"&gt;=1")+SUMIFS('3_보호자행동'!$AQ$5:$AQ$35,'3_보호자행동'!$AD$5:$AD$35,"SOC_E",'3_보호자행동'!$AQ$5:$AQ$35,"&gt;=1"))/(COUNTIFS('1_바디시그널'!$AD$5:$AD$36,"SOC_E",'1_바디시그널'!$AQ$5:$AQ$36,"&gt;=1")+COUNTIFS('2_개행동'!$AD$5:$AD$26,"SOC_E",'2_개행동'!$AQ$5:$AQ$26,"&gt;=1")+COUNTIFS('3_보호자행동'!$AD$5:$AD$35,"SOC_E",'3_보호자행동'!$AQ$5:$AQ$35,"&gt;=1")),2))</f>
        <v/>
      </c>
      <c r="O18" s="49">
        <f>IF((COUNTIFS('1_바디시그널'!$AD$5:$AD$36,"SOC_E",'1_바디시그널'!$AQ$5:$AQ$36,"&gt;=1")+COUNTIFS('2_개행동'!$AD$5:$AD$26,"SOC_E",'2_개행동'!$AQ$5:$AQ$26,"&gt;=1")+COUNTIFS('3_보호자행동'!$AD$5:$AD$35,"SOC_E",'3_보호자행동'!$AQ$5:$AQ$35,"&gt;=1"))=0,"",IF((SUMIFS('1_바디시그널'!$AQ$5:$AQ$36,'1_바디시그널'!$AD$5:$AD$36,"SOC_E",'1_바디시그널'!$BK$5:$BK$36,"A")+SUMIFS('2_개행동'!$AQ$5:$AQ$26,'2_개행동'!$AD$5:$AD$26,"SOC_E",'2_개행동'!$BK$5:$BK$26,"A")+SUMIFS('3_보호자행동'!$AQ$5:$AQ$35,'3_보호자행동'!$AD$5:$AD$35,"SOC_E",'3_보호자행동'!$BK$5:$BK$35,"A"))&gt;(SUMIFS('1_바디시그널'!$AQ$5:$AQ$36,'1_바디시그널'!$AD$5:$AD$36,"SOC_E",'1_바디시그널'!$BK$5:$BK$36,"B")+SUMIFS('2_개행동'!$AQ$5:$AQ$26,'2_개행동'!$AD$5:$AD$26,"SOC_E",'2_개행동'!$BK$5:$BK$26,"B")+SUMIFS('3_보호자행동'!$AQ$5:$AQ$35,'3_보호자행동'!$AD$5:$AD$35,"SOC_E",'3_보호자행동'!$BK$5:$BK$35,"B")),"A",IF((SUMIFS('1_바디시그널'!$AQ$5:$AQ$36,'1_바디시그널'!$AD$5:$AD$36,"SOC_E",'1_바디시그널'!$BK$5:$BK$36,"B")+SUMIFS('2_개행동'!$AQ$5:$AQ$26,'2_개행동'!$AD$5:$AD$26,"SOC_E",'2_개행동'!$BK$5:$BK$26,"B")+SUMIFS('3_보호자행동'!$AQ$5:$AQ$35,'3_보호자행동'!$AD$5:$AD$35,"SOC_E",'3_보호자행동'!$BK$5:$BK$35,"B"))&gt;(SUMIFS('1_바디시그널'!$AQ$5:$AQ$36,'1_바디시그널'!$AD$5:$AD$36,"SOC_E",'1_바디시그널'!$BK$5:$BK$36,"A")+SUMIFS('2_개행동'!$AQ$5:$AQ$26,'2_개행동'!$AD$5:$AD$26,"SOC_E",'2_개행동'!$BK$5:$BK$26,"A")+SUMIFS('3_보호자행동'!$AQ$5:$AQ$35,'3_보호자행동'!$AD$5:$AD$35,"SOC_E",'3_보호자행동'!$BK$5:$BK$35,"A")),"B","-")))</f>
        <v/>
      </c>
      <c r="P18" s="49">
        <f>IF((COUNTIFS('1_바디시그널'!$AD$5:$AD$36,"ATT",'1_바디시그널'!$AQ$5:$AQ$36,"&gt;=1")+COUNTIFS('2_개행동'!$AD$5:$AD$26,"ATT",'2_개행동'!$AQ$5:$AQ$26,"&gt;=1")+COUNTIFS('3_보호자행동'!$AD$5:$AD$35,"ATT",'3_보호자행동'!$AQ$5:$AQ$35,"&gt;=1"))=0,"",MAX(_xlfn.MAXIFS('1_바디시그널'!$AQ$5:$AQ$36,'1_바디시그널'!$AD$5:$AD$36,"ATT"),_xlfn.MAXIFS('2_개행동'!$AQ$5:$AQ$26,'2_개행동'!$AD$5:$AD$26,"ATT"),_xlfn.MAXIFS('3_보호자행동'!$AQ$5:$AQ$35,'3_보호자행동'!$AD$5:$AD$35,"ATT")))</f>
        <v/>
      </c>
      <c r="Q18" s="49">
        <f>IF((COUNTIFS('1_바디시그널'!$AD$5:$AD$36,"ATT",'1_바디시그널'!$AQ$5:$AQ$36,"&gt;=1")+COUNTIFS('2_개행동'!$AD$5:$AD$26,"ATT",'2_개행동'!$AQ$5:$AQ$26,"&gt;=1")+COUNTIFS('3_보호자행동'!$AD$5:$AD$35,"ATT",'3_보호자행동'!$AQ$5:$AQ$35,"&gt;=1"))=0,"",ROUND((SUMIFS('1_바디시그널'!$AQ$5:$AQ$36,'1_바디시그널'!$AD$5:$AD$36,"ATT",'1_바디시그널'!$AQ$5:$AQ$36,"&gt;=1")+SUMIFS('2_개행동'!$AQ$5:$AQ$26,'2_개행동'!$AD$5:$AD$26,"ATT",'2_개행동'!$AQ$5:$AQ$26,"&gt;=1")+SUMIFS('3_보호자행동'!$AQ$5:$AQ$35,'3_보호자행동'!$AD$5:$AD$35,"ATT",'3_보호자행동'!$AQ$5:$AQ$35,"&gt;=1"))/(COUNTIFS('1_바디시그널'!$AD$5:$AD$36,"ATT",'1_바디시그널'!$AQ$5:$AQ$36,"&gt;=1")+COUNTIFS('2_개행동'!$AD$5:$AD$26,"ATT",'2_개행동'!$AQ$5:$AQ$26,"&gt;=1")+COUNTIFS('3_보호자행동'!$AD$5:$AD$35,"ATT",'3_보호자행동'!$AQ$5:$AQ$35,"&gt;=1")),2))</f>
        <v/>
      </c>
      <c r="R18" s="49">
        <f>IF((COUNTIFS('1_바디시그널'!$AD$5:$AD$36,"ATT",'1_바디시그널'!$AQ$5:$AQ$36,"&gt;=1")+COUNTIFS('2_개행동'!$AD$5:$AD$26,"ATT",'2_개행동'!$AQ$5:$AQ$26,"&gt;=1")+COUNTIFS('3_보호자행동'!$AD$5:$AD$35,"ATT",'3_보호자행동'!$AQ$5:$AQ$35,"&gt;=1"))=0,"",IF((SUMIFS('1_바디시그널'!$AQ$5:$AQ$36,'1_바디시그널'!$AD$5:$AD$36,"ATT",'1_바디시그널'!$BK$5:$BK$36,"A")+SUMIFS('2_개행동'!$AQ$5:$AQ$26,'2_개행동'!$AD$5:$AD$26,"ATT",'2_개행동'!$BK$5:$BK$26,"A")+SUMIFS('3_보호자행동'!$AQ$5:$AQ$35,'3_보호자행동'!$AD$5:$AD$35,"ATT",'3_보호자행동'!$BK$5:$BK$35,"A"))&gt;(SUMIFS('1_바디시그널'!$AQ$5:$AQ$36,'1_바디시그널'!$AD$5:$AD$36,"ATT",'1_바디시그널'!$BK$5:$BK$36,"B")+SUMIFS('2_개행동'!$AQ$5:$AQ$26,'2_개행동'!$AD$5:$AD$26,"ATT",'2_개행동'!$BK$5:$BK$26,"B")+SUMIFS('3_보호자행동'!$AQ$5:$AQ$35,'3_보호자행동'!$AD$5:$AD$35,"ATT",'3_보호자행동'!$BK$5:$BK$35,"B")),"A",IF((SUMIFS('1_바디시그널'!$AQ$5:$AQ$36,'1_바디시그널'!$AD$5:$AD$36,"ATT",'1_바디시그널'!$BK$5:$BK$36,"B")+SUMIFS('2_개행동'!$AQ$5:$AQ$26,'2_개행동'!$AD$5:$AD$26,"ATT",'2_개행동'!$BK$5:$BK$26,"B")+SUMIFS('3_보호자행동'!$AQ$5:$AQ$35,'3_보호자행동'!$AD$5:$AD$35,"ATT",'3_보호자행동'!$BK$5:$BK$35,"B"))&gt;(SUMIFS('1_바디시그널'!$AQ$5:$AQ$36,'1_바디시그널'!$AD$5:$AD$36,"ATT",'1_바디시그널'!$BK$5:$BK$36,"A")+SUMIFS('2_개행동'!$AQ$5:$AQ$26,'2_개행동'!$AD$5:$AD$26,"ATT",'2_개행동'!$BK$5:$BK$26,"A")+SUMIFS('3_보호자행동'!$AQ$5:$AQ$35,'3_보호자행동'!$AD$5:$AD$35,"ATT",'3_보호자행동'!$BK$5:$BK$35,"A")),"B","-")))</f>
        <v/>
      </c>
      <c r="S18" s="49">
        <f>IF((COUNTIFS('1_바디시그널'!$AD$5:$AD$36,"CON",'1_바디시그널'!$AQ$5:$AQ$36,"&gt;=1")+COUNTIFS('2_개행동'!$AD$5:$AD$26,"CON",'2_개행동'!$AQ$5:$AQ$26,"&gt;=1")+COUNTIFS('3_보호자행동'!$AD$5:$AD$35,"CON",'3_보호자행동'!$AQ$5:$AQ$35,"&gt;=1"))=0,"",MAX(_xlfn.MAXIFS('1_바디시그널'!$AQ$5:$AQ$36,'1_바디시그널'!$AD$5:$AD$36,"CON"),_xlfn.MAXIFS('2_개행동'!$AQ$5:$AQ$26,'2_개행동'!$AD$5:$AD$26,"CON"),_xlfn.MAXIFS('3_보호자행동'!$AQ$5:$AQ$35,'3_보호자행동'!$AD$5:$AD$35,"CON")))</f>
        <v/>
      </c>
      <c r="T18" s="49">
        <f>IF((COUNTIFS('1_바디시그널'!$AD$5:$AD$36,"CON",'1_바디시그널'!$AQ$5:$AQ$36,"&gt;=1")+COUNTIFS('2_개행동'!$AD$5:$AD$26,"CON",'2_개행동'!$AQ$5:$AQ$26,"&gt;=1")+COUNTIFS('3_보호자행동'!$AD$5:$AD$35,"CON",'3_보호자행동'!$AQ$5:$AQ$35,"&gt;=1"))=0,"",ROUND((SUMIFS('1_바디시그널'!$AQ$5:$AQ$36,'1_바디시그널'!$AD$5:$AD$36,"CON",'1_바디시그널'!$AQ$5:$AQ$36,"&gt;=1")+SUMIFS('2_개행동'!$AQ$5:$AQ$26,'2_개행동'!$AD$5:$AD$26,"CON",'2_개행동'!$AQ$5:$AQ$26,"&gt;=1")+SUMIFS('3_보호자행동'!$AQ$5:$AQ$35,'3_보호자행동'!$AD$5:$AD$35,"CON",'3_보호자행동'!$AQ$5:$AQ$35,"&gt;=1"))/(COUNTIFS('1_바디시그널'!$AD$5:$AD$36,"CON",'1_바디시그널'!$AQ$5:$AQ$36,"&gt;=1")+COUNTIFS('2_개행동'!$AD$5:$AD$26,"CON",'2_개행동'!$AQ$5:$AQ$26,"&gt;=1")+COUNTIFS('3_보호자행동'!$AD$5:$AD$35,"CON",'3_보호자행동'!$AQ$5:$AQ$35,"&gt;=1")),2))</f>
        <v/>
      </c>
      <c r="U18" s="49">
        <f>IF((COUNTIFS('1_바디시그널'!$AD$5:$AD$36,"CON",'1_바디시그널'!$AQ$5:$AQ$36,"&gt;=1")+COUNTIFS('2_개행동'!$AD$5:$AD$26,"CON",'2_개행동'!$AQ$5:$AQ$26,"&gt;=1")+COUNTIFS('3_보호자행동'!$AD$5:$AD$35,"CON",'3_보호자행동'!$AQ$5:$AQ$35,"&gt;=1"))=0,"",IF((SUMIFS('1_바디시그널'!$AQ$5:$AQ$36,'1_바디시그널'!$AD$5:$AD$36,"CON",'1_바디시그널'!$BK$5:$BK$36,"A")+SUMIFS('2_개행동'!$AQ$5:$AQ$26,'2_개행동'!$AD$5:$AD$26,"CON",'2_개행동'!$BK$5:$BK$26,"A")+SUMIFS('3_보호자행동'!$AQ$5:$AQ$35,'3_보호자행동'!$AD$5:$AD$35,"CON",'3_보호자행동'!$BK$5:$BK$35,"A"))&gt;(SUMIFS('1_바디시그널'!$AQ$5:$AQ$36,'1_바디시그널'!$AD$5:$AD$36,"CON",'1_바디시그널'!$BK$5:$BK$36,"B")+SUMIFS('2_개행동'!$AQ$5:$AQ$26,'2_개행동'!$AD$5:$AD$26,"CON",'2_개행동'!$BK$5:$BK$26,"B")+SUMIFS('3_보호자행동'!$AQ$5:$AQ$35,'3_보호자행동'!$AD$5:$AD$35,"CON",'3_보호자행동'!$BK$5:$BK$35,"B")),"A",IF((SUMIFS('1_바디시그널'!$AQ$5:$AQ$36,'1_바디시그널'!$AD$5:$AD$36,"CON",'1_바디시그널'!$BK$5:$BK$36,"B")+SUMIFS('2_개행동'!$AQ$5:$AQ$26,'2_개행동'!$AD$5:$AD$26,"CON",'2_개행동'!$BK$5:$BK$26,"B")+SUMIFS('3_보호자행동'!$AQ$5:$AQ$35,'3_보호자행동'!$AD$5:$AD$35,"CON",'3_보호자행동'!$BK$5:$BK$35,"B"))&gt;(SUMIFS('1_바디시그널'!$AQ$5:$AQ$36,'1_바디시그널'!$AD$5:$AD$36,"CON",'1_바디시그널'!$BK$5:$BK$36,"A")+SUMIFS('2_개행동'!$AQ$5:$AQ$26,'2_개행동'!$AD$5:$AD$26,"CON",'2_개행동'!$BK$5:$BK$26,"A")+SUMIFS('3_보호자행동'!$AQ$5:$AQ$35,'3_보호자행동'!$AD$5:$AD$35,"CON",'3_보호자행동'!$BK$5:$BK$35,"A")),"B","-")))</f>
        <v/>
      </c>
      <c r="V18" s="48">
        <f>IF(COUNT(X18:AA18)=0,"",ROUND(MAX(X18:AA18)-MIN(X18:AA18),2))</f>
        <v/>
      </c>
      <c r="W18" s="47" t="n"/>
      <c r="X18" s="49">
        <f>IFERROR(SUMIFS('3_보호자행동'!$AQ$5:$AQ$35,'3_보호자행동'!$A$5:$A$35,"입장",'3_보호자행동'!$AQ$5:$AQ$35,"&gt;=1")/COUNTIFS('3_보호자행동'!$A$5:$A$35,"입장",'3_보호자행동'!$AQ$5:$AQ$35,"&gt;=1"),"")</f>
        <v/>
      </c>
      <c r="Y18" s="49">
        <f>IFERROR(SUMIFS('3_보호자행동'!$AQ$5:$AQ$35,'3_보호자행동'!$A$5:$A$35,"분리",'3_보호자행동'!$AQ$5:$AQ$35,"&gt;=1")/COUNTIFS('3_보호자행동'!$A$5:$A$35,"분리",'3_보호자행동'!$AQ$5:$AQ$35,"&gt;=1"),"")</f>
        <v/>
      </c>
      <c r="Z18" s="49">
        <f>IFERROR(SUMIFS('3_보호자행동'!$AQ$5:$AQ$35,'3_보호자행동'!$A$5:$A$35,"훈련",'3_보호자행동'!$AQ$5:$AQ$35,"&gt;=1")/COUNTIFS('3_보호자행동'!$A$5:$A$35,"훈련",'3_보호자행동'!$AQ$5:$AQ$35,"&gt;=1"),"")</f>
        <v/>
      </c>
      <c r="AA18" s="49">
        <f>IFERROR(SUMIFS('3_보호자행동'!$AQ$5:$AQ$35,'3_보호자행동'!$A$5:$A$35,"놀이",'3_보호자행동'!$AQ$5:$AQ$35,"&gt;=1")/COUNTIFS('3_보호자행동'!$A$5:$A$35,"놀이",'3_보호자행동'!$AQ$5:$AQ$35,"&gt;=1"),"")</f>
        <v/>
      </c>
      <c r="AB18">
        <f>IF((COUNTIFS('1_바디시그널'!$AD$5:$AD$36,"TRN",'1_바디시그널'!$AQ$5:$AQ$36,"&gt;=1")+COUNTIFS('2_개행동'!$AD$5:$AD$26,"TRN",'2_개행동'!$AQ$5:$AQ$26,"&gt;=1")+COUNTIFS('3_보호자행동'!$AD$5:$AD$35,"TRN",'3_보호자행동'!$AQ$5:$AQ$35,"&gt;=1"))=0,"",MAX(_xlfn.MAXIFS('1_바디시그널'!$AQ$5:$AQ$36,'1_바디시그널'!$AD$5:$AD$36,"TRN"),_xlfn.MAXIFS('2_개행동'!$AQ$5:$AQ$26,'2_개행동'!$AD$5:$AD$26,"TRN"),_xlfn.MAXIFS('3_보호자행동'!$AQ$5:$AQ$35,'3_보호자행동'!$AD$5:$AD$35,"TRN")))</f>
        <v/>
      </c>
      <c r="AC18">
        <f>IF((COUNTIFS('1_바디시그널'!$AD$5:$AD$36,"TRN",'1_바디시그널'!$AQ$5:$AQ$36,"&gt;=1")+COUNTIFS('2_개행동'!$AD$5:$AD$26,"TRN",'2_개행동'!$AQ$5:$AQ$26,"&gt;=1")+COUNTIFS('3_보호자행동'!$AD$5:$AD$35,"TRN",'3_보호자행동'!$AQ$5:$AQ$35,"&gt;=1"))=0,"",ROUND((SUMIFS('1_바디시그널'!$AQ$5:$AQ$36,'1_바디시그널'!$AD$5:$AD$36,"TRN",'1_바디시그널'!$AQ$5:$AQ$36,"&gt;=1")+SUMIFS('2_개행동'!$AQ$5:$AQ$26,'2_개행동'!$AD$5:$AD$26,"TRN",'2_개행동'!$AQ$5:$AQ$26,"&gt;=1")+SUMIFS('3_보호자행동'!$AQ$5:$AQ$35,'3_보호자행동'!$AD$5:$AD$35,"TRN",'3_보호자행동'!$AQ$5:$AQ$35,"&gt;=1"))/(COUNTIFS('1_바디시그널'!$AD$5:$AD$36,"TRN",'1_바디시그널'!$AQ$5:$AQ$36,"&gt;=1")+COUNTIFS('2_개행동'!$AD$5:$AD$26,"TRN",'2_개행동'!$AQ$5:$AQ$26,"&gt;=1")+COUNTIFS('3_보호자행동'!$AD$5:$AD$35,"TRN",'3_보호자행동'!$AQ$5:$AQ$35,"&gt;=1")),2))</f>
        <v/>
      </c>
      <c r="AD18">
        <f>IF((COUNTIFS('1_바디시그널'!$AD$5:$AD$36,"TRN",'1_바디시그널'!$AQ$5:$AQ$36,"&gt;=1")+COUNTIFS('2_개행동'!$AD$5:$AD$26,"TRN",'2_개행동'!$AQ$5:$AQ$26,"&gt;=1")+COUNTIFS('3_보호자행동'!$AD$5:$AD$35,"TRN",'3_보호자행동'!$AQ$5:$AQ$35,"&gt;=1"))=0,"",IF((SUMIFS('1_바디시그널'!$AQ$5:$AQ$36,'1_바디시그널'!$AD$5:$AD$36,"TRN",'1_바디시그널'!$BK$5:$BK$36,"A")+SUMIFS('2_개행동'!$AQ$5:$AQ$26,'2_개행동'!$AD$5:$AD$26,"TRN",'2_개행동'!$BK$5:$BK$26,"A")+SUMIFS('3_보호자행동'!$AQ$5:$AQ$35,'3_보호자행동'!$AD$5:$AD$35,"TRN",'3_보호자행동'!$BK$5:$BK$35,"A"))&gt;(SUMIFS('1_바디시그널'!$AQ$5:$AQ$36,'1_바디시그널'!$AD$5:$AD$36,"TRN",'1_바디시그널'!$BK$5:$BK$36,"B")+SUMIFS('2_개행동'!$AQ$5:$AQ$26,'2_개행동'!$AD$5:$AD$26,"TRN",'2_개행동'!$BK$5:$BK$26,"B")+SUMIFS('3_보호자행동'!$AQ$5:$AQ$35,'3_보호자행동'!$AD$5:$AD$35,"TRN",'3_보호자행동'!$BK$5:$BK$35,"B")),"A",IF((SUMIFS('1_바디시그널'!$AQ$5:$AQ$36,'1_바디시그널'!$AD$5:$AD$36,"TRN",'1_바디시그널'!$BK$5:$BK$36,"B")+SUMIFS('2_개행동'!$AQ$5:$AQ$26,'2_개행동'!$AD$5:$AD$26,"TRN",'2_개행동'!$BK$5:$BK$26,"B")+SUMIFS('3_보호자행동'!$AQ$5:$AQ$35,'3_보호자행동'!$AD$5:$AD$35,"TRN",'3_보호자행동'!$BK$5:$BK$35,"B"))&gt;(SUMIFS('1_바디시그널'!$AQ$5:$AQ$36,'1_바디시그널'!$AD$5:$AD$36,"TRN",'1_바디시그널'!$BK$5:$BK$36,"A")+SUMIFS('2_개행동'!$AQ$5:$AQ$26,'2_개행동'!$AD$5:$AD$26,"TRN",'2_개행동'!$BK$5:$BK$26,"A")+SUMIFS('3_보호자행동'!$AQ$5:$AQ$35,'3_보호자행동'!$AD$5:$AD$35,"TRN",'3_보호자행동'!$BK$5:$BK$35,"A")),"B","-")))</f>
        <v/>
      </c>
      <c r="AE18">
        <f>IF('2_개행동'!$V$11="","",'2_개행동'!$V$11&amp;IF('2_개행동'!$V$11=3," [B]",IF('2_개행동'!$V$11=1,""," [A]")))</f>
        <v/>
      </c>
    </row>
    <row r="19" ht="18.75" customHeight="1" s="1">
      <c r="A19" s="46" t="n">
        <v>14</v>
      </c>
      <c r="B19" s="47" t="n"/>
      <c r="C19" s="47" t="n"/>
      <c r="D19" s="48">
        <f>IF((COUNTIFS('1_바디시그널'!$AD$5:$AD$36,"EDU",'1_바디시그널'!$AR$5:$AR$36,"&gt;=1")+COUNTIFS('2_개행동'!$AD$5:$AD$26,"EDU",'2_개행동'!$AR$5:$AR$26,"&gt;=1")+COUNTIFS('3_보호자행동'!$AD$5:$AD$35,"EDU",'3_보호자행동'!$AR$5:$AR$35,"&gt;=1"))=0,"",MAX(_xlfn.MAXIFS('1_바디시그널'!$AR$5:$AR$36,'1_바디시그널'!$AD$5:$AD$36,"EDU"),_xlfn.MAXIFS('2_개행동'!$AR$5:$AR$26,'2_개행동'!$AD$5:$AD$26,"EDU"),_xlfn.MAXIFS('3_보호자행동'!$AR$5:$AR$35,'3_보호자행동'!$AD$5:$AD$35,"EDU")))</f>
        <v/>
      </c>
      <c r="E19" s="49">
        <f>IF((COUNTIFS('1_바디시그널'!$AD$5:$AD$36,"EDU",'1_바디시그널'!$AR$5:$AR$36,"&gt;=1")+COUNTIFS('2_개행동'!$AD$5:$AD$26,"EDU",'2_개행동'!$AR$5:$AR$26,"&gt;=1")+COUNTIFS('3_보호자행동'!$AD$5:$AD$35,"EDU",'3_보호자행동'!$AR$5:$AR$35,"&gt;=1"))=0,"",ROUND((SUMIFS('1_바디시그널'!$AR$5:$AR$36,'1_바디시그널'!$AD$5:$AD$36,"EDU",'1_바디시그널'!$AR$5:$AR$36,"&gt;=1")+SUMIFS('2_개행동'!$AR$5:$AR$26,'2_개행동'!$AD$5:$AD$26,"EDU",'2_개행동'!$AR$5:$AR$26,"&gt;=1")+SUMIFS('3_보호자행동'!$AR$5:$AR$35,'3_보호자행동'!$AD$5:$AD$35,"EDU",'3_보호자행동'!$AR$5:$AR$35,"&gt;=1"))/(COUNTIFS('1_바디시그널'!$AD$5:$AD$36,"EDU",'1_바디시그널'!$AR$5:$AR$36,"&gt;=1")+COUNTIFS('2_개행동'!$AD$5:$AD$26,"EDU",'2_개행동'!$AR$5:$AR$26,"&gt;=1")+COUNTIFS('3_보호자행동'!$AD$5:$AD$35,"EDU",'3_보호자행동'!$AR$5:$AR$35,"&gt;=1")),2))</f>
        <v/>
      </c>
      <c r="F19" s="49">
        <f>IF((COUNTIFS('1_바디시그널'!$AD$5:$AD$36,"EDU",'1_바디시그널'!$AR$5:$AR$36,"&gt;=1")+COUNTIFS('2_개행동'!$AD$5:$AD$26,"EDU",'2_개행동'!$AR$5:$AR$26,"&gt;=1")+COUNTIFS('3_보호자행동'!$AD$5:$AD$35,"EDU",'3_보호자행동'!$AR$5:$AR$35,"&gt;=1"))=0,"",IF((SUMIFS('1_바디시그널'!$AR$5:$AR$36,'1_바디시그널'!$AD$5:$AD$36,"EDU",'1_바디시그널'!$BL$5:$BL$36,"A")+SUMIFS('2_개행동'!$AR$5:$AR$26,'2_개행동'!$AD$5:$AD$26,"EDU",'2_개행동'!$BL$5:$BL$26,"A")+SUMIFS('3_보호자행동'!$AR$5:$AR$35,'3_보호자행동'!$AD$5:$AD$35,"EDU",'3_보호자행동'!$BL$5:$BL$35,"A"))&gt;(SUMIFS('1_바디시그널'!$AR$5:$AR$36,'1_바디시그널'!$AD$5:$AD$36,"EDU",'1_바디시그널'!$BL$5:$BL$36,"B")+SUMIFS('2_개행동'!$AR$5:$AR$26,'2_개행동'!$AD$5:$AD$26,"EDU",'2_개행동'!$BL$5:$BL$26,"B")+SUMIFS('3_보호자행동'!$AR$5:$AR$35,'3_보호자행동'!$AD$5:$AD$35,"EDU",'3_보호자행동'!$BL$5:$BL$35,"B")),"A",IF((SUMIFS('1_바디시그널'!$AR$5:$AR$36,'1_바디시그널'!$AD$5:$AD$36,"EDU",'1_바디시그널'!$BL$5:$BL$36,"B")+SUMIFS('2_개행동'!$AR$5:$AR$26,'2_개행동'!$AD$5:$AD$26,"EDU",'2_개행동'!$BL$5:$BL$26,"B")+SUMIFS('3_보호자행동'!$AR$5:$AR$35,'3_보호자행동'!$AD$5:$AD$35,"EDU",'3_보호자행동'!$BL$5:$BL$35,"B"))&gt;(SUMIFS('1_바디시그널'!$AR$5:$AR$36,'1_바디시그널'!$AD$5:$AD$36,"EDU",'1_바디시그널'!$BL$5:$BL$36,"A")+SUMIFS('2_개행동'!$AR$5:$AR$26,'2_개행동'!$AD$5:$AD$26,"EDU",'2_개행동'!$BL$5:$BL$26,"A")+SUMIFS('3_보호자행동'!$AR$5:$AR$35,'3_보호자행동'!$AD$5:$AD$35,"EDU",'3_보호자행동'!$BL$5:$BL$35,"A")),"B","-")))</f>
        <v/>
      </c>
      <c r="G19" s="49">
        <f>IF((COUNTIFS('1_바디시그널'!$AD$5:$AD$36,"SOC_P",'1_바디시그널'!$AR$5:$AR$36,"&gt;=1")+COUNTIFS('2_개행동'!$AD$5:$AD$26,"SOC_P",'2_개행동'!$AR$5:$AR$26,"&gt;=1")+COUNTIFS('3_보호자행동'!$AD$5:$AD$35,"SOC_P",'3_보호자행동'!$AR$5:$AR$35,"&gt;=1"))=0,"",MAX(_xlfn.MAXIFS('1_바디시그널'!$AR$5:$AR$36,'1_바디시그널'!$AD$5:$AD$36,"SOC_P"),_xlfn.MAXIFS('2_개행동'!$AR$5:$AR$26,'2_개행동'!$AD$5:$AD$26,"SOC_P"),_xlfn.MAXIFS('3_보호자행동'!$AR$5:$AR$35,'3_보호자행동'!$AD$5:$AD$35,"SOC_P")))</f>
        <v/>
      </c>
      <c r="H19" s="49">
        <f>IF((COUNTIFS('1_바디시그널'!$AD$5:$AD$36,"SOC_P",'1_바디시그널'!$AR$5:$AR$36,"&gt;=1")+COUNTIFS('2_개행동'!$AD$5:$AD$26,"SOC_P",'2_개행동'!$AR$5:$AR$26,"&gt;=1")+COUNTIFS('3_보호자행동'!$AD$5:$AD$35,"SOC_P",'3_보호자행동'!$AR$5:$AR$35,"&gt;=1"))=0,"",ROUND((SUMIFS('1_바디시그널'!$AR$5:$AR$36,'1_바디시그널'!$AD$5:$AD$36,"SOC_P",'1_바디시그널'!$AR$5:$AR$36,"&gt;=1")+SUMIFS('2_개행동'!$AR$5:$AR$26,'2_개행동'!$AD$5:$AD$26,"SOC_P",'2_개행동'!$AR$5:$AR$26,"&gt;=1")+SUMIFS('3_보호자행동'!$AR$5:$AR$35,'3_보호자행동'!$AD$5:$AD$35,"SOC_P",'3_보호자행동'!$AR$5:$AR$35,"&gt;=1"))/(COUNTIFS('1_바디시그널'!$AD$5:$AD$36,"SOC_P",'1_바디시그널'!$AR$5:$AR$36,"&gt;=1")+COUNTIFS('2_개행동'!$AD$5:$AD$26,"SOC_P",'2_개행동'!$AR$5:$AR$26,"&gt;=1")+COUNTIFS('3_보호자행동'!$AD$5:$AD$35,"SOC_P",'3_보호자행동'!$AR$5:$AR$35,"&gt;=1")),2))</f>
        <v/>
      </c>
      <c r="I19" s="49">
        <f>IF((COUNTIFS('1_바디시그널'!$AD$5:$AD$36,"SOC_P",'1_바디시그널'!$AR$5:$AR$36,"&gt;=1")+COUNTIFS('2_개행동'!$AD$5:$AD$26,"SOC_P",'2_개행동'!$AR$5:$AR$26,"&gt;=1")+COUNTIFS('3_보호자행동'!$AD$5:$AD$35,"SOC_P",'3_보호자행동'!$AR$5:$AR$35,"&gt;=1"))=0,"",IF((SUMIFS('1_바디시그널'!$AR$5:$AR$36,'1_바디시그널'!$AD$5:$AD$36,"SOC_P",'1_바디시그널'!$BL$5:$BL$36,"A")+SUMIFS('2_개행동'!$AR$5:$AR$26,'2_개행동'!$AD$5:$AD$26,"SOC_P",'2_개행동'!$BL$5:$BL$26,"A")+SUMIFS('3_보호자행동'!$AR$5:$AR$35,'3_보호자행동'!$AD$5:$AD$35,"SOC_P",'3_보호자행동'!$BL$5:$BL$35,"A"))&gt;(SUMIFS('1_바디시그널'!$AR$5:$AR$36,'1_바디시그널'!$AD$5:$AD$36,"SOC_P",'1_바디시그널'!$BL$5:$BL$36,"B")+SUMIFS('2_개행동'!$AR$5:$AR$26,'2_개행동'!$AD$5:$AD$26,"SOC_P",'2_개행동'!$BL$5:$BL$26,"B")+SUMIFS('3_보호자행동'!$AR$5:$AR$35,'3_보호자행동'!$AD$5:$AD$35,"SOC_P",'3_보호자행동'!$BL$5:$BL$35,"B")),"A",IF((SUMIFS('1_바디시그널'!$AR$5:$AR$36,'1_바디시그널'!$AD$5:$AD$36,"SOC_P",'1_바디시그널'!$BL$5:$BL$36,"B")+SUMIFS('2_개행동'!$AR$5:$AR$26,'2_개행동'!$AD$5:$AD$26,"SOC_P",'2_개행동'!$BL$5:$BL$26,"B")+SUMIFS('3_보호자행동'!$AR$5:$AR$35,'3_보호자행동'!$AD$5:$AD$35,"SOC_P",'3_보호자행동'!$BL$5:$BL$35,"B"))&gt;(SUMIFS('1_바디시그널'!$AR$5:$AR$36,'1_바디시그널'!$AD$5:$AD$36,"SOC_P",'1_바디시그널'!$BL$5:$BL$36,"A")+SUMIFS('2_개행동'!$AR$5:$AR$26,'2_개행동'!$AD$5:$AD$26,"SOC_P",'2_개행동'!$BL$5:$BL$26,"A")+SUMIFS('3_보호자행동'!$AR$5:$AR$35,'3_보호자행동'!$AD$5:$AD$35,"SOC_P",'3_보호자행동'!$BL$5:$BL$35,"A")),"B","-")))</f>
        <v/>
      </c>
      <c r="J19" s="49">
        <f>IF((COUNTIFS('1_바디시그널'!$AD$5:$AD$36,"SOC_D",'1_바디시그널'!$AR$5:$AR$36,"&gt;=1")+COUNTIFS('2_개행동'!$AD$5:$AD$26,"SOC_D",'2_개행동'!$AR$5:$AR$26,"&gt;=1")+COUNTIFS('3_보호자행동'!$AD$5:$AD$35,"SOC_D",'3_보호자행동'!$AR$5:$AR$35,"&gt;=1"))=0,"",MAX(_xlfn.MAXIFS('1_바디시그널'!$AR$5:$AR$36,'1_바디시그널'!$AD$5:$AD$36,"SOC_D"),_xlfn.MAXIFS('2_개행동'!$AR$5:$AR$26,'2_개행동'!$AD$5:$AD$26,"SOC_D"),_xlfn.MAXIFS('3_보호자행동'!$AR$5:$AR$35,'3_보호자행동'!$AD$5:$AD$35,"SOC_D")))</f>
        <v/>
      </c>
      <c r="K19" s="49">
        <f>IF((COUNTIFS('1_바디시그널'!$AD$5:$AD$36,"SOC_D",'1_바디시그널'!$AR$5:$AR$36,"&gt;=1")+COUNTIFS('2_개행동'!$AD$5:$AD$26,"SOC_D",'2_개행동'!$AR$5:$AR$26,"&gt;=1")+COUNTIFS('3_보호자행동'!$AD$5:$AD$35,"SOC_D",'3_보호자행동'!$AR$5:$AR$35,"&gt;=1"))=0,"",ROUND((SUMIFS('1_바디시그널'!$AR$5:$AR$36,'1_바디시그널'!$AD$5:$AD$36,"SOC_D",'1_바디시그널'!$AR$5:$AR$36,"&gt;=1")+SUMIFS('2_개행동'!$AR$5:$AR$26,'2_개행동'!$AD$5:$AD$26,"SOC_D",'2_개행동'!$AR$5:$AR$26,"&gt;=1")+SUMIFS('3_보호자행동'!$AR$5:$AR$35,'3_보호자행동'!$AD$5:$AD$35,"SOC_D",'3_보호자행동'!$AR$5:$AR$35,"&gt;=1"))/(COUNTIFS('1_바디시그널'!$AD$5:$AD$36,"SOC_D",'1_바디시그널'!$AR$5:$AR$36,"&gt;=1")+COUNTIFS('2_개행동'!$AD$5:$AD$26,"SOC_D",'2_개행동'!$AR$5:$AR$26,"&gt;=1")+COUNTIFS('3_보호자행동'!$AD$5:$AD$35,"SOC_D",'3_보호자행동'!$AR$5:$AR$35,"&gt;=1")),2))</f>
        <v/>
      </c>
      <c r="L19" s="49">
        <f>IF((COUNTIFS('1_바디시그널'!$AD$5:$AD$36,"SOC_D",'1_바디시그널'!$AR$5:$AR$36,"&gt;=1")+COUNTIFS('2_개행동'!$AD$5:$AD$26,"SOC_D",'2_개행동'!$AR$5:$AR$26,"&gt;=1")+COUNTIFS('3_보호자행동'!$AD$5:$AD$35,"SOC_D",'3_보호자행동'!$AR$5:$AR$35,"&gt;=1"))=0,"",IF((SUMIFS('1_바디시그널'!$AR$5:$AR$36,'1_바디시그널'!$AD$5:$AD$36,"SOC_D",'1_바디시그널'!$BL$5:$BL$36,"A")+SUMIFS('2_개행동'!$AR$5:$AR$26,'2_개행동'!$AD$5:$AD$26,"SOC_D",'2_개행동'!$BL$5:$BL$26,"A")+SUMIFS('3_보호자행동'!$AR$5:$AR$35,'3_보호자행동'!$AD$5:$AD$35,"SOC_D",'3_보호자행동'!$BL$5:$BL$35,"A"))&gt;(SUMIFS('1_바디시그널'!$AR$5:$AR$36,'1_바디시그널'!$AD$5:$AD$36,"SOC_D",'1_바디시그널'!$BL$5:$BL$36,"B")+SUMIFS('2_개행동'!$AR$5:$AR$26,'2_개행동'!$AD$5:$AD$26,"SOC_D",'2_개행동'!$BL$5:$BL$26,"B")+SUMIFS('3_보호자행동'!$AR$5:$AR$35,'3_보호자행동'!$AD$5:$AD$35,"SOC_D",'3_보호자행동'!$BL$5:$BL$35,"B")),"A",IF((SUMIFS('1_바디시그널'!$AR$5:$AR$36,'1_바디시그널'!$AD$5:$AD$36,"SOC_D",'1_바디시그널'!$BL$5:$BL$36,"B")+SUMIFS('2_개행동'!$AR$5:$AR$26,'2_개행동'!$AD$5:$AD$26,"SOC_D",'2_개행동'!$BL$5:$BL$26,"B")+SUMIFS('3_보호자행동'!$AR$5:$AR$35,'3_보호자행동'!$AD$5:$AD$35,"SOC_D",'3_보호자행동'!$BL$5:$BL$35,"B"))&gt;(SUMIFS('1_바디시그널'!$AR$5:$AR$36,'1_바디시그널'!$AD$5:$AD$36,"SOC_D",'1_바디시그널'!$BL$5:$BL$36,"A")+SUMIFS('2_개행동'!$AR$5:$AR$26,'2_개행동'!$AD$5:$AD$26,"SOC_D",'2_개행동'!$BL$5:$BL$26,"A")+SUMIFS('3_보호자행동'!$AR$5:$AR$35,'3_보호자행동'!$AD$5:$AD$35,"SOC_D",'3_보호자행동'!$BL$5:$BL$35,"A")),"B","-")))</f>
        <v/>
      </c>
      <c r="M19" s="49">
        <f>IF((COUNTIFS('1_바디시그널'!$AD$5:$AD$36,"SOC_E",'1_바디시그널'!$AR$5:$AR$36,"&gt;=1")+COUNTIFS('2_개행동'!$AD$5:$AD$26,"SOC_E",'2_개행동'!$AR$5:$AR$26,"&gt;=1")+COUNTIFS('3_보호자행동'!$AD$5:$AD$35,"SOC_E",'3_보호자행동'!$AR$5:$AR$35,"&gt;=1"))=0,"",MAX(_xlfn.MAXIFS('1_바디시그널'!$AR$5:$AR$36,'1_바디시그널'!$AD$5:$AD$36,"SOC_E"),_xlfn.MAXIFS('2_개행동'!$AR$5:$AR$26,'2_개행동'!$AD$5:$AD$26,"SOC_E"),_xlfn.MAXIFS('3_보호자행동'!$AR$5:$AR$35,'3_보호자행동'!$AD$5:$AD$35,"SOC_E")))</f>
        <v/>
      </c>
      <c r="N19" s="49">
        <f>IF((COUNTIFS('1_바디시그널'!$AD$5:$AD$36,"SOC_E",'1_바디시그널'!$AR$5:$AR$36,"&gt;=1")+COUNTIFS('2_개행동'!$AD$5:$AD$26,"SOC_E",'2_개행동'!$AR$5:$AR$26,"&gt;=1")+COUNTIFS('3_보호자행동'!$AD$5:$AD$35,"SOC_E",'3_보호자행동'!$AR$5:$AR$35,"&gt;=1"))=0,"",ROUND((SUMIFS('1_바디시그널'!$AR$5:$AR$36,'1_바디시그널'!$AD$5:$AD$36,"SOC_E",'1_바디시그널'!$AR$5:$AR$36,"&gt;=1")+SUMIFS('2_개행동'!$AR$5:$AR$26,'2_개행동'!$AD$5:$AD$26,"SOC_E",'2_개행동'!$AR$5:$AR$26,"&gt;=1")+SUMIFS('3_보호자행동'!$AR$5:$AR$35,'3_보호자행동'!$AD$5:$AD$35,"SOC_E",'3_보호자행동'!$AR$5:$AR$35,"&gt;=1"))/(COUNTIFS('1_바디시그널'!$AD$5:$AD$36,"SOC_E",'1_바디시그널'!$AR$5:$AR$36,"&gt;=1")+COUNTIFS('2_개행동'!$AD$5:$AD$26,"SOC_E",'2_개행동'!$AR$5:$AR$26,"&gt;=1")+COUNTIFS('3_보호자행동'!$AD$5:$AD$35,"SOC_E",'3_보호자행동'!$AR$5:$AR$35,"&gt;=1")),2))</f>
        <v/>
      </c>
      <c r="O19" s="49">
        <f>IF((COUNTIFS('1_바디시그널'!$AD$5:$AD$36,"SOC_E",'1_바디시그널'!$AR$5:$AR$36,"&gt;=1")+COUNTIFS('2_개행동'!$AD$5:$AD$26,"SOC_E",'2_개행동'!$AR$5:$AR$26,"&gt;=1")+COUNTIFS('3_보호자행동'!$AD$5:$AD$35,"SOC_E",'3_보호자행동'!$AR$5:$AR$35,"&gt;=1"))=0,"",IF((SUMIFS('1_바디시그널'!$AR$5:$AR$36,'1_바디시그널'!$AD$5:$AD$36,"SOC_E",'1_바디시그널'!$BL$5:$BL$36,"A")+SUMIFS('2_개행동'!$AR$5:$AR$26,'2_개행동'!$AD$5:$AD$26,"SOC_E",'2_개행동'!$BL$5:$BL$26,"A")+SUMIFS('3_보호자행동'!$AR$5:$AR$35,'3_보호자행동'!$AD$5:$AD$35,"SOC_E",'3_보호자행동'!$BL$5:$BL$35,"A"))&gt;(SUMIFS('1_바디시그널'!$AR$5:$AR$36,'1_바디시그널'!$AD$5:$AD$36,"SOC_E",'1_바디시그널'!$BL$5:$BL$36,"B")+SUMIFS('2_개행동'!$AR$5:$AR$26,'2_개행동'!$AD$5:$AD$26,"SOC_E",'2_개행동'!$BL$5:$BL$26,"B")+SUMIFS('3_보호자행동'!$AR$5:$AR$35,'3_보호자행동'!$AD$5:$AD$35,"SOC_E",'3_보호자행동'!$BL$5:$BL$35,"B")),"A",IF((SUMIFS('1_바디시그널'!$AR$5:$AR$36,'1_바디시그널'!$AD$5:$AD$36,"SOC_E",'1_바디시그널'!$BL$5:$BL$36,"B")+SUMIFS('2_개행동'!$AR$5:$AR$26,'2_개행동'!$AD$5:$AD$26,"SOC_E",'2_개행동'!$BL$5:$BL$26,"B")+SUMIFS('3_보호자행동'!$AR$5:$AR$35,'3_보호자행동'!$AD$5:$AD$35,"SOC_E",'3_보호자행동'!$BL$5:$BL$35,"B"))&gt;(SUMIFS('1_바디시그널'!$AR$5:$AR$36,'1_바디시그널'!$AD$5:$AD$36,"SOC_E",'1_바디시그널'!$BL$5:$BL$36,"A")+SUMIFS('2_개행동'!$AR$5:$AR$26,'2_개행동'!$AD$5:$AD$26,"SOC_E",'2_개행동'!$BL$5:$BL$26,"A")+SUMIFS('3_보호자행동'!$AR$5:$AR$35,'3_보호자행동'!$AD$5:$AD$35,"SOC_E",'3_보호자행동'!$BL$5:$BL$35,"A")),"B","-")))</f>
        <v/>
      </c>
      <c r="P19" s="49">
        <f>IF((COUNTIFS('1_바디시그널'!$AD$5:$AD$36,"ATT",'1_바디시그널'!$AR$5:$AR$36,"&gt;=1")+COUNTIFS('2_개행동'!$AD$5:$AD$26,"ATT",'2_개행동'!$AR$5:$AR$26,"&gt;=1")+COUNTIFS('3_보호자행동'!$AD$5:$AD$35,"ATT",'3_보호자행동'!$AR$5:$AR$35,"&gt;=1"))=0,"",MAX(_xlfn.MAXIFS('1_바디시그널'!$AR$5:$AR$36,'1_바디시그널'!$AD$5:$AD$36,"ATT"),_xlfn.MAXIFS('2_개행동'!$AR$5:$AR$26,'2_개행동'!$AD$5:$AD$26,"ATT"),_xlfn.MAXIFS('3_보호자행동'!$AR$5:$AR$35,'3_보호자행동'!$AD$5:$AD$35,"ATT")))</f>
        <v/>
      </c>
      <c r="Q19" s="49">
        <f>IF((COUNTIFS('1_바디시그널'!$AD$5:$AD$36,"ATT",'1_바디시그널'!$AR$5:$AR$36,"&gt;=1")+COUNTIFS('2_개행동'!$AD$5:$AD$26,"ATT",'2_개행동'!$AR$5:$AR$26,"&gt;=1")+COUNTIFS('3_보호자행동'!$AD$5:$AD$35,"ATT",'3_보호자행동'!$AR$5:$AR$35,"&gt;=1"))=0,"",ROUND((SUMIFS('1_바디시그널'!$AR$5:$AR$36,'1_바디시그널'!$AD$5:$AD$36,"ATT",'1_바디시그널'!$AR$5:$AR$36,"&gt;=1")+SUMIFS('2_개행동'!$AR$5:$AR$26,'2_개행동'!$AD$5:$AD$26,"ATT",'2_개행동'!$AR$5:$AR$26,"&gt;=1")+SUMIFS('3_보호자행동'!$AR$5:$AR$35,'3_보호자행동'!$AD$5:$AD$35,"ATT",'3_보호자행동'!$AR$5:$AR$35,"&gt;=1"))/(COUNTIFS('1_바디시그널'!$AD$5:$AD$36,"ATT",'1_바디시그널'!$AR$5:$AR$36,"&gt;=1")+COUNTIFS('2_개행동'!$AD$5:$AD$26,"ATT",'2_개행동'!$AR$5:$AR$26,"&gt;=1")+COUNTIFS('3_보호자행동'!$AD$5:$AD$35,"ATT",'3_보호자행동'!$AR$5:$AR$35,"&gt;=1")),2))</f>
        <v/>
      </c>
      <c r="R19" s="49">
        <f>IF((COUNTIFS('1_바디시그널'!$AD$5:$AD$36,"ATT",'1_바디시그널'!$AR$5:$AR$36,"&gt;=1")+COUNTIFS('2_개행동'!$AD$5:$AD$26,"ATT",'2_개행동'!$AR$5:$AR$26,"&gt;=1")+COUNTIFS('3_보호자행동'!$AD$5:$AD$35,"ATT",'3_보호자행동'!$AR$5:$AR$35,"&gt;=1"))=0,"",IF((SUMIFS('1_바디시그널'!$AR$5:$AR$36,'1_바디시그널'!$AD$5:$AD$36,"ATT",'1_바디시그널'!$BL$5:$BL$36,"A")+SUMIFS('2_개행동'!$AR$5:$AR$26,'2_개행동'!$AD$5:$AD$26,"ATT",'2_개행동'!$BL$5:$BL$26,"A")+SUMIFS('3_보호자행동'!$AR$5:$AR$35,'3_보호자행동'!$AD$5:$AD$35,"ATT",'3_보호자행동'!$BL$5:$BL$35,"A"))&gt;(SUMIFS('1_바디시그널'!$AR$5:$AR$36,'1_바디시그널'!$AD$5:$AD$36,"ATT",'1_바디시그널'!$BL$5:$BL$36,"B")+SUMIFS('2_개행동'!$AR$5:$AR$26,'2_개행동'!$AD$5:$AD$26,"ATT",'2_개행동'!$BL$5:$BL$26,"B")+SUMIFS('3_보호자행동'!$AR$5:$AR$35,'3_보호자행동'!$AD$5:$AD$35,"ATT",'3_보호자행동'!$BL$5:$BL$35,"B")),"A",IF((SUMIFS('1_바디시그널'!$AR$5:$AR$36,'1_바디시그널'!$AD$5:$AD$36,"ATT",'1_바디시그널'!$BL$5:$BL$36,"B")+SUMIFS('2_개행동'!$AR$5:$AR$26,'2_개행동'!$AD$5:$AD$26,"ATT",'2_개행동'!$BL$5:$BL$26,"B")+SUMIFS('3_보호자행동'!$AR$5:$AR$35,'3_보호자행동'!$AD$5:$AD$35,"ATT",'3_보호자행동'!$BL$5:$BL$35,"B"))&gt;(SUMIFS('1_바디시그널'!$AR$5:$AR$36,'1_바디시그널'!$AD$5:$AD$36,"ATT",'1_바디시그널'!$BL$5:$BL$36,"A")+SUMIFS('2_개행동'!$AR$5:$AR$26,'2_개행동'!$AD$5:$AD$26,"ATT",'2_개행동'!$BL$5:$BL$26,"A")+SUMIFS('3_보호자행동'!$AR$5:$AR$35,'3_보호자행동'!$AD$5:$AD$35,"ATT",'3_보호자행동'!$BL$5:$BL$35,"A")),"B","-")))</f>
        <v/>
      </c>
      <c r="S19" s="49">
        <f>IF((COUNTIFS('1_바디시그널'!$AD$5:$AD$36,"CON",'1_바디시그널'!$AR$5:$AR$36,"&gt;=1")+COUNTIFS('2_개행동'!$AD$5:$AD$26,"CON",'2_개행동'!$AR$5:$AR$26,"&gt;=1")+COUNTIFS('3_보호자행동'!$AD$5:$AD$35,"CON",'3_보호자행동'!$AR$5:$AR$35,"&gt;=1"))=0,"",MAX(_xlfn.MAXIFS('1_바디시그널'!$AR$5:$AR$36,'1_바디시그널'!$AD$5:$AD$36,"CON"),_xlfn.MAXIFS('2_개행동'!$AR$5:$AR$26,'2_개행동'!$AD$5:$AD$26,"CON"),_xlfn.MAXIFS('3_보호자행동'!$AR$5:$AR$35,'3_보호자행동'!$AD$5:$AD$35,"CON")))</f>
        <v/>
      </c>
      <c r="T19" s="49">
        <f>IF((COUNTIFS('1_바디시그널'!$AD$5:$AD$36,"CON",'1_바디시그널'!$AR$5:$AR$36,"&gt;=1")+COUNTIFS('2_개행동'!$AD$5:$AD$26,"CON",'2_개행동'!$AR$5:$AR$26,"&gt;=1")+COUNTIFS('3_보호자행동'!$AD$5:$AD$35,"CON",'3_보호자행동'!$AR$5:$AR$35,"&gt;=1"))=0,"",ROUND((SUMIFS('1_바디시그널'!$AR$5:$AR$36,'1_바디시그널'!$AD$5:$AD$36,"CON",'1_바디시그널'!$AR$5:$AR$36,"&gt;=1")+SUMIFS('2_개행동'!$AR$5:$AR$26,'2_개행동'!$AD$5:$AD$26,"CON",'2_개행동'!$AR$5:$AR$26,"&gt;=1")+SUMIFS('3_보호자행동'!$AR$5:$AR$35,'3_보호자행동'!$AD$5:$AD$35,"CON",'3_보호자행동'!$AR$5:$AR$35,"&gt;=1"))/(COUNTIFS('1_바디시그널'!$AD$5:$AD$36,"CON",'1_바디시그널'!$AR$5:$AR$36,"&gt;=1")+COUNTIFS('2_개행동'!$AD$5:$AD$26,"CON",'2_개행동'!$AR$5:$AR$26,"&gt;=1")+COUNTIFS('3_보호자행동'!$AD$5:$AD$35,"CON",'3_보호자행동'!$AR$5:$AR$35,"&gt;=1")),2))</f>
        <v/>
      </c>
      <c r="U19" s="49">
        <f>IF((COUNTIFS('1_바디시그널'!$AD$5:$AD$36,"CON",'1_바디시그널'!$AR$5:$AR$36,"&gt;=1")+COUNTIFS('2_개행동'!$AD$5:$AD$26,"CON",'2_개행동'!$AR$5:$AR$26,"&gt;=1")+COUNTIFS('3_보호자행동'!$AD$5:$AD$35,"CON",'3_보호자행동'!$AR$5:$AR$35,"&gt;=1"))=0,"",IF((SUMIFS('1_바디시그널'!$AR$5:$AR$36,'1_바디시그널'!$AD$5:$AD$36,"CON",'1_바디시그널'!$BL$5:$BL$36,"A")+SUMIFS('2_개행동'!$AR$5:$AR$26,'2_개행동'!$AD$5:$AD$26,"CON",'2_개행동'!$BL$5:$BL$26,"A")+SUMIFS('3_보호자행동'!$AR$5:$AR$35,'3_보호자행동'!$AD$5:$AD$35,"CON",'3_보호자행동'!$BL$5:$BL$35,"A"))&gt;(SUMIFS('1_바디시그널'!$AR$5:$AR$36,'1_바디시그널'!$AD$5:$AD$36,"CON",'1_바디시그널'!$BL$5:$BL$36,"B")+SUMIFS('2_개행동'!$AR$5:$AR$26,'2_개행동'!$AD$5:$AD$26,"CON",'2_개행동'!$BL$5:$BL$26,"B")+SUMIFS('3_보호자행동'!$AR$5:$AR$35,'3_보호자행동'!$AD$5:$AD$35,"CON",'3_보호자행동'!$BL$5:$BL$35,"B")),"A",IF((SUMIFS('1_바디시그널'!$AR$5:$AR$36,'1_바디시그널'!$AD$5:$AD$36,"CON",'1_바디시그널'!$BL$5:$BL$36,"B")+SUMIFS('2_개행동'!$AR$5:$AR$26,'2_개행동'!$AD$5:$AD$26,"CON",'2_개행동'!$BL$5:$BL$26,"B")+SUMIFS('3_보호자행동'!$AR$5:$AR$35,'3_보호자행동'!$AD$5:$AD$35,"CON",'3_보호자행동'!$BL$5:$BL$35,"B"))&gt;(SUMIFS('1_바디시그널'!$AR$5:$AR$36,'1_바디시그널'!$AD$5:$AD$36,"CON",'1_바디시그널'!$BL$5:$BL$36,"A")+SUMIFS('2_개행동'!$AR$5:$AR$26,'2_개행동'!$AD$5:$AD$26,"CON",'2_개행동'!$BL$5:$BL$26,"A")+SUMIFS('3_보호자행동'!$AR$5:$AR$35,'3_보호자행동'!$AD$5:$AD$35,"CON",'3_보호자행동'!$BL$5:$BL$35,"A")),"B","-")))</f>
        <v/>
      </c>
      <c r="V19" s="48">
        <f>IF(COUNT(X19:AA19)=0,"",ROUND(MAX(X19:AA19)-MIN(X19:AA19),2))</f>
        <v/>
      </c>
      <c r="W19" s="47" t="n"/>
      <c r="X19" s="49">
        <f>IFERROR(SUMIFS('3_보호자행동'!$AR$5:$AR$35,'3_보호자행동'!$A$5:$A$35,"입장",'3_보호자행동'!$AR$5:$AR$35,"&gt;=1")/COUNTIFS('3_보호자행동'!$A$5:$A$35,"입장",'3_보호자행동'!$AR$5:$AR$35,"&gt;=1"),"")</f>
        <v/>
      </c>
      <c r="Y19" s="49">
        <f>IFERROR(SUMIFS('3_보호자행동'!$AR$5:$AR$35,'3_보호자행동'!$A$5:$A$35,"분리",'3_보호자행동'!$AR$5:$AR$35,"&gt;=1")/COUNTIFS('3_보호자행동'!$A$5:$A$35,"분리",'3_보호자행동'!$AR$5:$AR$35,"&gt;=1"),"")</f>
        <v/>
      </c>
      <c r="Z19" s="49">
        <f>IFERROR(SUMIFS('3_보호자행동'!$AR$5:$AR$35,'3_보호자행동'!$A$5:$A$35,"훈련",'3_보호자행동'!$AR$5:$AR$35,"&gt;=1")/COUNTIFS('3_보호자행동'!$A$5:$A$35,"훈련",'3_보호자행동'!$AR$5:$AR$35,"&gt;=1"),"")</f>
        <v/>
      </c>
      <c r="AA19" s="49">
        <f>IFERROR(SUMIFS('3_보호자행동'!$AR$5:$AR$35,'3_보호자행동'!$A$5:$A$35,"놀이",'3_보호자행동'!$AR$5:$AR$35,"&gt;=1")/COUNTIFS('3_보호자행동'!$A$5:$A$35,"놀이",'3_보호자행동'!$AR$5:$AR$35,"&gt;=1"),"")</f>
        <v/>
      </c>
      <c r="AB19">
        <f>IF((COUNTIFS('1_바디시그널'!$AD$5:$AD$36,"TRN",'1_바디시그널'!$AR$5:$AR$36,"&gt;=1")+COUNTIFS('2_개행동'!$AD$5:$AD$26,"TRN",'2_개행동'!$AR$5:$AR$26,"&gt;=1")+COUNTIFS('3_보호자행동'!$AD$5:$AD$35,"TRN",'3_보호자행동'!$AR$5:$AR$35,"&gt;=1"))=0,"",MAX(_xlfn.MAXIFS('1_바디시그널'!$AR$5:$AR$36,'1_바디시그널'!$AD$5:$AD$36,"TRN"),_xlfn.MAXIFS('2_개행동'!$AR$5:$AR$26,'2_개행동'!$AD$5:$AD$26,"TRN"),_xlfn.MAXIFS('3_보호자행동'!$AR$5:$AR$35,'3_보호자행동'!$AD$5:$AD$35,"TRN")))</f>
        <v/>
      </c>
      <c r="AC19">
        <f>IF((COUNTIFS('1_바디시그널'!$AD$5:$AD$36,"TRN",'1_바디시그널'!$AR$5:$AR$36,"&gt;=1")+COUNTIFS('2_개행동'!$AD$5:$AD$26,"TRN",'2_개행동'!$AR$5:$AR$26,"&gt;=1")+COUNTIFS('3_보호자행동'!$AD$5:$AD$35,"TRN",'3_보호자행동'!$AR$5:$AR$35,"&gt;=1"))=0,"",ROUND((SUMIFS('1_바디시그널'!$AR$5:$AR$36,'1_바디시그널'!$AD$5:$AD$36,"TRN",'1_바디시그널'!$AR$5:$AR$36,"&gt;=1")+SUMIFS('2_개행동'!$AR$5:$AR$26,'2_개행동'!$AD$5:$AD$26,"TRN",'2_개행동'!$AR$5:$AR$26,"&gt;=1")+SUMIFS('3_보호자행동'!$AR$5:$AR$35,'3_보호자행동'!$AD$5:$AD$35,"TRN",'3_보호자행동'!$AR$5:$AR$35,"&gt;=1"))/(COUNTIFS('1_바디시그널'!$AD$5:$AD$36,"TRN",'1_바디시그널'!$AR$5:$AR$36,"&gt;=1")+COUNTIFS('2_개행동'!$AD$5:$AD$26,"TRN",'2_개행동'!$AR$5:$AR$26,"&gt;=1")+COUNTIFS('3_보호자행동'!$AD$5:$AD$35,"TRN",'3_보호자행동'!$AR$5:$AR$35,"&gt;=1")),2))</f>
        <v/>
      </c>
      <c r="AD19">
        <f>IF((COUNTIFS('1_바디시그널'!$AD$5:$AD$36,"TRN",'1_바디시그널'!$AR$5:$AR$36,"&gt;=1")+COUNTIFS('2_개행동'!$AD$5:$AD$26,"TRN",'2_개행동'!$AR$5:$AR$26,"&gt;=1")+COUNTIFS('3_보호자행동'!$AD$5:$AD$35,"TRN",'3_보호자행동'!$AR$5:$AR$35,"&gt;=1"))=0,"",IF((SUMIFS('1_바디시그널'!$AR$5:$AR$36,'1_바디시그널'!$AD$5:$AD$36,"TRN",'1_바디시그널'!$BL$5:$BL$36,"A")+SUMIFS('2_개행동'!$AR$5:$AR$26,'2_개행동'!$AD$5:$AD$26,"TRN",'2_개행동'!$BL$5:$BL$26,"A")+SUMIFS('3_보호자행동'!$AR$5:$AR$35,'3_보호자행동'!$AD$5:$AD$35,"TRN",'3_보호자행동'!$BL$5:$BL$35,"A"))&gt;(SUMIFS('1_바디시그널'!$AR$5:$AR$36,'1_바디시그널'!$AD$5:$AD$36,"TRN",'1_바디시그널'!$BL$5:$BL$36,"B")+SUMIFS('2_개행동'!$AR$5:$AR$26,'2_개행동'!$AD$5:$AD$26,"TRN",'2_개행동'!$BL$5:$BL$26,"B")+SUMIFS('3_보호자행동'!$AR$5:$AR$35,'3_보호자행동'!$AD$5:$AD$35,"TRN",'3_보호자행동'!$BL$5:$BL$35,"B")),"A",IF((SUMIFS('1_바디시그널'!$AR$5:$AR$36,'1_바디시그널'!$AD$5:$AD$36,"TRN",'1_바디시그널'!$BL$5:$BL$36,"B")+SUMIFS('2_개행동'!$AR$5:$AR$26,'2_개행동'!$AD$5:$AD$26,"TRN",'2_개행동'!$BL$5:$BL$26,"B")+SUMIFS('3_보호자행동'!$AR$5:$AR$35,'3_보호자행동'!$AD$5:$AD$35,"TRN",'3_보호자행동'!$BL$5:$BL$35,"B"))&gt;(SUMIFS('1_바디시그널'!$AR$5:$AR$36,'1_바디시그널'!$AD$5:$AD$36,"TRN",'1_바디시그널'!$BL$5:$BL$36,"A")+SUMIFS('2_개행동'!$AR$5:$AR$26,'2_개행동'!$AD$5:$AD$26,"TRN",'2_개행동'!$BL$5:$BL$26,"A")+SUMIFS('3_보호자행동'!$AR$5:$AR$35,'3_보호자행동'!$AD$5:$AD$35,"TRN",'3_보호자행동'!$BL$5:$BL$35,"A")),"B","-")))</f>
        <v/>
      </c>
      <c r="AE19">
        <f>IF('2_개행동'!$W$11="","",'2_개행동'!$W$11&amp;IF('2_개행동'!$W$11=3," [B]",IF('2_개행동'!$W$11=1,""," [A]")))</f>
        <v/>
      </c>
    </row>
    <row r="20" ht="18.75" customHeight="1" s="1">
      <c r="A20" s="46" t="n">
        <v>15</v>
      </c>
      <c r="B20" s="47" t="n"/>
      <c r="C20" s="47" t="n"/>
      <c r="D20" s="48">
        <f>IF((COUNTIFS('1_바디시그널'!$AD$5:$AD$36,"EDU",'1_바디시그널'!$AS$5:$AS$36,"&gt;=1")+COUNTIFS('2_개행동'!$AD$5:$AD$26,"EDU",'2_개행동'!$AS$5:$AS$26,"&gt;=1")+COUNTIFS('3_보호자행동'!$AD$5:$AD$35,"EDU",'3_보호자행동'!$AS$5:$AS$35,"&gt;=1"))=0,"",MAX(_xlfn.MAXIFS('1_바디시그널'!$AS$5:$AS$36,'1_바디시그널'!$AD$5:$AD$36,"EDU"),_xlfn.MAXIFS('2_개행동'!$AS$5:$AS$26,'2_개행동'!$AD$5:$AD$26,"EDU"),_xlfn.MAXIFS('3_보호자행동'!$AS$5:$AS$35,'3_보호자행동'!$AD$5:$AD$35,"EDU")))</f>
        <v/>
      </c>
      <c r="E20" s="49">
        <f>IF((COUNTIFS('1_바디시그널'!$AD$5:$AD$36,"EDU",'1_바디시그널'!$AS$5:$AS$36,"&gt;=1")+COUNTIFS('2_개행동'!$AD$5:$AD$26,"EDU",'2_개행동'!$AS$5:$AS$26,"&gt;=1")+COUNTIFS('3_보호자행동'!$AD$5:$AD$35,"EDU",'3_보호자행동'!$AS$5:$AS$35,"&gt;=1"))=0,"",ROUND((SUMIFS('1_바디시그널'!$AS$5:$AS$36,'1_바디시그널'!$AD$5:$AD$36,"EDU",'1_바디시그널'!$AS$5:$AS$36,"&gt;=1")+SUMIFS('2_개행동'!$AS$5:$AS$26,'2_개행동'!$AD$5:$AD$26,"EDU",'2_개행동'!$AS$5:$AS$26,"&gt;=1")+SUMIFS('3_보호자행동'!$AS$5:$AS$35,'3_보호자행동'!$AD$5:$AD$35,"EDU",'3_보호자행동'!$AS$5:$AS$35,"&gt;=1"))/(COUNTIFS('1_바디시그널'!$AD$5:$AD$36,"EDU",'1_바디시그널'!$AS$5:$AS$36,"&gt;=1")+COUNTIFS('2_개행동'!$AD$5:$AD$26,"EDU",'2_개행동'!$AS$5:$AS$26,"&gt;=1")+COUNTIFS('3_보호자행동'!$AD$5:$AD$35,"EDU",'3_보호자행동'!$AS$5:$AS$35,"&gt;=1")),2))</f>
        <v/>
      </c>
      <c r="F20" s="49">
        <f>IF((COUNTIFS('1_바디시그널'!$AD$5:$AD$36,"EDU",'1_바디시그널'!$AS$5:$AS$36,"&gt;=1")+COUNTIFS('2_개행동'!$AD$5:$AD$26,"EDU",'2_개행동'!$AS$5:$AS$26,"&gt;=1")+COUNTIFS('3_보호자행동'!$AD$5:$AD$35,"EDU",'3_보호자행동'!$AS$5:$AS$35,"&gt;=1"))=0,"",IF((SUMIFS('1_바디시그널'!$AS$5:$AS$36,'1_바디시그널'!$AD$5:$AD$36,"EDU",'1_바디시그널'!$BM$5:$BM$36,"A")+SUMIFS('2_개행동'!$AS$5:$AS$26,'2_개행동'!$AD$5:$AD$26,"EDU",'2_개행동'!$BM$5:$BM$26,"A")+SUMIFS('3_보호자행동'!$AS$5:$AS$35,'3_보호자행동'!$AD$5:$AD$35,"EDU",'3_보호자행동'!$BM$5:$BM$35,"A"))&gt;(SUMIFS('1_바디시그널'!$AS$5:$AS$36,'1_바디시그널'!$AD$5:$AD$36,"EDU",'1_바디시그널'!$BM$5:$BM$36,"B")+SUMIFS('2_개행동'!$AS$5:$AS$26,'2_개행동'!$AD$5:$AD$26,"EDU",'2_개행동'!$BM$5:$BM$26,"B")+SUMIFS('3_보호자행동'!$AS$5:$AS$35,'3_보호자행동'!$AD$5:$AD$35,"EDU",'3_보호자행동'!$BM$5:$BM$35,"B")),"A",IF((SUMIFS('1_바디시그널'!$AS$5:$AS$36,'1_바디시그널'!$AD$5:$AD$36,"EDU",'1_바디시그널'!$BM$5:$BM$36,"B")+SUMIFS('2_개행동'!$AS$5:$AS$26,'2_개행동'!$AD$5:$AD$26,"EDU",'2_개행동'!$BM$5:$BM$26,"B")+SUMIFS('3_보호자행동'!$AS$5:$AS$35,'3_보호자행동'!$AD$5:$AD$35,"EDU",'3_보호자행동'!$BM$5:$BM$35,"B"))&gt;(SUMIFS('1_바디시그널'!$AS$5:$AS$36,'1_바디시그널'!$AD$5:$AD$36,"EDU",'1_바디시그널'!$BM$5:$BM$36,"A")+SUMIFS('2_개행동'!$AS$5:$AS$26,'2_개행동'!$AD$5:$AD$26,"EDU",'2_개행동'!$BM$5:$BM$26,"A")+SUMIFS('3_보호자행동'!$AS$5:$AS$35,'3_보호자행동'!$AD$5:$AD$35,"EDU",'3_보호자행동'!$BM$5:$BM$35,"A")),"B","-")))</f>
        <v/>
      </c>
      <c r="G20" s="49">
        <f>IF((COUNTIFS('1_바디시그널'!$AD$5:$AD$36,"SOC_P",'1_바디시그널'!$AS$5:$AS$36,"&gt;=1")+COUNTIFS('2_개행동'!$AD$5:$AD$26,"SOC_P",'2_개행동'!$AS$5:$AS$26,"&gt;=1")+COUNTIFS('3_보호자행동'!$AD$5:$AD$35,"SOC_P",'3_보호자행동'!$AS$5:$AS$35,"&gt;=1"))=0,"",MAX(_xlfn.MAXIFS('1_바디시그널'!$AS$5:$AS$36,'1_바디시그널'!$AD$5:$AD$36,"SOC_P"),_xlfn.MAXIFS('2_개행동'!$AS$5:$AS$26,'2_개행동'!$AD$5:$AD$26,"SOC_P"),_xlfn.MAXIFS('3_보호자행동'!$AS$5:$AS$35,'3_보호자행동'!$AD$5:$AD$35,"SOC_P")))</f>
        <v/>
      </c>
      <c r="H20" s="49">
        <f>IF((COUNTIFS('1_바디시그널'!$AD$5:$AD$36,"SOC_P",'1_바디시그널'!$AS$5:$AS$36,"&gt;=1")+COUNTIFS('2_개행동'!$AD$5:$AD$26,"SOC_P",'2_개행동'!$AS$5:$AS$26,"&gt;=1")+COUNTIFS('3_보호자행동'!$AD$5:$AD$35,"SOC_P",'3_보호자행동'!$AS$5:$AS$35,"&gt;=1"))=0,"",ROUND((SUMIFS('1_바디시그널'!$AS$5:$AS$36,'1_바디시그널'!$AD$5:$AD$36,"SOC_P",'1_바디시그널'!$AS$5:$AS$36,"&gt;=1")+SUMIFS('2_개행동'!$AS$5:$AS$26,'2_개행동'!$AD$5:$AD$26,"SOC_P",'2_개행동'!$AS$5:$AS$26,"&gt;=1")+SUMIFS('3_보호자행동'!$AS$5:$AS$35,'3_보호자행동'!$AD$5:$AD$35,"SOC_P",'3_보호자행동'!$AS$5:$AS$35,"&gt;=1"))/(COUNTIFS('1_바디시그널'!$AD$5:$AD$36,"SOC_P",'1_바디시그널'!$AS$5:$AS$36,"&gt;=1")+COUNTIFS('2_개행동'!$AD$5:$AD$26,"SOC_P",'2_개행동'!$AS$5:$AS$26,"&gt;=1")+COUNTIFS('3_보호자행동'!$AD$5:$AD$35,"SOC_P",'3_보호자행동'!$AS$5:$AS$35,"&gt;=1")),2))</f>
        <v/>
      </c>
      <c r="I20" s="49">
        <f>IF((COUNTIFS('1_바디시그널'!$AD$5:$AD$36,"SOC_P",'1_바디시그널'!$AS$5:$AS$36,"&gt;=1")+COUNTIFS('2_개행동'!$AD$5:$AD$26,"SOC_P",'2_개행동'!$AS$5:$AS$26,"&gt;=1")+COUNTIFS('3_보호자행동'!$AD$5:$AD$35,"SOC_P",'3_보호자행동'!$AS$5:$AS$35,"&gt;=1"))=0,"",IF((SUMIFS('1_바디시그널'!$AS$5:$AS$36,'1_바디시그널'!$AD$5:$AD$36,"SOC_P",'1_바디시그널'!$BM$5:$BM$36,"A")+SUMIFS('2_개행동'!$AS$5:$AS$26,'2_개행동'!$AD$5:$AD$26,"SOC_P",'2_개행동'!$BM$5:$BM$26,"A")+SUMIFS('3_보호자행동'!$AS$5:$AS$35,'3_보호자행동'!$AD$5:$AD$35,"SOC_P",'3_보호자행동'!$BM$5:$BM$35,"A"))&gt;(SUMIFS('1_바디시그널'!$AS$5:$AS$36,'1_바디시그널'!$AD$5:$AD$36,"SOC_P",'1_바디시그널'!$BM$5:$BM$36,"B")+SUMIFS('2_개행동'!$AS$5:$AS$26,'2_개행동'!$AD$5:$AD$26,"SOC_P",'2_개행동'!$BM$5:$BM$26,"B")+SUMIFS('3_보호자행동'!$AS$5:$AS$35,'3_보호자행동'!$AD$5:$AD$35,"SOC_P",'3_보호자행동'!$BM$5:$BM$35,"B")),"A",IF((SUMIFS('1_바디시그널'!$AS$5:$AS$36,'1_바디시그널'!$AD$5:$AD$36,"SOC_P",'1_바디시그널'!$BM$5:$BM$36,"B")+SUMIFS('2_개행동'!$AS$5:$AS$26,'2_개행동'!$AD$5:$AD$26,"SOC_P",'2_개행동'!$BM$5:$BM$26,"B")+SUMIFS('3_보호자행동'!$AS$5:$AS$35,'3_보호자행동'!$AD$5:$AD$35,"SOC_P",'3_보호자행동'!$BM$5:$BM$35,"B"))&gt;(SUMIFS('1_바디시그널'!$AS$5:$AS$36,'1_바디시그널'!$AD$5:$AD$36,"SOC_P",'1_바디시그널'!$BM$5:$BM$36,"A")+SUMIFS('2_개행동'!$AS$5:$AS$26,'2_개행동'!$AD$5:$AD$26,"SOC_P",'2_개행동'!$BM$5:$BM$26,"A")+SUMIFS('3_보호자행동'!$AS$5:$AS$35,'3_보호자행동'!$AD$5:$AD$35,"SOC_P",'3_보호자행동'!$BM$5:$BM$35,"A")),"B","-")))</f>
        <v/>
      </c>
      <c r="J20" s="49">
        <f>IF((COUNTIFS('1_바디시그널'!$AD$5:$AD$36,"SOC_D",'1_바디시그널'!$AS$5:$AS$36,"&gt;=1")+COUNTIFS('2_개행동'!$AD$5:$AD$26,"SOC_D",'2_개행동'!$AS$5:$AS$26,"&gt;=1")+COUNTIFS('3_보호자행동'!$AD$5:$AD$35,"SOC_D",'3_보호자행동'!$AS$5:$AS$35,"&gt;=1"))=0,"",MAX(_xlfn.MAXIFS('1_바디시그널'!$AS$5:$AS$36,'1_바디시그널'!$AD$5:$AD$36,"SOC_D"),_xlfn.MAXIFS('2_개행동'!$AS$5:$AS$26,'2_개행동'!$AD$5:$AD$26,"SOC_D"),_xlfn.MAXIFS('3_보호자행동'!$AS$5:$AS$35,'3_보호자행동'!$AD$5:$AD$35,"SOC_D")))</f>
        <v/>
      </c>
      <c r="K20" s="49">
        <f>IF((COUNTIFS('1_바디시그널'!$AD$5:$AD$36,"SOC_D",'1_바디시그널'!$AS$5:$AS$36,"&gt;=1")+COUNTIFS('2_개행동'!$AD$5:$AD$26,"SOC_D",'2_개행동'!$AS$5:$AS$26,"&gt;=1")+COUNTIFS('3_보호자행동'!$AD$5:$AD$35,"SOC_D",'3_보호자행동'!$AS$5:$AS$35,"&gt;=1"))=0,"",ROUND((SUMIFS('1_바디시그널'!$AS$5:$AS$36,'1_바디시그널'!$AD$5:$AD$36,"SOC_D",'1_바디시그널'!$AS$5:$AS$36,"&gt;=1")+SUMIFS('2_개행동'!$AS$5:$AS$26,'2_개행동'!$AD$5:$AD$26,"SOC_D",'2_개행동'!$AS$5:$AS$26,"&gt;=1")+SUMIFS('3_보호자행동'!$AS$5:$AS$35,'3_보호자행동'!$AD$5:$AD$35,"SOC_D",'3_보호자행동'!$AS$5:$AS$35,"&gt;=1"))/(COUNTIFS('1_바디시그널'!$AD$5:$AD$36,"SOC_D",'1_바디시그널'!$AS$5:$AS$36,"&gt;=1")+COUNTIFS('2_개행동'!$AD$5:$AD$26,"SOC_D",'2_개행동'!$AS$5:$AS$26,"&gt;=1")+COUNTIFS('3_보호자행동'!$AD$5:$AD$35,"SOC_D",'3_보호자행동'!$AS$5:$AS$35,"&gt;=1")),2))</f>
        <v/>
      </c>
      <c r="L20" s="49">
        <f>IF((COUNTIFS('1_바디시그널'!$AD$5:$AD$36,"SOC_D",'1_바디시그널'!$AS$5:$AS$36,"&gt;=1")+COUNTIFS('2_개행동'!$AD$5:$AD$26,"SOC_D",'2_개행동'!$AS$5:$AS$26,"&gt;=1")+COUNTIFS('3_보호자행동'!$AD$5:$AD$35,"SOC_D",'3_보호자행동'!$AS$5:$AS$35,"&gt;=1"))=0,"",IF((SUMIFS('1_바디시그널'!$AS$5:$AS$36,'1_바디시그널'!$AD$5:$AD$36,"SOC_D",'1_바디시그널'!$BM$5:$BM$36,"A")+SUMIFS('2_개행동'!$AS$5:$AS$26,'2_개행동'!$AD$5:$AD$26,"SOC_D",'2_개행동'!$BM$5:$BM$26,"A")+SUMIFS('3_보호자행동'!$AS$5:$AS$35,'3_보호자행동'!$AD$5:$AD$35,"SOC_D",'3_보호자행동'!$BM$5:$BM$35,"A"))&gt;(SUMIFS('1_바디시그널'!$AS$5:$AS$36,'1_바디시그널'!$AD$5:$AD$36,"SOC_D",'1_바디시그널'!$BM$5:$BM$36,"B")+SUMIFS('2_개행동'!$AS$5:$AS$26,'2_개행동'!$AD$5:$AD$26,"SOC_D",'2_개행동'!$BM$5:$BM$26,"B")+SUMIFS('3_보호자행동'!$AS$5:$AS$35,'3_보호자행동'!$AD$5:$AD$35,"SOC_D",'3_보호자행동'!$BM$5:$BM$35,"B")),"A",IF((SUMIFS('1_바디시그널'!$AS$5:$AS$36,'1_바디시그널'!$AD$5:$AD$36,"SOC_D",'1_바디시그널'!$BM$5:$BM$36,"B")+SUMIFS('2_개행동'!$AS$5:$AS$26,'2_개행동'!$AD$5:$AD$26,"SOC_D",'2_개행동'!$BM$5:$BM$26,"B")+SUMIFS('3_보호자행동'!$AS$5:$AS$35,'3_보호자행동'!$AD$5:$AD$35,"SOC_D",'3_보호자행동'!$BM$5:$BM$35,"B"))&gt;(SUMIFS('1_바디시그널'!$AS$5:$AS$36,'1_바디시그널'!$AD$5:$AD$36,"SOC_D",'1_바디시그널'!$BM$5:$BM$36,"A")+SUMIFS('2_개행동'!$AS$5:$AS$26,'2_개행동'!$AD$5:$AD$26,"SOC_D",'2_개행동'!$BM$5:$BM$26,"A")+SUMIFS('3_보호자행동'!$AS$5:$AS$35,'3_보호자행동'!$AD$5:$AD$35,"SOC_D",'3_보호자행동'!$BM$5:$BM$35,"A")),"B","-")))</f>
        <v/>
      </c>
      <c r="M20" s="49">
        <f>IF((COUNTIFS('1_바디시그널'!$AD$5:$AD$36,"SOC_E",'1_바디시그널'!$AS$5:$AS$36,"&gt;=1")+COUNTIFS('2_개행동'!$AD$5:$AD$26,"SOC_E",'2_개행동'!$AS$5:$AS$26,"&gt;=1")+COUNTIFS('3_보호자행동'!$AD$5:$AD$35,"SOC_E",'3_보호자행동'!$AS$5:$AS$35,"&gt;=1"))=0,"",MAX(_xlfn.MAXIFS('1_바디시그널'!$AS$5:$AS$36,'1_바디시그널'!$AD$5:$AD$36,"SOC_E"),_xlfn.MAXIFS('2_개행동'!$AS$5:$AS$26,'2_개행동'!$AD$5:$AD$26,"SOC_E"),_xlfn.MAXIFS('3_보호자행동'!$AS$5:$AS$35,'3_보호자행동'!$AD$5:$AD$35,"SOC_E")))</f>
        <v/>
      </c>
      <c r="N20" s="49">
        <f>IF((COUNTIFS('1_바디시그널'!$AD$5:$AD$36,"SOC_E",'1_바디시그널'!$AS$5:$AS$36,"&gt;=1")+COUNTIFS('2_개행동'!$AD$5:$AD$26,"SOC_E",'2_개행동'!$AS$5:$AS$26,"&gt;=1")+COUNTIFS('3_보호자행동'!$AD$5:$AD$35,"SOC_E",'3_보호자행동'!$AS$5:$AS$35,"&gt;=1"))=0,"",ROUND((SUMIFS('1_바디시그널'!$AS$5:$AS$36,'1_바디시그널'!$AD$5:$AD$36,"SOC_E",'1_바디시그널'!$AS$5:$AS$36,"&gt;=1")+SUMIFS('2_개행동'!$AS$5:$AS$26,'2_개행동'!$AD$5:$AD$26,"SOC_E",'2_개행동'!$AS$5:$AS$26,"&gt;=1")+SUMIFS('3_보호자행동'!$AS$5:$AS$35,'3_보호자행동'!$AD$5:$AD$35,"SOC_E",'3_보호자행동'!$AS$5:$AS$35,"&gt;=1"))/(COUNTIFS('1_바디시그널'!$AD$5:$AD$36,"SOC_E",'1_바디시그널'!$AS$5:$AS$36,"&gt;=1")+COUNTIFS('2_개행동'!$AD$5:$AD$26,"SOC_E",'2_개행동'!$AS$5:$AS$26,"&gt;=1")+COUNTIFS('3_보호자행동'!$AD$5:$AD$35,"SOC_E",'3_보호자행동'!$AS$5:$AS$35,"&gt;=1")),2))</f>
        <v/>
      </c>
      <c r="O20" s="49">
        <f>IF((COUNTIFS('1_바디시그널'!$AD$5:$AD$36,"SOC_E",'1_바디시그널'!$AS$5:$AS$36,"&gt;=1")+COUNTIFS('2_개행동'!$AD$5:$AD$26,"SOC_E",'2_개행동'!$AS$5:$AS$26,"&gt;=1")+COUNTIFS('3_보호자행동'!$AD$5:$AD$35,"SOC_E",'3_보호자행동'!$AS$5:$AS$35,"&gt;=1"))=0,"",IF((SUMIFS('1_바디시그널'!$AS$5:$AS$36,'1_바디시그널'!$AD$5:$AD$36,"SOC_E",'1_바디시그널'!$BM$5:$BM$36,"A")+SUMIFS('2_개행동'!$AS$5:$AS$26,'2_개행동'!$AD$5:$AD$26,"SOC_E",'2_개행동'!$BM$5:$BM$26,"A")+SUMIFS('3_보호자행동'!$AS$5:$AS$35,'3_보호자행동'!$AD$5:$AD$35,"SOC_E",'3_보호자행동'!$BM$5:$BM$35,"A"))&gt;(SUMIFS('1_바디시그널'!$AS$5:$AS$36,'1_바디시그널'!$AD$5:$AD$36,"SOC_E",'1_바디시그널'!$BM$5:$BM$36,"B")+SUMIFS('2_개행동'!$AS$5:$AS$26,'2_개행동'!$AD$5:$AD$26,"SOC_E",'2_개행동'!$BM$5:$BM$26,"B")+SUMIFS('3_보호자행동'!$AS$5:$AS$35,'3_보호자행동'!$AD$5:$AD$35,"SOC_E",'3_보호자행동'!$BM$5:$BM$35,"B")),"A",IF((SUMIFS('1_바디시그널'!$AS$5:$AS$36,'1_바디시그널'!$AD$5:$AD$36,"SOC_E",'1_바디시그널'!$BM$5:$BM$36,"B")+SUMIFS('2_개행동'!$AS$5:$AS$26,'2_개행동'!$AD$5:$AD$26,"SOC_E",'2_개행동'!$BM$5:$BM$26,"B")+SUMIFS('3_보호자행동'!$AS$5:$AS$35,'3_보호자행동'!$AD$5:$AD$35,"SOC_E",'3_보호자행동'!$BM$5:$BM$35,"B"))&gt;(SUMIFS('1_바디시그널'!$AS$5:$AS$36,'1_바디시그널'!$AD$5:$AD$36,"SOC_E",'1_바디시그널'!$BM$5:$BM$36,"A")+SUMIFS('2_개행동'!$AS$5:$AS$26,'2_개행동'!$AD$5:$AD$26,"SOC_E",'2_개행동'!$BM$5:$BM$26,"A")+SUMIFS('3_보호자행동'!$AS$5:$AS$35,'3_보호자행동'!$AD$5:$AD$35,"SOC_E",'3_보호자행동'!$BM$5:$BM$35,"A")),"B","-")))</f>
        <v/>
      </c>
      <c r="P20" s="49">
        <f>IF((COUNTIFS('1_바디시그널'!$AD$5:$AD$36,"ATT",'1_바디시그널'!$AS$5:$AS$36,"&gt;=1")+COUNTIFS('2_개행동'!$AD$5:$AD$26,"ATT",'2_개행동'!$AS$5:$AS$26,"&gt;=1")+COUNTIFS('3_보호자행동'!$AD$5:$AD$35,"ATT",'3_보호자행동'!$AS$5:$AS$35,"&gt;=1"))=0,"",MAX(_xlfn.MAXIFS('1_바디시그널'!$AS$5:$AS$36,'1_바디시그널'!$AD$5:$AD$36,"ATT"),_xlfn.MAXIFS('2_개행동'!$AS$5:$AS$26,'2_개행동'!$AD$5:$AD$26,"ATT"),_xlfn.MAXIFS('3_보호자행동'!$AS$5:$AS$35,'3_보호자행동'!$AD$5:$AD$35,"ATT")))</f>
        <v/>
      </c>
      <c r="Q20" s="49">
        <f>IF((COUNTIFS('1_바디시그널'!$AD$5:$AD$36,"ATT",'1_바디시그널'!$AS$5:$AS$36,"&gt;=1")+COUNTIFS('2_개행동'!$AD$5:$AD$26,"ATT",'2_개행동'!$AS$5:$AS$26,"&gt;=1")+COUNTIFS('3_보호자행동'!$AD$5:$AD$35,"ATT",'3_보호자행동'!$AS$5:$AS$35,"&gt;=1"))=0,"",ROUND((SUMIFS('1_바디시그널'!$AS$5:$AS$36,'1_바디시그널'!$AD$5:$AD$36,"ATT",'1_바디시그널'!$AS$5:$AS$36,"&gt;=1")+SUMIFS('2_개행동'!$AS$5:$AS$26,'2_개행동'!$AD$5:$AD$26,"ATT",'2_개행동'!$AS$5:$AS$26,"&gt;=1")+SUMIFS('3_보호자행동'!$AS$5:$AS$35,'3_보호자행동'!$AD$5:$AD$35,"ATT",'3_보호자행동'!$AS$5:$AS$35,"&gt;=1"))/(COUNTIFS('1_바디시그널'!$AD$5:$AD$36,"ATT",'1_바디시그널'!$AS$5:$AS$36,"&gt;=1")+COUNTIFS('2_개행동'!$AD$5:$AD$26,"ATT",'2_개행동'!$AS$5:$AS$26,"&gt;=1")+COUNTIFS('3_보호자행동'!$AD$5:$AD$35,"ATT",'3_보호자행동'!$AS$5:$AS$35,"&gt;=1")),2))</f>
        <v/>
      </c>
      <c r="R20" s="49">
        <f>IF((COUNTIFS('1_바디시그널'!$AD$5:$AD$36,"ATT",'1_바디시그널'!$AS$5:$AS$36,"&gt;=1")+COUNTIFS('2_개행동'!$AD$5:$AD$26,"ATT",'2_개행동'!$AS$5:$AS$26,"&gt;=1")+COUNTIFS('3_보호자행동'!$AD$5:$AD$35,"ATT",'3_보호자행동'!$AS$5:$AS$35,"&gt;=1"))=0,"",IF((SUMIFS('1_바디시그널'!$AS$5:$AS$36,'1_바디시그널'!$AD$5:$AD$36,"ATT",'1_바디시그널'!$BM$5:$BM$36,"A")+SUMIFS('2_개행동'!$AS$5:$AS$26,'2_개행동'!$AD$5:$AD$26,"ATT",'2_개행동'!$BM$5:$BM$26,"A")+SUMIFS('3_보호자행동'!$AS$5:$AS$35,'3_보호자행동'!$AD$5:$AD$35,"ATT",'3_보호자행동'!$BM$5:$BM$35,"A"))&gt;(SUMIFS('1_바디시그널'!$AS$5:$AS$36,'1_바디시그널'!$AD$5:$AD$36,"ATT",'1_바디시그널'!$BM$5:$BM$36,"B")+SUMIFS('2_개행동'!$AS$5:$AS$26,'2_개행동'!$AD$5:$AD$26,"ATT",'2_개행동'!$BM$5:$BM$26,"B")+SUMIFS('3_보호자행동'!$AS$5:$AS$35,'3_보호자행동'!$AD$5:$AD$35,"ATT",'3_보호자행동'!$BM$5:$BM$35,"B")),"A",IF((SUMIFS('1_바디시그널'!$AS$5:$AS$36,'1_바디시그널'!$AD$5:$AD$36,"ATT",'1_바디시그널'!$BM$5:$BM$36,"B")+SUMIFS('2_개행동'!$AS$5:$AS$26,'2_개행동'!$AD$5:$AD$26,"ATT",'2_개행동'!$BM$5:$BM$26,"B")+SUMIFS('3_보호자행동'!$AS$5:$AS$35,'3_보호자행동'!$AD$5:$AD$35,"ATT",'3_보호자행동'!$BM$5:$BM$35,"B"))&gt;(SUMIFS('1_바디시그널'!$AS$5:$AS$36,'1_바디시그널'!$AD$5:$AD$36,"ATT",'1_바디시그널'!$BM$5:$BM$36,"A")+SUMIFS('2_개행동'!$AS$5:$AS$26,'2_개행동'!$AD$5:$AD$26,"ATT",'2_개행동'!$BM$5:$BM$26,"A")+SUMIFS('3_보호자행동'!$AS$5:$AS$35,'3_보호자행동'!$AD$5:$AD$35,"ATT",'3_보호자행동'!$BM$5:$BM$35,"A")),"B","-")))</f>
        <v/>
      </c>
      <c r="S20" s="49">
        <f>IF((COUNTIFS('1_바디시그널'!$AD$5:$AD$36,"CON",'1_바디시그널'!$AS$5:$AS$36,"&gt;=1")+COUNTIFS('2_개행동'!$AD$5:$AD$26,"CON",'2_개행동'!$AS$5:$AS$26,"&gt;=1")+COUNTIFS('3_보호자행동'!$AD$5:$AD$35,"CON",'3_보호자행동'!$AS$5:$AS$35,"&gt;=1"))=0,"",MAX(_xlfn.MAXIFS('1_바디시그널'!$AS$5:$AS$36,'1_바디시그널'!$AD$5:$AD$36,"CON"),_xlfn.MAXIFS('2_개행동'!$AS$5:$AS$26,'2_개행동'!$AD$5:$AD$26,"CON"),_xlfn.MAXIFS('3_보호자행동'!$AS$5:$AS$35,'3_보호자행동'!$AD$5:$AD$35,"CON")))</f>
        <v/>
      </c>
      <c r="T20" s="49">
        <f>IF((COUNTIFS('1_바디시그널'!$AD$5:$AD$36,"CON",'1_바디시그널'!$AS$5:$AS$36,"&gt;=1")+COUNTIFS('2_개행동'!$AD$5:$AD$26,"CON",'2_개행동'!$AS$5:$AS$26,"&gt;=1")+COUNTIFS('3_보호자행동'!$AD$5:$AD$35,"CON",'3_보호자행동'!$AS$5:$AS$35,"&gt;=1"))=0,"",ROUND((SUMIFS('1_바디시그널'!$AS$5:$AS$36,'1_바디시그널'!$AD$5:$AD$36,"CON",'1_바디시그널'!$AS$5:$AS$36,"&gt;=1")+SUMIFS('2_개행동'!$AS$5:$AS$26,'2_개행동'!$AD$5:$AD$26,"CON",'2_개행동'!$AS$5:$AS$26,"&gt;=1")+SUMIFS('3_보호자행동'!$AS$5:$AS$35,'3_보호자행동'!$AD$5:$AD$35,"CON",'3_보호자행동'!$AS$5:$AS$35,"&gt;=1"))/(COUNTIFS('1_바디시그널'!$AD$5:$AD$36,"CON",'1_바디시그널'!$AS$5:$AS$36,"&gt;=1")+COUNTIFS('2_개행동'!$AD$5:$AD$26,"CON",'2_개행동'!$AS$5:$AS$26,"&gt;=1")+COUNTIFS('3_보호자행동'!$AD$5:$AD$35,"CON",'3_보호자행동'!$AS$5:$AS$35,"&gt;=1")),2))</f>
        <v/>
      </c>
      <c r="U20" s="49">
        <f>IF((COUNTIFS('1_바디시그널'!$AD$5:$AD$36,"CON",'1_바디시그널'!$AS$5:$AS$36,"&gt;=1")+COUNTIFS('2_개행동'!$AD$5:$AD$26,"CON",'2_개행동'!$AS$5:$AS$26,"&gt;=1")+COUNTIFS('3_보호자행동'!$AD$5:$AD$35,"CON",'3_보호자행동'!$AS$5:$AS$35,"&gt;=1"))=0,"",IF((SUMIFS('1_바디시그널'!$AS$5:$AS$36,'1_바디시그널'!$AD$5:$AD$36,"CON",'1_바디시그널'!$BM$5:$BM$36,"A")+SUMIFS('2_개행동'!$AS$5:$AS$26,'2_개행동'!$AD$5:$AD$26,"CON",'2_개행동'!$BM$5:$BM$26,"A")+SUMIFS('3_보호자행동'!$AS$5:$AS$35,'3_보호자행동'!$AD$5:$AD$35,"CON",'3_보호자행동'!$BM$5:$BM$35,"A"))&gt;(SUMIFS('1_바디시그널'!$AS$5:$AS$36,'1_바디시그널'!$AD$5:$AD$36,"CON",'1_바디시그널'!$BM$5:$BM$36,"B")+SUMIFS('2_개행동'!$AS$5:$AS$26,'2_개행동'!$AD$5:$AD$26,"CON",'2_개행동'!$BM$5:$BM$26,"B")+SUMIFS('3_보호자행동'!$AS$5:$AS$35,'3_보호자행동'!$AD$5:$AD$35,"CON",'3_보호자행동'!$BM$5:$BM$35,"B")),"A",IF((SUMIFS('1_바디시그널'!$AS$5:$AS$36,'1_바디시그널'!$AD$5:$AD$36,"CON",'1_바디시그널'!$BM$5:$BM$36,"B")+SUMIFS('2_개행동'!$AS$5:$AS$26,'2_개행동'!$AD$5:$AD$26,"CON",'2_개행동'!$BM$5:$BM$26,"B")+SUMIFS('3_보호자행동'!$AS$5:$AS$35,'3_보호자행동'!$AD$5:$AD$35,"CON",'3_보호자행동'!$BM$5:$BM$35,"B"))&gt;(SUMIFS('1_바디시그널'!$AS$5:$AS$36,'1_바디시그널'!$AD$5:$AD$36,"CON",'1_바디시그널'!$BM$5:$BM$36,"A")+SUMIFS('2_개행동'!$AS$5:$AS$26,'2_개행동'!$AD$5:$AD$26,"CON",'2_개행동'!$BM$5:$BM$26,"A")+SUMIFS('3_보호자행동'!$AS$5:$AS$35,'3_보호자행동'!$AD$5:$AD$35,"CON",'3_보호자행동'!$BM$5:$BM$35,"A")),"B","-")))</f>
        <v/>
      </c>
      <c r="V20" s="48">
        <f>IF(COUNT(X20:AA20)=0,"",ROUND(MAX(X20:AA20)-MIN(X20:AA20),2))</f>
        <v/>
      </c>
      <c r="W20" s="47" t="n"/>
      <c r="X20" s="49">
        <f>IFERROR(SUMIFS('3_보호자행동'!$AS$5:$AS$35,'3_보호자행동'!$A$5:$A$35,"입장",'3_보호자행동'!$AS$5:$AS$35,"&gt;=1")/COUNTIFS('3_보호자행동'!$A$5:$A$35,"입장",'3_보호자행동'!$AS$5:$AS$35,"&gt;=1"),"")</f>
        <v/>
      </c>
      <c r="Y20" s="49">
        <f>IFERROR(SUMIFS('3_보호자행동'!$AS$5:$AS$35,'3_보호자행동'!$A$5:$A$35,"분리",'3_보호자행동'!$AS$5:$AS$35,"&gt;=1")/COUNTIFS('3_보호자행동'!$A$5:$A$35,"분리",'3_보호자행동'!$AS$5:$AS$35,"&gt;=1"),"")</f>
        <v/>
      </c>
      <c r="Z20" s="49">
        <f>IFERROR(SUMIFS('3_보호자행동'!$AS$5:$AS$35,'3_보호자행동'!$A$5:$A$35,"훈련",'3_보호자행동'!$AS$5:$AS$35,"&gt;=1")/COUNTIFS('3_보호자행동'!$A$5:$A$35,"훈련",'3_보호자행동'!$AS$5:$AS$35,"&gt;=1"),"")</f>
        <v/>
      </c>
      <c r="AA20" s="49">
        <f>IFERROR(SUMIFS('3_보호자행동'!$AS$5:$AS$35,'3_보호자행동'!$A$5:$A$35,"놀이",'3_보호자행동'!$AS$5:$AS$35,"&gt;=1")/COUNTIFS('3_보호자행동'!$A$5:$A$35,"놀이",'3_보호자행동'!$AS$5:$AS$35,"&gt;=1"),"")</f>
        <v/>
      </c>
      <c r="AB20">
        <f>IF((COUNTIFS('1_바디시그널'!$AD$5:$AD$36,"TRN",'1_바디시그널'!$AS$5:$AS$36,"&gt;=1")+COUNTIFS('2_개행동'!$AD$5:$AD$26,"TRN",'2_개행동'!$AS$5:$AS$26,"&gt;=1")+COUNTIFS('3_보호자행동'!$AD$5:$AD$35,"TRN",'3_보호자행동'!$AS$5:$AS$35,"&gt;=1"))=0,"",MAX(_xlfn.MAXIFS('1_바디시그널'!$AS$5:$AS$36,'1_바디시그널'!$AD$5:$AD$36,"TRN"),_xlfn.MAXIFS('2_개행동'!$AS$5:$AS$26,'2_개행동'!$AD$5:$AD$26,"TRN"),_xlfn.MAXIFS('3_보호자행동'!$AS$5:$AS$35,'3_보호자행동'!$AD$5:$AD$35,"TRN")))</f>
        <v/>
      </c>
      <c r="AC20">
        <f>IF((COUNTIFS('1_바디시그널'!$AD$5:$AD$36,"TRN",'1_바디시그널'!$AS$5:$AS$36,"&gt;=1")+COUNTIFS('2_개행동'!$AD$5:$AD$26,"TRN",'2_개행동'!$AS$5:$AS$26,"&gt;=1")+COUNTIFS('3_보호자행동'!$AD$5:$AD$35,"TRN",'3_보호자행동'!$AS$5:$AS$35,"&gt;=1"))=0,"",ROUND((SUMIFS('1_바디시그널'!$AS$5:$AS$36,'1_바디시그널'!$AD$5:$AD$36,"TRN",'1_바디시그널'!$AS$5:$AS$36,"&gt;=1")+SUMIFS('2_개행동'!$AS$5:$AS$26,'2_개행동'!$AD$5:$AD$26,"TRN",'2_개행동'!$AS$5:$AS$26,"&gt;=1")+SUMIFS('3_보호자행동'!$AS$5:$AS$35,'3_보호자행동'!$AD$5:$AD$35,"TRN",'3_보호자행동'!$AS$5:$AS$35,"&gt;=1"))/(COUNTIFS('1_바디시그널'!$AD$5:$AD$36,"TRN",'1_바디시그널'!$AS$5:$AS$36,"&gt;=1")+COUNTIFS('2_개행동'!$AD$5:$AD$26,"TRN",'2_개행동'!$AS$5:$AS$26,"&gt;=1")+COUNTIFS('3_보호자행동'!$AD$5:$AD$35,"TRN",'3_보호자행동'!$AS$5:$AS$35,"&gt;=1")),2))</f>
        <v/>
      </c>
      <c r="AD20">
        <f>IF((COUNTIFS('1_바디시그널'!$AD$5:$AD$36,"TRN",'1_바디시그널'!$AS$5:$AS$36,"&gt;=1")+COUNTIFS('2_개행동'!$AD$5:$AD$26,"TRN",'2_개행동'!$AS$5:$AS$26,"&gt;=1")+COUNTIFS('3_보호자행동'!$AD$5:$AD$35,"TRN",'3_보호자행동'!$AS$5:$AS$35,"&gt;=1"))=0,"",IF((SUMIFS('1_바디시그널'!$AS$5:$AS$36,'1_바디시그널'!$AD$5:$AD$36,"TRN",'1_바디시그널'!$BM$5:$BM$36,"A")+SUMIFS('2_개행동'!$AS$5:$AS$26,'2_개행동'!$AD$5:$AD$26,"TRN",'2_개행동'!$BM$5:$BM$26,"A")+SUMIFS('3_보호자행동'!$AS$5:$AS$35,'3_보호자행동'!$AD$5:$AD$35,"TRN",'3_보호자행동'!$BM$5:$BM$35,"A"))&gt;(SUMIFS('1_바디시그널'!$AS$5:$AS$36,'1_바디시그널'!$AD$5:$AD$36,"TRN",'1_바디시그널'!$BM$5:$BM$36,"B")+SUMIFS('2_개행동'!$AS$5:$AS$26,'2_개행동'!$AD$5:$AD$26,"TRN",'2_개행동'!$BM$5:$BM$26,"B")+SUMIFS('3_보호자행동'!$AS$5:$AS$35,'3_보호자행동'!$AD$5:$AD$35,"TRN",'3_보호자행동'!$BM$5:$BM$35,"B")),"A",IF((SUMIFS('1_바디시그널'!$AS$5:$AS$36,'1_바디시그널'!$AD$5:$AD$36,"TRN",'1_바디시그널'!$BM$5:$BM$36,"B")+SUMIFS('2_개행동'!$AS$5:$AS$26,'2_개행동'!$AD$5:$AD$26,"TRN",'2_개행동'!$BM$5:$BM$26,"B")+SUMIFS('3_보호자행동'!$AS$5:$AS$35,'3_보호자행동'!$AD$5:$AD$35,"TRN",'3_보호자행동'!$BM$5:$BM$35,"B"))&gt;(SUMIFS('1_바디시그널'!$AS$5:$AS$36,'1_바디시그널'!$AD$5:$AD$36,"TRN",'1_바디시그널'!$BM$5:$BM$36,"A")+SUMIFS('2_개행동'!$AS$5:$AS$26,'2_개행동'!$AD$5:$AD$26,"TRN",'2_개행동'!$BM$5:$BM$26,"A")+SUMIFS('3_보호자행동'!$AS$5:$AS$35,'3_보호자행동'!$AD$5:$AD$35,"TRN",'3_보호자행동'!$BM$5:$BM$35,"A")),"B","-")))</f>
        <v/>
      </c>
      <c r="AE20">
        <f>IF('2_개행동'!$X$11="","",'2_개행동'!$X$11&amp;IF('2_개행동'!$X$11=3," [B]",IF('2_개행동'!$X$11=1,""," [A]")))</f>
        <v/>
      </c>
    </row>
    <row r="21" ht="18.75" customHeight="1" s="1">
      <c r="A21" s="46" t="n">
        <v>16</v>
      </c>
      <c r="B21" s="47" t="n"/>
      <c r="C21" s="47" t="n"/>
      <c r="D21" s="48">
        <f>IF((COUNTIFS('1_바디시그널'!$AD$5:$AD$36,"EDU",'1_바디시그널'!$AT$5:$AT$36,"&gt;=1")+COUNTIFS('2_개행동'!$AD$5:$AD$26,"EDU",'2_개행동'!$AT$5:$AT$26,"&gt;=1")+COUNTIFS('3_보호자행동'!$AD$5:$AD$35,"EDU",'3_보호자행동'!$AT$5:$AT$35,"&gt;=1"))=0,"",MAX(_xlfn.MAXIFS('1_바디시그널'!$AT$5:$AT$36,'1_바디시그널'!$AD$5:$AD$36,"EDU"),_xlfn.MAXIFS('2_개행동'!$AT$5:$AT$26,'2_개행동'!$AD$5:$AD$26,"EDU"),_xlfn.MAXIFS('3_보호자행동'!$AT$5:$AT$35,'3_보호자행동'!$AD$5:$AD$35,"EDU")))</f>
        <v/>
      </c>
      <c r="E21" s="49">
        <f>IF((COUNTIFS('1_바디시그널'!$AD$5:$AD$36,"EDU",'1_바디시그널'!$AT$5:$AT$36,"&gt;=1")+COUNTIFS('2_개행동'!$AD$5:$AD$26,"EDU",'2_개행동'!$AT$5:$AT$26,"&gt;=1")+COUNTIFS('3_보호자행동'!$AD$5:$AD$35,"EDU",'3_보호자행동'!$AT$5:$AT$35,"&gt;=1"))=0,"",ROUND((SUMIFS('1_바디시그널'!$AT$5:$AT$36,'1_바디시그널'!$AD$5:$AD$36,"EDU",'1_바디시그널'!$AT$5:$AT$36,"&gt;=1")+SUMIFS('2_개행동'!$AT$5:$AT$26,'2_개행동'!$AD$5:$AD$26,"EDU",'2_개행동'!$AT$5:$AT$26,"&gt;=1")+SUMIFS('3_보호자행동'!$AT$5:$AT$35,'3_보호자행동'!$AD$5:$AD$35,"EDU",'3_보호자행동'!$AT$5:$AT$35,"&gt;=1"))/(COUNTIFS('1_바디시그널'!$AD$5:$AD$36,"EDU",'1_바디시그널'!$AT$5:$AT$36,"&gt;=1")+COUNTIFS('2_개행동'!$AD$5:$AD$26,"EDU",'2_개행동'!$AT$5:$AT$26,"&gt;=1")+COUNTIFS('3_보호자행동'!$AD$5:$AD$35,"EDU",'3_보호자행동'!$AT$5:$AT$35,"&gt;=1")),2))</f>
        <v/>
      </c>
      <c r="F21" s="49">
        <f>IF((COUNTIFS('1_바디시그널'!$AD$5:$AD$36,"EDU",'1_바디시그널'!$AT$5:$AT$36,"&gt;=1")+COUNTIFS('2_개행동'!$AD$5:$AD$26,"EDU",'2_개행동'!$AT$5:$AT$26,"&gt;=1")+COUNTIFS('3_보호자행동'!$AD$5:$AD$35,"EDU",'3_보호자행동'!$AT$5:$AT$35,"&gt;=1"))=0,"",IF((SUMIFS('1_바디시그널'!$AT$5:$AT$36,'1_바디시그널'!$AD$5:$AD$36,"EDU",'1_바디시그널'!$BN$5:$BN$36,"A")+SUMIFS('2_개행동'!$AT$5:$AT$26,'2_개행동'!$AD$5:$AD$26,"EDU",'2_개행동'!$BN$5:$BN$26,"A")+SUMIFS('3_보호자행동'!$AT$5:$AT$35,'3_보호자행동'!$AD$5:$AD$35,"EDU",'3_보호자행동'!$BN$5:$BN$35,"A"))&gt;(SUMIFS('1_바디시그널'!$AT$5:$AT$36,'1_바디시그널'!$AD$5:$AD$36,"EDU",'1_바디시그널'!$BN$5:$BN$36,"B")+SUMIFS('2_개행동'!$AT$5:$AT$26,'2_개행동'!$AD$5:$AD$26,"EDU",'2_개행동'!$BN$5:$BN$26,"B")+SUMIFS('3_보호자행동'!$AT$5:$AT$35,'3_보호자행동'!$AD$5:$AD$35,"EDU",'3_보호자행동'!$BN$5:$BN$35,"B")),"A",IF((SUMIFS('1_바디시그널'!$AT$5:$AT$36,'1_바디시그널'!$AD$5:$AD$36,"EDU",'1_바디시그널'!$BN$5:$BN$36,"B")+SUMIFS('2_개행동'!$AT$5:$AT$26,'2_개행동'!$AD$5:$AD$26,"EDU",'2_개행동'!$BN$5:$BN$26,"B")+SUMIFS('3_보호자행동'!$AT$5:$AT$35,'3_보호자행동'!$AD$5:$AD$35,"EDU",'3_보호자행동'!$BN$5:$BN$35,"B"))&gt;(SUMIFS('1_바디시그널'!$AT$5:$AT$36,'1_바디시그널'!$AD$5:$AD$36,"EDU",'1_바디시그널'!$BN$5:$BN$36,"A")+SUMIFS('2_개행동'!$AT$5:$AT$26,'2_개행동'!$AD$5:$AD$26,"EDU",'2_개행동'!$BN$5:$BN$26,"A")+SUMIFS('3_보호자행동'!$AT$5:$AT$35,'3_보호자행동'!$AD$5:$AD$35,"EDU",'3_보호자행동'!$BN$5:$BN$35,"A")),"B","-")))</f>
        <v/>
      </c>
      <c r="G21" s="49">
        <f>IF((COUNTIFS('1_바디시그널'!$AD$5:$AD$36,"SOC_P",'1_바디시그널'!$AT$5:$AT$36,"&gt;=1")+COUNTIFS('2_개행동'!$AD$5:$AD$26,"SOC_P",'2_개행동'!$AT$5:$AT$26,"&gt;=1")+COUNTIFS('3_보호자행동'!$AD$5:$AD$35,"SOC_P",'3_보호자행동'!$AT$5:$AT$35,"&gt;=1"))=0,"",MAX(_xlfn.MAXIFS('1_바디시그널'!$AT$5:$AT$36,'1_바디시그널'!$AD$5:$AD$36,"SOC_P"),_xlfn.MAXIFS('2_개행동'!$AT$5:$AT$26,'2_개행동'!$AD$5:$AD$26,"SOC_P"),_xlfn.MAXIFS('3_보호자행동'!$AT$5:$AT$35,'3_보호자행동'!$AD$5:$AD$35,"SOC_P")))</f>
        <v/>
      </c>
      <c r="H21" s="49">
        <f>IF((COUNTIFS('1_바디시그널'!$AD$5:$AD$36,"SOC_P",'1_바디시그널'!$AT$5:$AT$36,"&gt;=1")+COUNTIFS('2_개행동'!$AD$5:$AD$26,"SOC_P",'2_개행동'!$AT$5:$AT$26,"&gt;=1")+COUNTIFS('3_보호자행동'!$AD$5:$AD$35,"SOC_P",'3_보호자행동'!$AT$5:$AT$35,"&gt;=1"))=0,"",ROUND((SUMIFS('1_바디시그널'!$AT$5:$AT$36,'1_바디시그널'!$AD$5:$AD$36,"SOC_P",'1_바디시그널'!$AT$5:$AT$36,"&gt;=1")+SUMIFS('2_개행동'!$AT$5:$AT$26,'2_개행동'!$AD$5:$AD$26,"SOC_P",'2_개행동'!$AT$5:$AT$26,"&gt;=1")+SUMIFS('3_보호자행동'!$AT$5:$AT$35,'3_보호자행동'!$AD$5:$AD$35,"SOC_P",'3_보호자행동'!$AT$5:$AT$35,"&gt;=1"))/(COUNTIFS('1_바디시그널'!$AD$5:$AD$36,"SOC_P",'1_바디시그널'!$AT$5:$AT$36,"&gt;=1")+COUNTIFS('2_개행동'!$AD$5:$AD$26,"SOC_P",'2_개행동'!$AT$5:$AT$26,"&gt;=1")+COUNTIFS('3_보호자행동'!$AD$5:$AD$35,"SOC_P",'3_보호자행동'!$AT$5:$AT$35,"&gt;=1")),2))</f>
        <v/>
      </c>
      <c r="I21" s="49">
        <f>IF((COUNTIFS('1_바디시그널'!$AD$5:$AD$36,"SOC_P",'1_바디시그널'!$AT$5:$AT$36,"&gt;=1")+COUNTIFS('2_개행동'!$AD$5:$AD$26,"SOC_P",'2_개행동'!$AT$5:$AT$26,"&gt;=1")+COUNTIFS('3_보호자행동'!$AD$5:$AD$35,"SOC_P",'3_보호자행동'!$AT$5:$AT$35,"&gt;=1"))=0,"",IF((SUMIFS('1_바디시그널'!$AT$5:$AT$36,'1_바디시그널'!$AD$5:$AD$36,"SOC_P",'1_바디시그널'!$BN$5:$BN$36,"A")+SUMIFS('2_개행동'!$AT$5:$AT$26,'2_개행동'!$AD$5:$AD$26,"SOC_P",'2_개행동'!$BN$5:$BN$26,"A")+SUMIFS('3_보호자행동'!$AT$5:$AT$35,'3_보호자행동'!$AD$5:$AD$35,"SOC_P",'3_보호자행동'!$BN$5:$BN$35,"A"))&gt;(SUMIFS('1_바디시그널'!$AT$5:$AT$36,'1_바디시그널'!$AD$5:$AD$36,"SOC_P",'1_바디시그널'!$BN$5:$BN$36,"B")+SUMIFS('2_개행동'!$AT$5:$AT$26,'2_개행동'!$AD$5:$AD$26,"SOC_P",'2_개행동'!$BN$5:$BN$26,"B")+SUMIFS('3_보호자행동'!$AT$5:$AT$35,'3_보호자행동'!$AD$5:$AD$35,"SOC_P",'3_보호자행동'!$BN$5:$BN$35,"B")),"A",IF((SUMIFS('1_바디시그널'!$AT$5:$AT$36,'1_바디시그널'!$AD$5:$AD$36,"SOC_P",'1_바디시그널'!$BN$5:$BN$36,"B")+SUMIFS('2_개행동'!$AT$5:$AT$26,'2_개행동'!$AD$5:$AD$26,"SOC_P",'2_개행동'!$BN$5:$BN$26,"B")+SUMIFS('3_보호자행동'!$AT$5:$AT$35,'3_보호자행동'!$AD$5:$AD$35,"SOC_P",'3_보호자행동'!$BN$5:$BN$35,"B"))&gt;(SUMIFS('1_바디시그널'!$AT$5:$AT$36,'1_바디시그널'!$AD$5:$AD$36,"SOC_P",'1_바디시그널'!$BN$5:$BN$36,"A")+SUMIFS('2_개행동'!$AT$5:$AT$26,'2_개행동'!$AD$5:$AD$26,"SOC_P",'2_개행동'!$BN$5:$BN$26,"A")+SUMIFS('3_보호자행동'!$AT$5:$AT$35,'3_보호자행동'!$AD$5:$AD$35,"SOC_P",'3_보호자행동'!$BN$5:$BN$35,"A")),"B","-")))</f>
        <v/>
      </c>
      <c r="J21" s="49">
        <f>IF((COUNTIFS('1_바디시그널'!$AD$5:$AD$36,"SOC_D",'1_바디시그널'!$AT$5:$AT$36,"&gt;=1")+COUNTIFS('2_개행동'!$AD$5:$AD$26,"SOC_D",'2_개행동'!$AT$5:$AT$26,"&gt;=1")+COUNTIFS('3_보호자행동'!$AD$5:$AD$35,"SOC_D",'3_보호자행동'!$AT$5:$AT$35,"&gt;=1"))=0,"",MAX(_xlfn.MAXIFS('1_바디시그널'!$AT$5:$AT$36,'1_바디시그널'!$AD$5:$AD$36,"SOC_D"),_xlfn.MAXIFS('2_개행동'!$AT$5:$AT$26,'2_개행동'!$AD$5:$AD$26,"SOC_D"),_xlfn.MAXIFS('3_보호자행동'!$AT$5:$AT$35,'3_보호자행동'!$AD$5:$AD$35,"SOC_D")))</f>
        <v/>
      </c>
      <c r="K21" s="49">
        <f>IF((COUNTIFS('1_바디시그널'!$AD$5:$AD$36,"SOC_D",'1_바디시그널'!$AT$5:$AT$36,"&gt;=1")+COUNTIFS('2_개행동'!$AD$5:$AD$26,"SOC_D",'2_개행동'!$AT$5:$AT$26,"&gt;=1")+COUNTIFS('3_보호자행동'!$AD$5:$AD$35,"SOC_D",'3_보호자행동'!$AT$5:$AT$35,"&gt;=1"))=0,"",ROUND((SUMIFS('1_바디시그널'!$AT$5:$AT$36,'1_바디시그널'!$AD$5:$AD$36,"SOC_D",'1_바디시그널'!$AT$5:$AT$36,"&gt;=1")+SUMIFS('2_개행동'!$AT$5:$AT$26,'2_개행동'!$AD$5:$AD$26,"SOC_D",'2_개행동'!$AT$5:$AT$26,"&gt;=1")+SUMIFS('3_보호자행동'!$AT$5:$AT$35,'3_보호자행동'!$AD$5:$AD$35,"SOC_D",'3_보호자행동'!$AT$5:$AT$35,"&gt;=1"))/(COUNTIFS('1_바디시그널'!$AD$5:$AD$36,"SOC_D",'1_바디시그널'!$AT$5:$AT$36,"&gt;=1")+COUNTIFS('2_개행동'!$AD$5:$AD$26,"SOC_D",'2_개행동'!$AT$5:$AT$26,"&gt;=1")+COUNTIFS('3_보호자행동'!$AD$5:$AD$35,"SOC_D",'3_보호자행동'!$AT$5:$AT$35,"&gt;=1")),2))</f>
        <v/>
      </c>
      <c r="L21" s="49">
        <f>IF((COUNTIFS('1_바디시그널'!$AD$5:$AD$36,"SOC_D",'1_바디시그널'!$AT$5:$AT$36,"&gt;=1")+COUNTIFS('2_개행동'!$AD$5:$AD$26,"SOC_D",'2_개행동'!$AT$5:$AT$26,"&gt;=1")+COUNTIFS('3_보호자행동'!$AD$5:$AD$35,"SOC_D",'3_보호자행동'!$AT$5:$AT$35,"&gt;=1"))=0,"",IF((SUMIFS('1_바디시그널'!$AT$5:$AT$36,'1_바디시그널'!$AD$5:$AD$36,"SOC_D",'1_바디시그널'!$BN$5:$BN$36,"A")+SUMIFS('2_개행동'!$AT$5:$AT$26,'2_개행동'!$AD$5:$AD$26,"SOC_D",'2_개행동'!$BN$5:$BN$26,"A")+SUMIFS('3_보호자행동'!$AT$5:$AT$35,'3_보호자행동'!$AD$5:$AD$35,"SOC_D",'3_보호자행동'!$BN$5:$BN$35,"A"))&gt;(SUMIFS('1_바디시그널'!$AT$5:$AT$36,'1_바디시그널'!$AD$5:$AD$36,"SOC_D",'1_바디시그널'!$BN$5:$BN$36,"B")+SUMIFS('2_개행동'!$AT$5:$AT$26,'2_개행동'!$AD$5:$AD$26,"SOC_D",'2_개행동'!$BN$5:$BN$26,"B")+SUMIFS('3_보호자행동'!$AT$5:$AT$35,'3_보호자행동'!$AD$5:$AD$35,"SOC_D",'3_보호자행동'!$BN$5:$BN$35,"B")),"A",IF((SUMIFS('1_바디시그널'!$AT$5:$AT$36,'1_바디시그널'!$AD$5:$AD$36,"SOC_D",'1_바디시그널'!$BN$5:$BN$36,"B")+SUMIFS('2_개행동'!$AT$5:$AT$26,'2_개행동'!$AD$5:$AD$26,"SOC_D",'2_개행동'!$BN$5:$BN$26,"B")+SUMIFS('3_보호자행동'!$AT$5:$AT$35,'3_보호자행동'!$AD$5:$AD$35,"SOC_D",'3_보호자행동'!$BN$5:$BN$35,"B"))&gt;(SUMIFS('1_바디시그널'!$AT$5:$AT$36,'1_바디시그널'!$AD$5:$AD$36,"SOC_D",'1_바디시그널'!$BN$5:$BN$36,"A")+SUMIFS('2_개행동'!$AT$5:$AT$26,'2_개행동'!$AD$5:$AD$26,"SOC_D",'2_개행동'!$BN$5:$BN$26,"A")+SUMIFS('3_보호자행동'!$AT$5:$AT$35,'3_보호자행동'!$AD$5:$AD$35,"SOC_D",'3_보호자행동'!$BN$5:$BN$35,"A")),"B","-")))</f>
        <v/>
      </c>
      <c r="M21" s="49">
        <f>IF((COUNTIFS('1_바디시그널'!$AD$5:$AD$36,"SOC_E",'1_바디시그널'!$AT$5:$AT$36,"&gt;=1")+COUNTIFS('2_개행동'!$AD$5:$AD$26,"SOC_E",'2_개행동'!$AT$5:$AT$26,"&gt;=1")+COUNTIFS('3_보호자행동'!$AD$5:$AD$35,"SOC_E",'3_보호자행동'!$AT$5:$AT$35,"&gt;=1"))=0,"",MAX(_xlfn.MAXIFS('1_바디시그널'!$AT$5:$AT$36,'1_바디시그널'!$AD$5:$AD$36,"SOC_E"),_xlfn.MAXIFS('2_개행동'!$AT$5:$AT$26,'2_개행동'!$AD$5:$AD$26,"SOC_E"),_xlfn.MAXIFS('3_보호자행동'!$AT$5:$AT$35,'3_보호자행동'!$AD$5:$AD$35,"SOC_E")))</f>
        <v/>
      </c>
      <c r="N21" s="49">
        <f>IF((COUNTIFS('1_바디시그널'!$AD$5:$AD$36,"SOC_E",'1_바디시그널'!$AT$5:$AT$36,"&gt;=1")+COUNTIFS('2_개행동'!$AD$5:$AD$26,"SOC_E",'2_개행동'!$AT$5:$AT$26,"&gt;=1")+COUNTIFS('3_보호자행동'!$AD$5:$AD$35,"SOC_E",'3_보호자행동'!$AT$5:$AT$35,"&gt;=1"))=0,"",ROUND((SUMIFS('1_바디시그널'!$AT$5:$AT$36,'1_바디시그널'!$AD$5:$AD$36,"SOC_E",'1_바디시그널'!$AT$5:$AT$36,"&gt;=1")+SUMIFS('2_개행동'!$AT$5:$AT$26,'2_개행동'!$AD$5:$AD$26,"SOC_E",'2_개행동'!$AT$5:$AT$26,"&gt;=1")+SUMIFS('3_보호자행동'!$AT$5:$AT$35,'3_보호자행동'!$AD$5:$AD$35,"SOC_E",'3_보호자행동'!$AT$5:$AT$35,"&gt;=1"))/(COUNTIFS('1_바디시그널'!$AD$5:$AD$36,"SOC_E",'1_바디시그널'!$AT$5:$AT$36,"&gt;=1")+COUNTIFS('2_개행동'!$AD$5:$AD$26,"SOC_E",'2_개행동'!$AT$5:$AT$26,"&gt;=1")+COUNTIFS('3_보호자행동'!$AD$5:$AD$35,"SOC_E",'3_보호자행동'!$AT$5:$AT$35,"&gt;=1")),2))</f>
        <v/>
      </c>
      <c r="O21" s="49">
        <f>IF((COUNTIFS('1_바디시그널'!$AD$5:$AD$36,"SOC_E",'1_바디시그널'!$AT$5:$AT$36,"&gt;=1")+COUNTIFS('2_개행동'!$AD$5:$AD$26,"SOC_E",'2_개행동'!$AT$5:$AT$26,"&gt;=1")+COUNTIFS('3_보호자행동'!$AD$5:$AD$35,"SOC_E",'3_보호자행동'!$AT$5:$AT$35,"&gt;=1"))=0,"",IF((SUMIFS('1_바디시그널'!$AT$5:$AT$36,'1_바디시그널'!$AD$5:$AD$36,"SOC_E",'1_바디시그널'!$BN$5:$BN$36,"A")+SUMIFS('2_개행동'!$AT$5:$AT$26,'2_개행동'!$AD$5:$AD$26,"SOC_E",'2_개행동'!$BN$5:$BN$26,"A")+SUMIFS('3_보호자행동'!$AT$5:$AT$35,'3_보호자행동'!$AD$5:$AD$35,"SOC_E",'3_보호자행동'!$BN$5:$BN$35,"A"))&gt;(SUMIFS('1_바디시그널'!$AT$5:$AT$36,'1_바디시그널'!$AD$5:$AD$36,"SOC_E",'1_바디시그널'!$BN$5:$BN$36,"B")+SUMIFS('2_개행동'!$AT$5:$AT$26,'2_개행동'!$AD$5:$AD$26,"SOC_E",'2_개행동'!$BN$5:$BN$26,"B")+SUMIFS('3_보호자행동'!$AT$5:$AT$35,'3_보호자행동'!$AD$5:$AD$35,"SOC_E",'3_보호자행동'!$BN$5:$BN$35,"B")),"A",IF((SUMIFS('1_바디시그널'!$AT$5:$AT$36,'1_바디시그널'!$AD$5:$AD$36,"SOC_E",'1_바디시그널'!$BN$5:$BN$36,"B")+SUMIFS('2_개행동'!$AT$5:$AT$26,'2_개행동'!$AD$5:$AD$26,"SOC_E",'2_개행동'!$BN$5:$BN$26,"B")+SUMIFS('3_보호자행동'!$AT$5:$AT$35,'3_보호자행동'!$AD$5:$AD$35,"SOC_E",'3_보호자행동'!$BN$5:$BN$35,"B"))&gt;(SUMIFS('1_바디시그널'!$AT$5:$AT$36,'1_바디시그널'!$AD$5:$AD$36,"SOC_E",'1_바디시그널'!$BN$5:$BN$36,"A")+SUMIFS('2_개행동'!$AT$5:$AT$26,'2_개행동'!$AD$5:$AD$26,"SOC_E",'2_개행동'!$BN$5:$BN$26,"A")+SUMIFS('3_보호자행동'!$AT$5:$AT$35,'3_보호자행동'!$AD$5:$AD$35,"SOC_E",'3_보호자행동'!$BN$5:$BN$35,"A")),"B","-")))</f>
        <v/>
      </c>
      <c r="P21" s="49">
        <f>IF((COUNTIFS('1_바디시그널'!$AD$5:$AD$36,"ATT",'1_바디시그널'!$AT$5:$AT$36,"&gt;=1")+COUNTIFS('2_개행동'!$AD$5:$AD$26,"ATT",'2_개행동'!$AT$5:$AT$26,"&gt;=1")+COUNTIFS('3_보호자행동'!$AD$5:$AD$35,"ATT",'3_보호자행동'!$AT$5:$AT$35,"&gt;=1"))=0,"",MAX(_xlfn.MAXIFS('1_바디시그널'!$AT$5:$AT$36,'1_바디시그널'!$AD$5:$AD$36,"ATT"),_xlfn.MAXIFS('2_개행동'!$AT$5:$AT$26,'2_개행동'!$AD$5:$AD$26,"ATT"),_xlfn.MAXIFS('3_보호자행동'!$AT$5:$AT$35,'3_보호자행동'!$AD$5:$AD$35,"ATT")))</f>
        <v/>
      </c>
      <c r="Q21" s="49">
        <f>IF((COUNTIFS('1_바디시그널'!$AD$5:$AD$36,"ATT",'1_바디시그널'!$AT$5:$AT$36,"&gt;=1")+COUNTIFS('2_개행동'!$AD$5:$AD$26,"ATT",'2_개행동'!$AT$5:$AT$26,"&gt;=1")+COUNTIFS('3_보호자행동'!$AD$5:$AD$35,"ATT",'3_보호자행동'!$AT$5:$AT$35,"&gt;=1"))=0,"",ROUND((SUMIFS('1_바디시그널'!$AT$5:$AT$36,'1_바디시그널'!$AD$5:$AD$36,"ATT",'1_바디시그널'!$AT$5:$AT$36,"&gt;=1")+SUMIFS('2_개행동'!$AT$5:$AT$26,'2_개행동'!$AD$5:$AD$26,"ATT",'2_개행동'!$AT$5:$AT$26,"&gt;=1")+SUMIFS('3_보호자행동'!$AT$5:$AT$35,'3_보호자행동'!$AD$5:$AD$35,"ATT",'3_보호자행동'!$AT$5:$AT$35,"&gt;=1"))/(COUNTIFS('1_바디시그널'!$AD$5:$AD$36,"ATT",'1_바디시그널'!$AT$5:$AT$36,"&gt;=1")+COUNTIFS('2_개행동'!$AD$5:$AD$26,"ATT",'2_개행동'!$AT$5:$AT$26,"&gt;=1")+COUNTIFS('3_보호자행동'!$AD$5:$AD$35,"ATT",'3_보호자행동'!$AT$5:$AT$35,"&gt;=1")),2))</f>
        <v/>
      </c>
      <c r="R21" s="49">
        <f>IF((COUNTIFS('1_바디시그널'!$AD$5:$AD$36,"ATT",'1_바디시그널'!$AT$5:$AT$36,"&gt;=1")+COUNTIFS('2_개행동'!$AD$5:$AD$26,"ATT",'2_개행동'!$AT$5:$AT$26,"&gt;=1")+COUNTIFS('3_보호자행동'!$AD$5:$AD$35,"ATT",'3_보호자행동'!$AT$5:$AT$35,"&gt;=1"))=0,"",IF((SUMIFS('1_바디시그널'!$AT$5:$AT$36,'1_바디시그널'!$AD$5:$AD$36,"ATT",'1_바디시그널'!$BN$5:$BN$36,"A")+SUMIFS('2_개행동'!$AT$5:$AT$26,'2_개행동'!$AD$5:$AD$26,"ATT",'2_개행동'!$BN$5:$BN$26,"A")+SUMIFS('3_보호자행동'!$AT$5:$AT$35,'3_보호자행동'!$AD$5:$AD$35,"ATT",'3_보호자행동'!$BN$5:$BN$35,"A"))&gt;(SUMIFS('1_바디시그널'!$AT$5:$AT$36,'1_바디시그널'!$AD$5:$AD$36,"ATT",'1_바디시그널'!$BN$5:$BN$36,"B")+SUMIFS('2_개행동'!$AT$5:$AT$26,'2_개행동'!$AD$5:$AD$26,"ATT",'2_개행동'!$BN$5:$BN$26,"B")+SUMIFS('3_보호자행동'!$AT$5:$AT$35,'3_보호자행동'!$AD$5:$AD$35,"ATT",'3_보호자행동'!$BN$5:$BN$35,"B")),"A",IF((SUMIFS('1_바디시그널'!$AT$5:$AT$36,'1_바디시그널'!$AD$5:$AD$36,"ATT",'1_바디시그널'!$BN$5:$BN$36,"B")+SUMIFS('2_개행동'!$AT$5:$AT$26,'2_개행동'!$AD$5:$AD$26,"ATT",'2_개행동'!$BN$5:$BN$26,"B")+SUMIFS('3_보호자행동'!$AT$5:$AT$35,'3_보호자행동'!$AD$5:$AD$35,"ATT",'3_보호자행동'!$BN$5:$BN$35,"B"))&gt;(SUMIFS('1_바디시그널'!$AT$5:$AT$36,'1_바디시그널'!$AD$5:$AD$36,"ATT",'1_바디시그널'!$BN$5:$BN$36,"A")+SUMIFS('2_개행동'!$AT$5:$AT$26,'2_개행동'!$AD$5:$AD$26,"ATT",'2_개행동'!$BN$5:$BN$26,"A")+SUMIFS('3_보호자행동'!$AT$5:$AT$35,'3_보호자행동'!$AD$5:$AD$35,"ATT",'3_보호자행동'!$BN$5:$BN$35,"A")),"B","-")))</f>
        <v/>
      </c>
      <c r="S21" s="49">
        <f>IF((COUNTIFS('1_바디시그널'!$AD$5:$AD$36,"CON",'1_바디시그널'!$AT$5:$AT$36,"&gt;=1")+COUNTIFS('2_개행동'!$AD$5:$AD$26,"CON",'2_개행동'!$AT$5:$AT$26,"&gt;=1")+COUNTIFS('3_보호자행동'!$AD$5:$AD$35,"CON",'3_보호자행동'!$AT$5:$AT$35,"&gt;=1"))=0,"",MAX(_xlfn.MAXIFS('1_바디시그널'!$AT$5:$AT$36,'1_바디시그널'!$AD$5:$AD$36,"CON"),_xlfn.MAXIFS('2_개행동'!$AT$5:$AT$26,'2_개행동'!$AD$5:$AD$26,"CON"),_xlfn.MAXIFS('3_보호자행동'!$AT$5:$AT$35,'3_보호자행동'!$AD$5:$AD$35,"CON")))</f>
        <v/>
      </c>
      <c r="T21" s="49">
        <f>IF((COUNTIFS('1_바디시그널'!$AD$5:$AD$36,"CON",'1_바디시그널'!$AT$5:$AT$36,"&gt;=1")+COUNTIFS('2_개행동'!$AD$5:$AD$26,"CON",'2_개행동'!$AT$5:$AT$26,"&gt;=1")+COUNTIFS('3_보호자행동'!$AD$5:$AD$35,"CON",'3_보호자행동'!$AT$5:$AT$35,"&gt;=1"))=0,"",ROUND((SUMIFS('1_바디시그널'!$AT$5:$AT$36,'1_바디시그널'!$AD$5:$AD$36,"CON",'1_바디시그널'!$AT$5:$AT$36,"&gt;=1")+SUMIFS('2_개행동'!$AT$5:$AT$26,'2_개행동'!$AD$5:$AD$26,"CON",'2_개행동'!$AT$5:$AT$26,"&gt;=1")+SUMIFS('3_보호자행동'!$AT$5:$AT$35,'3_보호자행동'!$AD$5:$AD$35,"CON",'3_보호자행동'!$AT$5:$AT$35,"&gt;=1"))/(COUNTIFS('1_바디시그널'!$AD$5:$AD$36,"CON",'1_바디시그널'!$AT$5:$AT$36,"&gt;=1")+COUNTIFS('2_개행동'!$AD$5:$AD$26,"CON",'2_개행동'!$AT$5:$AT$26,"&gt;=1")+COUNTIFS('3_보호자행동'!$AD$5:$AD$35,"CON",'3_보호자행동'!$AT$5:$AT$35,"&gt;=1")),2))</f>
        <v/>
      </c>
      <c r="U21" s="49">
        <f>IF((COUNTIFS('1_바디시그널'!$AD$5:$AD$36,"CON",'1_바디시그널'!$AT$5:$AT$36,"&gt;=1")+COUNTIFS('2_개행동'!$AD$5:$AD$26,"CON",'2_개행동'!$AT$5:$AT$26,"&gt;=1")+COUNTIFS('3_보호자행동'!$AD$5:$AD$35,"CON",'3_보호자행동'!$AT$5:$AT$35,"&gt;=1"))=0,"",IF((SUMIFS('1_바디시그널'!$AT$5:$AT$36,'1_바디시그널'!$AD$5:$AD$36,"CON",'1_바디시그널'!$BN$5:$BN$36,"A")+SUMIFS('2_개행동'!$AT$5:$AT$26,'2_개행동'!$AD$5:$AD$26,"CON",'2_개행동'!$BN$5:$BN$26,"A")+SUMIFS('3_보호자행동'!$AT$5:$AT$35,'3_보호자행동'!$AD$5:$AD$35,"CON",'3_보호자행동'!$BN$5:$BN$35,"A"))&gt;(SUMIFS('1_바디시그널'!$AT$5:$AT$36,'1_바디시그널'!$AD$5:$AD$36,"CON",'1_바디시그널'!$BN$5:$BN$36,"B")+SUMIFS('2_개행동'!$AT$5:$AT$26,'2_개행동'!$AD$5:$AD$26,"CON",'2_개행동'!$BN$5:$BN$26,"B")+SUMIFS('3_보호자행동'!$AT$5:$AT$35,'3_보호자행동'!$AD$5:$AD$35,"CON",'3_보호자행동'!$BN$5:$BN$35,"B")),"A",IF((SUMIFS('1_바디시그널'!$AT$5:$AT$36,'1_바디시그널'!$AD$5:$AD$36,"CON",'1_바디시그널'!$BN$5:$BN$36,"B")+SUMIFS('2_개행동'!$AT$5:$AT$26,'2_개행동'!$AD$5:$AD$26,"CON",'2_개행동'!$BN$5:$BN$26,"B")+SUMIFS('3_보호자행동'!$AT$5:$AT$35,'3_보호자행동'!$AD$5:$AD$35,"CON",'3_보호자행동'!$BN$5:$BN$35,"B"))&gt;(SUMIFS('1_바디시그널'!$AT$5:$AT$36,'1_바디시그널'!$AD$5:$AD$36,"CON",'1_바디시그널'!$BN$5:$BN$36,"A")+SUMIFS('2_개행동'!$AT$5:$AT$26,'2_개행동'!$AD$5:$AD$26,"CON",'2_개행동'!$BN$5:$BN$26,"A")+SUMIFS('3_보호자행동'!$AT$5:$AT$35,'3_보호자행동'!$AD$5:$AD$35,"CON",'3_보호자행동'!$BN$5:$BN$35,"A")),"B","-")))</f>
        <v/>
      </c>
      <c r="V21" s="48">
        <f>IF(COUNT(X21:AA21)=0,"",ROUND(MAX(X21:AA21)-MIN(X21:AA21),2))</f>
        <v/>
      </c>
      <c r="W21" s="47" t="n"/>
      <c r="X21" s="49">
        <f>IFERROR(SUMIFS('3_보호자행동'!$AT$5:$AT$35,'3_보호자행동'!$A$5:$A$35,"입장",'3_보호자행동'!$AT$5:$AT$35,"&gt;=1")/COUNTIFS('3_보호자행동'!$A$5:$A$35,"입장",'3_보호자행동'!$AT$5:$AT$35,"&gt;=1"),"")</f>
        <v/>
      </c>
      <c r="Y21" s="49">
        <f>IFERROR(SUMIFS('3_보호자행동'!$AT$5:$AT$35,'3_보호자행동'!$A$5:$A$35,"분리",'3_보호자행동'!$AT$5:$AT$35,"&gt;=1")/COUNTIFS('3_보호자행동'!$A$5:$A$35,"분리",'3_보호자행동'!$AT$5:$AT$35,"&gt;=1"),"")</f>
        <v/>
      </c>
      <c r="Z21" s="49">
        <f>IFERROR(SUMIFS('3_보호자행동'!$AT$5:$AT$35,'3_보호자행동'!$A$5:$A$35,"훈련",'3_보호자행동'!$AT$5:$AT$35,"&gt;=1")/COUNTIFS('3_보호자행동'!$A$5:$A$35,"훈련",'3_보호자행동'!$AT$5:$AT$35,"&gt;=1"),"")</f>
        <v/>
      </c>
      <c r="AA21" s="49">
        <f>IFERROR(SUMIFS('3_보호자행동'!$AT$5:$AT$35,'3_보호자행동'!$A$5:$A$35,"놀이",'3_보호자행동'!$AT$5:$AT$35,"&gt;=1")/COUNTIFS('3_보호자행동'!$A$5:$A$35,"놀이",'3_보호자행동'!$AT$5:$AT$35,"&gt;=1"),"")</f>
        <v/>
      </c>
      <c r="AB21">
        <f>IF((COUNTIFS('1_바디시그널'!$AD$5:$AD$36,"TRN",'1_바디시그널'!$AT$5:$AT$36,"&gt;=1")+COUNTIFS('2_개행동'!$AD$5:$AD$26,"TRN",'2_개행동'!$AT$5:$AT$26,"&gt;=1")+COUNTIFS('3_보호자행동'!$AD$5:$AD$35,"TRN",'3_보호자행동'!$AT$5:$AT$35,"&gt;=1"))=0,"",MAX(_xlfn.MAXIFS('1_바디시그널'!$AT$5:$AT$36,'1_바디시그널'!$AD$5:$AD$36,"TRN"),_xlfn.MAXIFS('2_개행동'!$AT$5:$AT$26,'2_개행동'!$AD$5:$AD$26,"TRN"),_xlfn.MAXIFS('3_보호자행동'!$AT$5:$AT$35,'3_보호자행동'!$AD$5:$AD$35,"TRN")))</f>
        <v/>
      </c>
      <c r="AC21">
        <f>IF((COUNTIFS('1_바디시그널'!$AD$5:$AD$36,"TRN",'1_바디시그널'!$AT$5:$AT$36,"&gt;=1")+COUNTIFS('2_개행동'!$AD$5:$AD$26,"TRN",'2_개행동'!$AT$5:$AT$26,"&gt;=1")+COUNTIFS('3_보호자행동'!$AD$5:$AD$35,"TRN",'3_보호자행동'!$AT$5:$AT$35,"&gt;=1"))=0,"",ROUND((SUMIFS('1_바디시그널'!$AT$5:$AT$36,'1_바디시그널'!$AD$5:$AD$36,"TRN",'1_바디시그널'!$AT$5:$AT$36,"&gt;=1")+SUMIFS('2_개행동'!$AT$5:$AT$26,'2_개행동'!$AD$5:$AD$26,"TRN",'2_개행동'!$AT$5:$AT$26,"&gt;=1")+SUMIFS('3_보호자행동'!$AT$5:$AT$35,'3_보호자행동'!$AD$5:$AD$35,"TRN",'3_보호자행동'!$AT$5:$AT$35,"&gt;=1"))/(COUNTIFS('1_바디시그널'!$AD$5:$AD$36,"TRN",'1_바디시그널'!$AT$5:$AT$36,"&gt;=1")+COUNTIFS('2_개행동'!$AD$5:$AD$26,"TRN",'2_개행동'!$AT$5:$AT$26,"&gt;=1")+COUNTIFS('3_보호자행동'!$AD$5:$AD$35,"TRN",'3_보호자행동'!$AT$5:$AT$35,"&gt;=1")),2))</f>
        <v/>
      </c>
      <c r="AD21">
        <f>IF((COUNTIFS('1_바디시그널'!$AD$5:$AD$36,"TRN",'1_바디시그널'!$AT$5:$AT$36,"&gt;=1")+COUNTIFS('2_개행동'!$AD$5:$AD$26,"TRN",'2_개행동'!$AT$5:$AT$26,"&gt;=1")+COUNTIFS('3_보호자행동'!$AD$5:$AD$35,"TRN",'3_보호자행동'!$AT$5:$AT$35,"&gt;=1"))=0,"",IF((SUMIFS('1_바디시그널'!$AT$5:$AT$36,'1_바디시그널'!$AD$5:$AD$36,"TRN",'1_바디시그널'!$BN$5:$BN$36,"A")+SUMIFS('2_개행동'!$AT$5:$AT$26,'2_개행동'!$AD$5:$AD$26,"TRN",'2_개행동'!$BN$5:$BN$26,"A")+SUMIFS('3_보호자행동'!$AT$5:$AT$35,'3_보호자행동'!$AD$5:$AD$35,"TRN",'3_보호자행동'!$BN$5:$BN$35,"A"))&gt;(SUMIFS('1_바디시그널'!$AT$5:$AT$36,'1_바디시그널'!$AD$5:$AD$36,"TRN",'1_바디시그널'!$BN$5:$BN$36,"B")+SUMIFS('2_개행동'!$AT$5:$AT$26,'2_개행동'!$AD$5:$AD$26,"TRN",'2_개행동'!$BN$5:$BN$26,"B")+SUMIFS('3_보호자행동'!$AT$5:$AT$35,'3_보호자행동'!$AD$5:$AD$35,"TRN",'3_보호자행동'!$BN$5:$BN$35,"B")),"A",IF((SUMIFS('1_바디시그널'!$AT$5:$AT$36,'1_바디시그널'!$AD$5:$AD$36,"TRN",'1_바디시그널'!$BN$5:$BN$36,"B")+SUMIFS('2_개행동'!$AT$5:$AT$26,'2_개행동'!$AD$5:$AD$26,"TRN",'2_개행동'!$BN$5:$BN$26,"B")+SUMIFS('3_보호자행동'!$AT$5:$AT$35,'3_보호자행동'!$AD$5:$AD$35,"TRN",'3_보호자행동'!$BN$5:$BN$35,"B"))&gt;(SUMIFS('1_바디시그널'!$AT$5:$AT$36,'1_바디시그널'!$AD$5:$AD$36,"TRN",'1_바디시그널'!$BN$5:$BN$36,"A")+SUMIFS('2_개행동'!$AT$5:$AT$26,'2_개행동'!$AD$5:$AD$26,"TRN",'2_개행동'!$BN$5:$BN$26,"A")+SUMIFS('3_보호자행동'!$AT$5:$AT$35,'3_보호자행동'!$AD$5:$AD$35,"TRN",'3_보호자행동'!$BN$5:$BN$35,"A")),"B","-")))</f>
        <v/>
      </c>
      <c r="AE21">
        <f>IF('2_개행동'!$Y$11="","",'2_개행동'!$Y$11&amp;IF('2_개행동'!$Y$11=3," [B]",IF('2_개행동'!$Y$11=1,""," [A]")))</f>
        <v/>
      </c>
    </row>
    <row r="22" ht="18.75" customHeight="1" s="1">
      <c r="A22" s="46" t="n">
        <v>17</v>
      </c>
      <c r="B22" s="47" t="n"/>
      <c r="C22" s="47" t="n"/>
      <c r="D22" s="48">
        <f>IF((COUNTIFS('1_바디시그널'!$AD$5:$AD$36,"EDU",'1_바디시그널'!$AU$5:$AU$36,"&gt;=1")+COUNTIFS('2_개행동'!$AD$5:$AD$26,"EDU",'2_개행동'!$AU$5:$AU$26,"&gt;=1")+COUNTIFS('3_보호자행동'!$AD$5:$AD$35,"EDU",'3_보호자행동'!$AU$5:$AU$35,"&gt;=1"))=0,"",MAX(_xlfn.MAXIFS('1_바디시그널'!$AU$5:$AU$36,'1_바디시그널'!$AD$5:$AD$36,"EDU"),_xlfn.MAXIFS('2_개행동'!$AU$5:$AU$26,'2_개행동'!$AD$5:$AD$26,"EDU"),_xlfn.MAXIFS('3_보호자행동'!$AU$5:$AU$35,'3_보호자행동'!$AD$5:$AD$35,"EDU")))</f>
        <v/>
      </c>
      <c r="E22" s="49">
        <f>IF((COUNTIFS('1_바디시그널'!$AD$5:$AD$36,"EDU",'1_바디시그널'!$AU$5:$AU$36,"&gt;=1")+COUNTIFS('2_개행동'!$AD$5:$AD$26,"EDU",'2_개행동'!$AU$5:$AU$26,"&gt;=1")+COUNTIFS('3_보호자행동'!$AD$5:$AD$35,"EDU",'3_보호자행동'!$AU$5:$AU$35,"&gt;=1"))=0,"",ROUND((SUMIFS('1_바디시그널'!$AU$5:$AU$36,'1_바디시그널'!$AD$5:$AD$36,"EDU",'1_바디시그널'!$AU$5:$AU$36,"&gt;=1")+SUMIFS('2_개행동'!$AU$5:$AU$26,'2_개행동'!$AD$5:$AD$26,"EDU",'2_개행동'!$AU$5:$AU$26,"&gt;=1")+SUMIFS('3_보호자행동'!$AU$5:$AU$35,'3_보호자행동'!$AD$5:$AD$35,"EDU",'3_보호자행동'!$AU$5:$AU$35,"&gt;=1"))/(COUNTIFS('1_바디시그널'!$AD$5:$AD$36,"EDU",'1_바디시그널'!$AU$5:$AU$36,"&gt;=1")+COUNTIFS('2_개행동'!$AD$5:$AD$26,"EDU",'2_개행동'!$AU$5:$AU$26,"&gt;=1")+COUNTIFS('3_보호자행동'!$AD$5:$AD$35,"EDU",'3_보호자행동'!$AU$5:$AU$35,"&gt;=1")),2))</f>
        <v/>
      </c>
      <c r="F22" s="49">
        <f>IF((COUNTIFS('1_바디시그널'!$AD$5:$AD$36,"EDU",'1_바디시그널'!$AU$5:$AU$36,"&gt;=1")+COUNTIFS('2_개행동'!$AD$5:$AD$26,"EDU",'2_개행동'!$AU$5:$AU$26,"&gt;=1")+COUNTIFS('3_보호자행동'!$AD$5:$AD$35,"EDU",'3_보호자행동'!$AU$5:$AU$35,"&gt;=1"))=0,"",IF((SUMIFS('1_바디시그널'!$AU$5:$AU$36,'1_바디시그널'!$AD$5:$AD$36,"EDU",'1_바디시그널'!$BO$5:$BO$36,"A")+SUMIFS('2_개행동'!$AU$5:$AU$26,'2_개행동'!$AD$5:$AD$26,"EDU",'2_개행동'!$BO$5:$BO$26,"A")+SUMIFS('3_보호자행동'!$AU$5:$AU$35,'3_보호자행동'!$AD$5:$AD$35,"EDU",'3_보호자행동'!$BO$5:$BO$35,"A"))&gt;(SUMIFS('1_바디시그널'!$AU$5:$AU$36,'1_바디시그널'!$AD$5:$AD$36,"EDU",'1_바디시그널'!$BO$5:$BO$36,"B")+SUMIFS('2_개행동'!$AU$5:$AU$26,'2_개행동'!$AD$5:$AD$26,"EDU",'2_개행동'!$BO$5:$BO$26,"B")+SUMIFS('3_보호자행동'!$AU$5:$AU$35,'3_보호자행동'!$AD$5:$AD$35,"EDU",'3_보호자행동'!$BO$5:$BO$35,"B")),"A",IF((SUMIFS('1_바디시그널'!$AU$5:$AU$36,'1_바디시그널'!$AD$5:$AD$36,"EDU",'1_바디시그널'!$BO$5:$BO$36,"B")+SUMIFS('2_개행동'!$AU$5:$AU$26,'2_개행동'!$AD$5:$AD$26,"EDU",'2_개행동'!$BO$5:$BO$26,"B")+SUMIFS('3_보호자행동'!$AU$5:$AU$35,'3_보호자행동'!$AD$5:$AD$35,"EDU",'3_보호자행동'!$BO$5:$BO$35,"B"))&gt;(SUMIFS('1_바디시그널'!$AU$5:$AU$36,'1_바디시그널'!$AD$5:$AD$36,"EDU",'1_바디시그널'!$BO$5:$BO$36,"A")+SUMIFS('2_개행동'!$AU$5:$AU$26,'2_개행동'!$AD$5:$AD$26,"EDU",'2_개행동'!$BO$5:$BO$26,"A")+SUMIFS('3_보호자행동'!$AU$5:$AU$35,'3_보호자행동'!$AD$5:$AD$35,"EDU",'3_보호자행동'!$BO$5:$BO$35,"A")),"B","-")))</f>
        <v/>
      </c>
      <c r="G22" s="49">
        <f>IF((COUNTIFS('1_바디시그널'!$AD$5:$AD$36,"SOC_P",'1_바디시그널'!$AU$5:$AU$36,"&gt;=1")+COUNTIFS('2_개행동'!$AD$5:$AD$26,"SOC_P",'2_개행동'!$AU$5:$AU$26,"&gt;=1")+COUNTIFS('3_보호자행동'!$AD$5:$AD$35,"SOC_P",'3_보호자행동'!$AU$5:$AU$35,"&gt;=1"))=0,"",MAX(_xlfn.MAXIFS('1_바디시그널'!$AU$5:$AU$36,'1_바디시그널'!$AD$5:$AD$36,"SOC_P"),_xlfn.MAXIFS('2_개행동'!$AU$5:$AU$26,'2_개행동'!$AD$5:$AD$26,"SOC_P"),_xlfn.MAXIFS('3_보호자행동'!$AU$5:$AU$35,'3_보호자행동'!$AD$5:$AD$35,"SOC_P")))</f>
        <v/>
      </c>
      <c r="H22" s="49">
        <f>IF((COUNTIFS('1_바디시그널'!$AD$5:$AD$36,"SOC_P",'1_바디시그널'!$AU$5:$AU$36,"&gt;=1")+COUNTIFS('2_개행동'!$AD$5:$AD$26,"SOC_P",'2_개행동'!$AU$5:$AU$26,"&gt;=1")+COUNTIFS('3_보호자행동'!$AD$5:$AD$35,"SOC_P",'3_보호자행동'!$AU$5:$AU$35,"&gt;=1"))=0,"",ROUND((SUMIFS('1_바디시그널'!$AU$5:$AU$36,'1_바디시그널'!$AD$5:$AD$36,"SOC_P",'1_바디시그널'!$AU$5:$AU$36,"&gt;=1")+SUMIFS('2_개행동'!$AU$5:$AU$26,'2_개행동'!$AD$5:$AD$26,"SOC_P",'2_개행동'!$AU$5:$AU$26,"&gt;=1")+SUMIFS('3_보호자행동'!$AU$5:$AU$35,'3_보호자행동'!$AD$5:$AD$35,"SOC_P",'3_보호자행동'!$AU$5:$AU$35,"&gt;=1"))/(COUNTIFS('1_바디시그널'!$AD$5:$AD$36,"SOC_P",'1_바디시그널'!$AU$5:$AU$36,"&gt;=1")+COUNTIFS('2_개행동'!$AD$5:$AD$26,"SOC_P",'2_개행동'!$AU$5:$AU$26,"&gt;=1")+COUNTIFS('3_보호자행동'!$AD$5:$AD$35,"SOC_P",'3_보호자행동'!$AU$5:$AU$35,"&gt;=1")),2))</f>
        <v/>
      </c>
      <c r="I22" s="49">
        <f>IF((COUNTIFS('1_바디시그널'!$AD$5:$AD$36,"SOC_P",'1_바디시그널'!$AU$5:$AU$36,"&gt;=1")+COUNTIFS('2_개행동'!$AD$5:$AD$26,"SOC_P",'2_개행동'!$AU$5:$AU$26,"&gt;=1")+COUNTIFS('3_보호자행동'!$AD$5:$AD$35,"SOC_P",'3_보호자행동'!$AU$5:$AU$35,"&gt;=1"))=0,"",IF((SUMIFS('1_바디시그널'!$AU$5:$AU$36,'1_바디시그널'!$AD$5:$AD$36,"SOC_P",'1_바디시그널'!$BO$5:$BO$36,"A")+SUMIFS('2_개행동'!$AU$5:$AU$26,'2_개행동'!$AD$5:$AD$26,"SOC_P",'2_개행동'!$BO$5:$BO$26,"A")+SUMIFS('3_보호자행동'!$AU$5:$AU$35,'3_보호자행동'!$AD$5:$AD$35,"SOC_P",'3_보호자행동'!$BO$5:$BO$35,"A"))&gt;(SUMIFS('1_바디시그널'!$AU$5:$AU$36,'1_바디시그널'!$AD$5:$AD$36,"SOC_P",'1_바디시그널'!$BO$5:$BO$36,"B")+SUMIFS('2_개행동'!$AU$5:$AU$26,'2_개행동'!$AD$5:$AD$26,"SOC_P",'2_개행동'!$BO$5:$BO$26,"B")+SUMIFS('3_보호자행동'!$AU$5:$AU$35,'3_보호자행동'!$AD$5:$AD$35,"SOC_P",'3_보호자행동'!$BO$5:$BO$35,"B")),"A",IF((SUMIFS('1_바디시그널'!$AU$5:$AU$36,'1_바디시그널'!$AD$5:$AD$36,"SOC_P",'1_바디시그널'!$BO$5:$BO$36,"B")+SUMIFS('2_개행동'!$AU$5:$AU$26,'2_개행동'!$AD$5:$AD$26,"SOC_P",'2_개행동'!$BO$5:$BO$26,"B")+SUMIFS('3_보호자행동'!$AU$5:$AU$35,'3_보호자행동'!$AD$5:$AD$35,"SOC_P",'3_보호자행동'!$BO$5:$BO$35,"B"))&gt;(SUMIFS('1_바디시그널'!$AU$5:$AU$36,'1_바디시그널'!$AD$5:$AD$36,"SOC_P",'1_바디시그널'!$BO$5:$BO$36,"A")+SUMIFS('2_개행동'!$AU$5:$AU$26,'2_개행동'!$AD$5:$AD$26,"SOC_P",'2_개행동'!$BO$5:$BO$26,"A")+SUMIFS('3_보호자행동'!$AU$5:$AU$35,'3_보호자행동'!$AD$5:$AD$35,"SOC_P",'3_보호자행동'!$BO$5:$BO$35,"A")),"B","-")))</f>
        <v/>
      </c>
      <c r="J22" s="49">
        <f>IF((COUNTIFS('1_바디시그널'!$AD$5:$AD$36,"SOC_D",'1_바디시그널'!$AU$5:$AU$36,"&gt;=1")+COUNTIFS('2_개행동'!$AD$5:$AD$26,"SOC_D",'2_개행동'!$AU$5:$AU$26,"&gt;=1")+COUNTIFS('3_보호자행동'!$AD$5:$AD$35,"SOC_D",'3_보호자행동'!$AU$5:$AU$35,"&gt;=1"))=0,"",MAX(_xlfn.MAXIFS('1_바디시그널'!$AU$5:$AU$36,'1_바디시그널'!$AD$5:$AD$36,"SOC_D"),_xlfn.MAXIFS('2_개행동'!$AU$5:$AU$26,'2_개행동'!$AD$5:$AD$26,"SOC_D"),_xlfn.MAXIFS('3_보호자행동'!$AU$5:$AU$35,'3_보호자행동'!$AD$5:$AD$35,"SOC_D")))</f>
        <v/>
      </c>
      <c r="K22" s="49">
        <f>IF((COUNTIFS('1_바디시그널'!$AD$5:$AD$36,"SOC_D",'1_바디시그널'!$AU$5:$AU$36,"&gt;=1")+COUNTIFS('2_개행동'!$AD$5:$AD$26,"SOC_D",'2_개행동'!$AU$5:$AU$26,"&gt;=1")+COUNTIFS('3_보호자행동'!$AD$5:$AD$35,"SOC_D",'3_보호자행동'!$AU$5:$AU$35,"&gt;=1"))=0,"",ROUND((SUMIFS('1_바디시그널'!$AU$5:$AU$36,'1_바디시그널'!$AD$5:$AD$36,"SOC_D",'1_바디시그널'!$AU$5:$AU$36,"&gt;=1")+SUMIFS('2_개행동'!$AU$5:$AU$26,'2_개행동'!$AD$5:$AD$26,"SOC_D",'2_개행동'!$AU$5:$AU$26,"&gt;=1")+SUMIFS('3_보호자행동'!$AU$5:$AU$35,'3_보호자행동'!$AD$5:$AD$35,"SOC_D",'3_보호자행동'!$AU$5:$AU$35,"&gt;=1"))/(COUNTIFS('1_바디시그널'!$AD$5:$AD$36,"SOC_D",'1_바디시그널'!$AU$5:$AU$36,"&gt;=1")+COUNTIFS('2_개행동'!$AD$5:$AD$26,"SOC_D",'2_개행동'!$AU$5:$AU$26,"&gt;=1")+COUNTIFS('3_보호자행동'!$AD$5:$AD$35,"SOC_D",'3_보호자행동'!$AU$5:$AU$35,"&gt;=1")),2))</f>
        <v/>
      </c>
      <c r="L22" s="49">
        <f>IF((COUNTIFS('1_바디시그널'!$AD$5:$AD$36,"SOC_D",'1_바디시그널'!$AU$5:$AU$36,"&gt;=1")+COUNTIFS('2_개행동'!$AD$5:$AD$26,"SOC_D",'2_개행동'!$AU$5:$AU$26,"&gt;=1")+COUNTIFS('3_보호자행동'!$AD$5:$AD$35,"SOC_D",'3_보호자행동'!$AU$5:$AU$35,"&gt;=1"))=0,"",IF((SUMIFS('1_바디시그널'!$AU$5:$AU$36,'1_바디시그널'!$AD$5:$AD$36,"SOC_D",'1_바디시그널'!$BO$5:$BO$36,"A")+SUMIFS('2_개행동'!$AU$5:$AU$26,'2_개행동'!$AD$5:$AD$26,"SOC_D",'2_개행동'!$BO$5:$BO$26,"A")+SUMIFS('3_보호자행동'!$AU$5:$AU$35,'3_보호자행동'!$AD$5:$AD$35,"SOC_D",'3_보호자행동'!$BO$5:$BO$35,"A"))&gt;(SUMIFS('1_바디시그널'!$AU$5:$AU$36,'1_바디시그널'!$AD$5:$AD$36,"SOC_D",'1_바디시그널'!$BO$5:$BO$36,"B")+SUMIFS('2_개행동'!$AU$5:$AU$26,'2_개행동'!$AD$5:$AD$26,"SOC_D",'2_개행동'!$BO$5:$BO$26,"B")+SUMIFS('3_보호자행동'!$AU$5:$AU$35,'3_보호자행동'!$AD$5:$AD$35,"SOC_D",'3_보호자행동'!$BO$5:$BO$35,"B")),"A",IF((SUMIFS('1_바디시그널'!$AU$5:$AU$36,'1_바디시그널'!$AD$5:$AD$36,"SOC_D",'1_바디시그널'!$BO$5:$BO$36,"B")+SUMIFS('2_개행동'!$AU$5:$AU$26,'2_개행동'!$AD$5:$AD$26,"SOC_D",'2_개행동'!$BO$5:$BO$26,"B")+SUMIFS('3_보호자행동'!$AU$5:$AU$35,'3_보호자행동'!$AD$5:$AD$35,"SOC_D",'3_보호자행동'!$BO$5:$BO$35,"B"))&gt;(SUMIFS('1_바디시그널'!$AU$5:$AU$36,'1_바디시그널'!$AD$5:$AD$36,"SOC_D",'1_바디시그널'!$BO$5:$BO$36,"A")+SUMIFS('2_개행동'!$AU$5:$AU$26,'2_개행동'!$AD$5:$AD$26,"SOC_D",'2_개행동'!$BO$5:$BO$26,"A")+SUMIFS('3_보호자행동'!$AU$5:$AU$35,'3_보호자행동'!$AD$5:$AD$35,"SOC_D",'3_보호자행동'!$BO$5:$BO$35,"A")),"B","-")))</f>
        <v/>
      </c>
      <c r="M22" s="49">
        <f>IF((COUNTIFS('1_바디시그널'!$AD$5:$AD$36,"SOC_E",'1_바디시그널'!$AU$5:$AU$36,"&gt;=1")+COUNTIFS('2_개행동'!$AD$5:$AD$26,"SOC_E",'2_개행동'!$AU$5:$AU$26,"&gt;=1")+COUNTIFS('3_보호자행동'!$AD$5:$AD$35,"SOC_E",'3_보호자행동'!$AU$5:$AU$35,"&gt;=1"))=0,"",MAX(_xlfn.MAXIFS('1_바디시그널'!$AU$5:$AU$36,'1_바디시그널'!$AD$5:$AD$36,"SOC_E"),_xlfn.MAXIFS('2_개행동'!$AU$5:$AU$26,'2_개행동'!$AD$5:$AD$26,"SOC_E"),_xlfn.MAXIFS('3_보호자행동'!$AU$5:$AU$35,'3_보호자행동'!$AD$5:$AD$35,"SOC_E")))</f>
        <v/>
      </c>
      <c r="N22" s="49">
        <f>IF((COUNTIFS('1_바디시그널'!$AD$5:$AD$36,"SOC_E",'1_바디시그널'!$AU$5:$AU$36,"&gt;=1")+COUNTIFS('2_개행동'!$AD$5:$AD$26,"SOC_E",'2_개행동'!$AU$5:$AU$26,"&gt;=1")+COUNTIFS('3_보호자행동'!$AD$5:$AD$35,"SOC_E",'3_보호자행동'!$AU$5:$AU$35,"&gt;=1"))=0,"",ROUND((SUMIFS('1_바디시그널'!$AU$5:$AU$36,'1_바디시그널'!$AD$5:$AD$36,"SOC_E",'1_바디시그널'!$AU$5:$AU$36,"&gt;=1")+SUMIFS('2_개행동'!$AU$5:$AU$26,'2_개행동'!$AD$5:$AD$26,"SOC_E",'2_개행동'!$AU$5:$AU$26,"&gt;=1")+SUMIFS('3_보호자행동'!$AU$5:$AU$35,'3_보호자행동'!$AD$5:$AD$35,"SOC_E",'3_보호자행동'!$AU$5:$AU$35,"&gt;=1"))/(COUNTIFS('1_바디시그널'!$AD$5:$AD$36,"SOC_E",'1_바디시그널'!$AU$5:$AU$36,"&gt;=1")+COUNTIFS('2_개행동'!$AD$5:$AD$26,"SOC_E",'2_개행동'!$AU$5:$AU$26,"&gt;=1")+COUNTIFS('3_보호자행동'!$AD$5:$AD$35,"SOC_E",'3_보호자행동'!$AU$5:$AU$35,"&gt;=1")),2))</f>
        <v/>
      </c>
      <c r="O22" s="49">
        <f>IF((COUNTIFS('1_바디시그널'!$AD$5:$AD$36,"SOC_E",'1_바디시그널'!$AU$5:$AU$36,"&gt;=1")+COUNTIFS('2_개행동'!$AD$5:$AD$26,"SOC_E",'2_개행동'!$AU$5:$AU$26,"&gt;=1")+COUNTIFS('3_보호자행동'!$AD$5:$AD$35,"SOC_E",'3_보호자행동'!$AU$5:$AU$35,"&gt;=1"))=0,"",IF((SUMIFS('1_바디시그널'!$AU$5:$AU$36,'1_바디시그널'!$AD$5:$AD$36,"SOC_E",'1_바디시그널'!$BO$5:$BO$36,"A")+SUMIFS('2_개행동'!$AU$5:$AU$26,'2_개행동'!$AD$5:$AD$26,"SOC_E",'2_개행동'!$BO$5:$BO$26,"A")+SUMIFS('3_보호자행동'!$AU$5:$AU$35,'3_보호자행동'!$AD$5:$AD$35,"SOC_E",'3_보호자행동'!$BO$5:$BO$35,"A"))&gt;(SUMIFS('1_바디시그널'!$AU$5:$AU$36,'1_바디시그널'!$AD$5:$AD$36,"SOC_E",'1_바디시그널'!$BO$5:$BO$36,"B")+SUMIFS('2_개행동'!$AU$5:$AU$26,'2_개행동'!$AD$5:$AD$26,"SOC_E",'2_개행동'!$BO$5:$BO$26,"B")+SUMIFS('3_보호자행동'!$AU$5:$AU$35,'3_보호자행동'!$AD$5:$AD$35,"SOC_E",'3_보호자행동'!$BO$5:$BO$35,"B")),"A",IF((SUMIFS('1_바디시그널'!$AU$5:$AU$36,'1_바디시그널'!$AD$5:$AD$36,"SOC_E",'1_바디시그널'!$BO$5:$BO$36,"B")+SUMIFS('2_개행동'!$AU$5:$AU$26,'2_개행동'!$AD$5:$AD$26,"SOC_E",'2_개행동'!$BO$5:$BO$26,"B")+SUMIFS('3_보호자행동'!$AU$5:$AU$35,'3_보호자행동'!$AD$5:$AD$35,"SOC_E",'3_보호자행동'!$BO$5:$BO$35,"B"))&gt;(SUMIFS('1_바디시그널'!$AU$5:$AU$36,'1_바디시그널'!$AD$5:$AD$36,"SOC_E",'1_바디시그널'!$BO$5:$BO$36,"A")+SUMIFS('2_개행동'!$AU$5:$AU$26,'2_개행동'!$AD$5:$AD$26,"SOC_E",'2_개행동'!$BO$5:$BO$26,"A")+SUMIFS('3_보호자행동'!$AU$5:$AU$35,'3_보호자행동'!$AD$5:$AD$35,"SOC_E",'3_보호자행동'!$BO$5:$BO$35,"A")),"B","-")))</f>
        <v/>
      </c>
      <c r="P22" s="49">
        <f>IF((COUNTIFS('1_바디시그널'!$AD$5:$AD$36,"ATT",'1_바디시그널'!$AU$5:$AU$36,"&gt;=1")+COUNTIFS('2_개행동'!$AD$5:$AD$26,"ATT",'2_개행동'!$AU$5:$AU$26,"&gt;=1")+COUNTIFS('3_보호자행동'!$AD$5:$AD$35,"ATT",'3_보호자행동'!$AU$5:$AU$35,"&gt;=1"))=0,"",MAX(_xlfn.MAXIFS('1_바디시그널'!$AU$5:$AU$36,'1_바디시그널'!$AD$5:$AD$36,"ATT"),_xlfn.MAXIFS('2_개행동'!$AU$5:$AU$26,'2_개행동'!$AD$5:$AD$26,"ATT"),_xlfn.MAXIFS('3_보호자행동'!$AU$5:$AU$35,'3_보호자행동'!$AD$5:$AD$35,"ATT")))</f>
        <v/>
      </c>
      <c r="Q22" s="49">
        <f>IF((COUNTIFS('1_바디시그널'!$AD$5:$AD$36,"ATT",'1_바디시그널'!$AU$5:$AU$36,"&gt;=1")+COUNTIFS('2_개행동'!$AD$5:$AD$26,"ATT",'2_개행동'!$AU$5:$AU$26,"&gt;=1")+COUNTIFS('3_보호자행동'!$AD$5:$AD$35,"ATT",'3_보호자행동'!$AU$5:$AU$35,"&gt;=1"))=0,"",ROUND((SUMIFS('1_바디시그널'!$AU$5:$AU$36,'1_바디시그널'!$AD$5:$AD$36,"ATT",'1_바디시그널'!$AU$5:$AU$36,"&gt;=1")+SUMIFS('2_개행동'!$AU$5:$AU$26,'2_개행동'!$AD$5:$AD$26,"ATT",'2_개행동'!$AU$5:$AU$26,"&gt;=1")+SUMIFS('3_보호자행동'!$AU$5:$AU$35,'3_보호자행동'!$AD$5:$AD$35,"ATT",'3_보호자행동'!$AU$5:$AU$35,"&gt;=1"))/(COUNTIFS('1_바디시그널'!$AD$5:$AD$36,"ATT",'1_바디시그널'!$AU$5:$AU$36,"&gt;=1")+COUNTIFS('2_개행동'!$AD$5:$AD$26,"ATT",'2_개행동'!$AU$5:$AU$26,"&gt;=1")+COUNTIFS('3_보호자행동'!$AD$5:$AD$35,"ATT",'3_보호자행동'!$AU$5:$AU$35,"&gt;=1")),2))</f>
        <v/>
      </c>
      <c r="R22" s="49">
        <f>IF((COUNTIFS('1_바디시그널'!$AD$5:$AD$36,"ATT",'1_바디시그널'!$AU$5:$AU$36,"&gt;=1")+COUNTIFS('2_개행동'!$AD$5:$AD$26,"ATT",'2_개행동'!$AU$5:$AU$26,"&gt;=1")+COUNTIFS('3_보호자행동'!$AD$5:$AD$35,"ATT",'3_보호자행동'!$AU$5:$AU$35,"&gt;=1"))=0,"",IF((SUMIFS('1_바디시그널'!$AU$5:$AU$36,'1_바디시그널'!$AD$5:$AD$36,"ATT",'1_바디시그널'!$BO$5:$BO$36,"A")+SUMIFS('2_개행동'!$AU$5:$AU$26,'2_개행동'!$AD$5:$AD$26,"ATT",'2_개행동'!$BO$5:$BO$26,"A")+SUMIFS('3_보호자행동'!$AU$5:$AU$35,'3_보호자행동'!$AD$5:$AD$35,"ATT",'3_보호자행동'!$BO$5:$BO$35,"A"))&gt;(SUMIFS('1_바디시그널'!$AU$5:$AU$36,'1_바디시그널'!$AD$5:$AD$36,"ATT",'1_바디시그널'!$BO$5:$BO$36,"B")+SUMIFS('2_개행동'!$AU$5:$AU$26,'2_개행동'!$AD$5:$AD$26,"ATT",'2_개행동'!$BO$5:$BO$26,"B")+SUMIFS('3_보호자행동'!$AU$5:$AU$35,'3_보호자행동'!$AD$5:$AD$35,"ATT",'3_보호자행동'!$BO$5:$BO$35,"B")),"A",IF((SUMIFS('1_바디시그널'!$AU$5:$AU$36,'1_바디시그널'!$AD$5:$AD$36,"ATT",'1_바디시그널'!$BO$5:$BO$36,"B")+SUMIFS('2_개행동'!$AU$5:$AU$26,'2_개행동'!$AD$5:$AD$26,"ATT",'2_개행동'!$BO$5:$BO$26,"B")+SUMIFS('3_보호자행동'!$AU$5:$AU$35,'3_보호자행동'!$AD$5:$AD$35,"ATT",'3_보호자행동'!$BO$5:$BO$35,"B"))&gt;(SUMIFS('1_바디시그널'!$AU$5:$AU$36,'1_바디시그널'!$AD$5:$AD$36,"ATT",'1_바디시그널'!$BO$5:$BO$36,"A")+SUMIFS('2_개행동'!$AU$5:$AU$26,'2_개행동'!$AD$5:$AD$26,"ATT",'2_개행동'!$BO$5:$BO$26,"A")+SUMIFS('3_보호자행동'!$AU$5:$AU$35,'3_보호자행동'!$AD$5:$AD$35,"ATT",'3_보호자행동'!$BO$5:$BO$35,"A")),"B","-")))</f>
        <v/>
      </c>
      <c r="S22" s="49">
        <f>IF((COUNTIFS('1_바디시그널'!$AD$5:$AD$36,"CON",'1_바디시그널'!$AU$5:$AU$36,"&gt;=1")+COUNTIFS('2_개행동'!$AD$5:$AD$26,"CON",'2_개행동'!$AU$5:$AU$26,"&gt;=1")+COUNTIFS('3_보호자행동'!$AD$5:$AD$35,"CON",'3_보호자행동'!$AU$5:$AU$35,"&gt;=1"))=0,"",MAX(_xlfn.MAXIFS('1_바디시그널'!$AU$5:$AU$36,'1_바디시그널'!$AD$5:$AD$36,"CON"),_xlfn.MAXIFS('2_개행동'!$AU$5:$AU$26,'2_개행동'!$AD$5:$AD$26,"CON"),_xlfn.MAXIFS('3_보호자행동'!$AU$5:$AU$35,'3_보호자행동'!$AD$5:$AD$35,"CON")))</f>
        <v/>
      </c>
      <c r="T22" s="49">
        <f>IF((COUNTIFS('1_바디시그널'!$AD$5:$AD$36,"CON",'1_바디시그널'!$AU$5:$AU$36,"&gt;=1")+COUNTIFS('2_개행동'!$AD$5:$AD$26,"CON",'2_개행동'!$AU$5:$AU$26,"&gt;=1")+COUNTIFS('3_보호자행동'!$AD$5:$AD$35,"CON",'3_보호자행동'!$AU$5:$AU$35,"&gt;=1"))=0,"",ROUND((SUMIFS('1_바디시그널'!$AU$5:$AU$36,'1_바디시그널'!$AD$5:$AD$36,"CON",'1_바디시그널'!$AU$5:$AU$36,"&gt;=1")+SUMIFS('2_개행동'!$AU$5:$AU$26,'2_개행동'!$AD$5:$AD$26,"CON",'2_개행동'!$AU$5:$AU$26,"&gt;=1")+SUMIFS('3_보호자행동'!$AU$5:$AU$35,'3_보호자행동'!$AD$5:$AD$35,"CON",'3_보호자행동'!$AU$5:$AU$35,"&gt;=1"))/(COUNTIFS('1_바디시그널'!$AD$5:$AD$36,"CON",'1_바디시그널'!$AU$5:$AU$36,"&gt;=1")+COUNTIFS('2_개행동'!$AD$5:$AD$26,"CON",'2_개행동'!$AU$5:$AU$26,"&gt;=1")+COUNTIFS('3_보호자행동'!$AD$5:$AD$35,"CON",'3_보호자행동'!$AU$5:$AU$35,"&gt;=1")),2))</f>
        <v/>
      </c>
      <c r="U22" s="49">
        <f>IF((COUNTIFS('1_바디시그널'!$AD$5:$AD$36,"CON",'1_바디시그널'!$AU$5:$AU$36,"&gt;=1")+COUNTIFS('2_개행동'!$AD$5:$AD$26,"CON",'2_개행동'!$AU$5:$AU$26,"&gt;=1")+COUNTIFS('3_보호자행동'!$AD$5:$AD$35,"CON",'3_보호자행동'!$AU$5:$AU$35,"&gt;=1"))=0,"",IF((SUMIFS('1_바디시그널'!$AU$5:$AU$36,'1_바디시그널'!$AD$5:$AD$36,"CON",'1_바디시그널'!$BO$5:$BO$36,"A")+SUMIFS('2_개행동'!$AU$5:$AU$26,'2_개행동'!$AD$5:$AD$26,"CON",'2_개행동'!$BO$5:$BO$26,"A")+SUMIFS('3_보호자행동'!$AU$5:$AU$35,'3_보호자행동'!$AD$5:$AD$35,"CON",'3_보호자행동'!$BO$5:$BO$35,"A"))&gt;(SUMIFS('1_바디시그널'!$AU$5:$AU$36,'1_바디시그널'!$AD$5:$AD$36,"CON",'1_바디시그널'!$BO$5:$BO$36,"B")+SUMIFS('2_개행동'!$AU$5:$AU$26,'2_개행동'!$AD$5:$AD$26,"CON",'2_개행동'!$BO$5:$BO$26,"B")+SUMIFS('3_보호자행동'!$AU$5:$AU$35,'3_보호자행동'!$AD$5:$AD$35,"CON",'3_보호자행동'!$BO$5:$BO$35,"B")),"A",IF((SUMIFS('1_바디시그널'!$AU$5:$AU$36,'1_바디시그널'!$AD$5:$AD$36,"CON",'1_바디시그널'!$BO$5:$BO$36,"B")+SUMIFS('2_개행동'!$AU$5:$AU$26,'2_개행동'!$AD$5:$AD$26,"CON",'2_개행동'!$BO$5:$BO$26,"B")+SUMIFS('3_보호자행동'!$AU$5:$AU$35,'3_보호자행동'!$AD$5:$AD$35,"CON",'3_보호자행동'!$BO$5:$BO$35,"B"))&gt;(SUMIFS('1_바디시그널'!$AU$5:$AU$36,'1_바디시그널'!$AD$5:$AD$36,"CON",'1_바디시그널'!$BO$5:$BO$36,"A")+SUMIFS('2_개행동'!$AU$5:$AU$26,'2_개행동'!$AD$5:$AD$26,"CON",'2_개행동'!$BO$5:$BO$26,"A")+SUMIFS('3_보호자행동'!$AU$5:$AU$35,'3_보호자행동'!$AD$5:$AD$35,"CON",'3_보호자행동'!$BO$5:$BO$35,"A")),"B","-")))</f>
        <v/>
      </c>
      <c r="V22" s="48">
        <f>IF(COUNT(X22:AA22)=0,"",ROUND(MAX(X22:AA22)-MIN(X22:AA22),2))</f>
        <v/>
      </c>
      <c r="W22" s="47" t="n"/>
      <c r="X22" s="49">
        <f>IFERROR(SUMIFS('3_보호자행동'!$AU$5:$AU$35,'3_보호자행동'!$A$5:$A$35,"입장",'3_보호자행동'!$AU$5:$AU$35,"&gt;=1")/COUNTIFS('3_보호자행동'!$A$5:$A$35,"입장",'3_보호자행동'!$AU$5:$AU$35,"&gt;=1"),"")</f>
        <v/>
      </c>
      <c r="Y22" s="49">
        <f>IFERROR(SUMIFS('3_보호자행동'!$AU$5:$AU$35,'3_보호자행동'!$A$5:$A$35,"분리",'3_보호자행동'!$AU$5:$AU$35,"&gt;=1")/COUNTIFS('3_보호자행동'!$A$5:$A$35,"분리",'3_보호자행동'!$AU$5:$AU$35,"&gt;=1"),"")</f>
        <v/>
      </c>
      <c r="Z22" s="49">
        <f>IFERROR(SUMIFS('3_보호자행동'!$AU$5:$AU$35,'3_보호자행동'!$A$5:$A$35,"훈련",'3_보호자행동'!$AU$5:$AU$35,"&gt;=1")/COUNTIFS('3_보호자행동'!$A$5:$A$35,"훈련",'3_보호자행동'!$AU$5:$AU$35,"&gt;=1"),"")</f>
        <v/>
      </c>
      <c r="AA22" s="49">
        <f>IFERROR(SUMIFS('3_보호자행동'!$AU$5:$AU$35,'3_보호자행동'!$A$5:$A$35,"놀이",'3_보호자행동'!$AU$5:$AU$35,"&gt;=1")/COUNTIFS('3_보호자행동'!$A$5:$A$35,"놀이",'3_보호자행동'!$AU$5:$AU$35,"&gt;=1"),"")</f>
        <v/>
      </c>
      <c r="AB22">
        <f>IF((COUNTIFS('1_바디시그널'!$AD$5:$AD$36,"TRN",'1_바디시그널'!$AU$5:$AU$36,"&gt;=1")+COUNTIFS('2_개행동'!$AD$5:$AD$26,"TRN",'2_개행동'!$AU$5:$AU$26,"&gt;=1")+COUNTIFS('3_보호자행동'!$AD$5:$AD$35,"TRN",'3_보호자행동'!$AU$5:$AU$35,"&gt;=1"))=0,"",MAX(_xlfn.MAXIFS('1_바디시그널'!$AU$5:$AU$36,'1_바디시그널'!$AD$5:$AD$36,"TRN"),_xlfn.MAXIFS('2_개행동'!$AU$5:$AU$26,'2_개행동'!$AD$5:$AD$26,"TRN"),_xlfn.MAXIFS('3_보호자행동'!$AU$5:$AU$35,'3_보호자행동'!$AD$5:$AD$35,"TRN")))</f>
        <v/>
      </c>
      <c r="AC22">
        <f>IF((COUNTIFS('1_바디시그널'!$AD$5:$AD$36,"TRN",'1_바디시그널'!$AU$5:$AU$36,"&gt;=1")+COUNTIFS('2_개행동'!$AD$5:$AD$26,"TRN",'2_개행동'!$AU$5:$AU$26,"&gt;=1")+COUNTIFS('3_보호자행동'!$AD$5:$AD$35,"TRN",'3_보호자행동'!$AU$5:$AU$35,"&gt;=1"))=0,"",ROUND((SUMIFS('1_바디시그널'!$AU$5:$AU$36,'1_바디시그널'!$AD$5:$AD$36,"TRN",'1_바디시그널'!$AU$5:$AU$36,"&gt;=1")+SUMIFS('2_개행동'!$AU$5:$AU$26,'2_개행동'!$AD$5:$AD$26,"TRN",'2_개행동'!$AU$5:$AU$26,"&gt;=1")+SUMIFS('3_보호자행동'!$AU$5:$AU$35,'3_보호자행동'!$AD$5:$AD$35,"TRN",'3_보호자행동'!$AU$5:$AU$35,"&gt;=1"))/(COUNTIFS('1_바디시그널'!$AD$5:$AD$36,"TRN",'1_바디시그널'!$AU$5:$AU$36,"&gt;=1")+COUNTIFS('2_개행동'!$AD$5:$AD$26,"TRN",'2_개행동'!$AU$5:$AU$26,"&gt;=1")+COUNTIFS('3_보호자행동'!$AD$5:$AD$35,"TRN",'3_보호자행동'!$AU$5:$AU$35,"&gt;=1")),2))</f>
        <v/>
      </c>
      <c r="AD22">
        <f>IF((COUNTIFS('1_바디시그널'!$AD$5:$AD$36,"TRN",'1_바디시그널'!$AU$5:$AU$36,"&gt;=1")+COUNTIFS('2_개행동'!$AD$5:$AD$26,"TRN",'2_개행동'!$AU$5:$AU$26,"&gt;=1")+COUNTIFS('3_보호자행동'!$AD$5:$AD$35,"TRN",'3_보호자행동'!$AU$5:$AU$35,"&gt;=1"))=0,"",IF((SUMIFS('1_바디시그널'!$AU$5:$AU$36,'1_바디시그널'!$AD$5:$AD$36,"TRN",'1_바디시그널'!$BO$5:$BO$36,"A")+SUMIFS('2_개행동'!$AU$5:$AU$26,'2_개행동'!$AD$5:$AD$26,"TRN",'2_개행동'!$BO$5:$BO$26,"A")+SUMIFS('3_보호자행동'!$AU$5:$AU$35,'3_보호자행동'!$AD$5:$AD$35,"TRN",'3_보호자행동'!$BO$5:$BO$35,"A"))&gt;(SUMIFS('1_바디시그널'!$AU$5:$AU$36,'1_바디시그널'!$AD$5:$AD$36,"TRN",'1_바디시그널'!$BO$5:$BO$36,"B")+SUMIFS('2_개행동'!$AU$5:$AU$26,'2_개행동'!$AD$5:$AD$26,"TRN",'2_개행동'!$BO$5:$BO$26,"B")+SUMIFS('3_보호자행동'!$AU$5:$AU$35,'3_보호자행동'!$AD$5:$AD$35,"TRN",'3_보호자행동'!$BO$5:$BO$35,"B")),"A",IF((SUMIFS('1_바디시그널'!$AU$5:$AU$36,'1_바디시그널'!$AD$5:$AD$36,"TRN",'1_바디시그널'!$BO$5:$BO$36,"B")+SUMIFS('2_개행동'!$AU$5:$AU$26,'2_개행동'!$AD$5:$AD$26,"TRN",'2_개행동'!$BO$5:$BO$26,"B")+SUMIFS('3_보호자행동'!$AU$5:$AU$35,'3_보호자행동'!$AD$5:$AD$35,"TRN",'3_보호자행동'!$BO$5:$BO$35,"B"))&gt;(SUMIFS('1_바디시그널'!$AU$5:$AU$36,'1_바디시그널'!$AD$5:$AD$36,"TRN",'1_바디시그널'!$BO$5:$BO$36,"A")+SUMIFS('2_개행동'!$AU$5:$AU$26,'2_개행동'!$AD$5:$AD$26,"TRN",'2_개행동'!$BO$5:$BO$26,"A")+SUMIFS('3_보호자행동'!$AU$5:$AU$35,'3_보호자행동'!$AD$5:$AD$35,"TRN",'3_보호자행동'!$BO$5:$BO$35,"A")),"B","-")))</f>
        <v/>
      </c>
      <c r="AE22">
        <f>IF('2_개행동'!$Z$11="","",'2_개행동'!$Z$11&amp;IF('2_개행동'!$Z$11=3," [B]",IF('2_개행동'!$Z$11=1,""," [A]")))</f>
        <v/>
      </c>
    </row>
    <row r="23" ht="18.75" customHeight="1" s="1">
      <c r="A23" s="46" t="n">
        <v>18</v>
      </c>
      <c r="B23" s="47" t="n"/>
      <c r="C23" s="47" t="n"/>
      <c r="D23" s="48">
        <f>IF((COUNTIFS('1_바디시그널'!$AD$5:$AD$36,"EDU",'1_바디시그널'!$AV$5:$AV$36,"&gt;=1")+COUNTIFS('2_개행동'!$AD$5:$AD$26,"EDU",'2_개행동'!$AV$5:$AV$26,"&gt;=1")+COUNTIFS('3_보호자행동'!$AD$5:$AD$35,"EDU",'3_보호자행동'!$AV$5:$AV$35,"&gt;=1"))=0,"",MAX(_xlfn.MAXIFS('1_바디시그널'!$AV$5:$AV$36,'1_바디시그널'!$AD$5:$AD$36,"EDU"),_xlfn.MAXIFS('2_개행동'!$AV$5:$AV$26,'2_개행동'!$AD$5:$AD$26,"EDU"),_xlfn.MAXIFS('3_보호자행동'!$AV$5:$AV$35,'3_보호자행동'!$AD$5:$AD$35,"EDU")))</f>
        <v/>
      </c>
      <c r="E23" s="49">
        <f>IF((COUNTIFS('1_바디시그널'!$AD$5:$AD$36,"EDU",'1_바디시그널'!$AV$5:$AV$36,"&gt;=1")+COUNTIFS('2_개행동'!$AD$5:$AD$26,"EDU",'2_개행동'!$AV$5:$AV$26,"&gt;=1")+COUNTIFS('3_보호자행동'!$AD$5:$AD$35,"EDU",'3_보호자행동'!$AV$5:$AV$35,"&gt;=1"))=0,"",ROUND((SUMIFS('1_바디시그널'!$AV$5:$AV$36,'1_바디시그널'!$AD$5:$AD$36,"EDU",'1_바디시그널'!$AV$5:$AV$36,"&gt;=1")+SUMIFS('2_개행동'!$AV$5:$AV$26,'2_개행동'!$AD$5:$AD$26,"EDU",'2_개행동'!$AV$5:$AV$26,"&gt;=1")+SUMIFS('3_보호자행동'!$AV$5:$AV$35,'3_보호자행동'!$AD$5:$AD$35,"EDU",'3_보호자행동'!$AV$5:$AV$35,"&gt;=1"))/(COUNTIFS('1_바디시그널'!$AD$5:$AD$36,"EDU",'1_바디시그널'!$AV$5:$AV$36,"&gt;=1")+COUNTIFS('2_개행동'!$AD$5:$AD$26,"EDU",'2_개행동'!$AV$5:$AV$26,"&gt;=1")+COUNTIFS('3_보호자행동'!$AD$5:$AD$35,"EDU",'3_보호자행동'!$AV$5:$AV$35,"&gt;=1")),2))</f>
        <v/>
      </c>
      <c r="F23" s="49">
        <f>IF((COUNTIFS('1_바디시그널'!$AD$5:$AD$36,"EDU",'1_바디시그널'!$AV$5:$AV$36,"&gt;=1")+COUNTIFS('2_개행동'!$AD$5:$AD$26,"EDU",'2_개행동'!$AV$5:$AV$26,"&gt;=1")+COUNTIFS('3_보호자행동'!$AD$5:$AD$35,"EDU",'3_보호자행동'!$AV$5:$AV$35,"&gt;=1"))=0,"",IF((SUMIFS('1_바디시그널'!$AV$5:$AV$36,'1_바디시그널'!$AD$5:$AD$36,"EDU",'1_바디시그널'!$BP$5:$BP$36,"A")+SUMIFS('2_개행동'!$AV$5:$AV$26,'2_개행동'!$AD$5:$AD$26,"EDU",'2_개행동'!$BP$5:$BP$26,"A")+SUMIFS('3_보호자행동'!$AV$5:$AV$35,'3_보호자행동'!$AD$5:$AD$35,"EDU",'3_보호자행동'!$BP$5:$BP$35,"A"))&gt;(SUMIFS('1_바디시그널'!$AV$5:$AV$36,'1_바디시그널'!$AD$5:$AD$36,"EDU",'1_바디시그널'!$BP$5:$BP$36,"B")+SUMIFS('2_개행동'!$AV$5:$AV$26,'2_개행동'!$AD$5:$AD$26,"EDU",'2_개행동'!$BP$5:$BP$26,"B")+SUMIFS('3_보호자행동'!$AV$5:$AV$35,'3_보호자행동'!$AD$5:$AD$35,"EDU",'3_보호자행동'!$BP$5:$BP$35,"B")),"A",IF((SUMIFS('1_바디시그널'!$AV$5:$AV$36,'1_바디시그널'!$AD$5:$AD$36,"EDU",'1_바디시그널'!$BP$5:$BP$36,"B")+SUMIFS('2_개행동'!$AV$5:$AV$26,'2_개행동'!$AD$5:$AD$26,"EDU",'2_개행동'!$BP$5:$BP$26,"B")+SUMIFS('3_보호자행동'!$AV$5:$AV$35,'3_보호자행동'!$AD$5:$AD$35,"EDU",'3_보호자행동'!$BP$5:$BP$35,"B"))&gt;(SUMIFS('1_바디시그널'!$AV$5:$AV$36,'1_바디시그널'!$AD$5:$AD$36,"EDU",'1_바디시그널'!$BP$5:$BP$36,"A")+SUMIFS('2_개행동'!$AV$5:$AV$26,'2_개행동'!$AD$5:$AD$26,"EDU",'2_개행동'!$BP$5:$BP$26,"A")+SUMIFS('3_보호자행동'!$AV$5:$AV$35,'3_보호자행동'!$AD$5:$AD$35,"EDU",'3_보호자행동'!$BP$5:$BP$35,"A")),"B","-")))</f>
        <v/>
      </c>
      <c r="G23" s="49">
        <f>IF((COUNTIFS('1_바디시그널'!$AD$5:$AD$36,"SOC_P",'1_바디시그널'!$AV$5:$AV$36,"&gt;=1")+COUNTIFS('2_개행동'!$AD$5:$AD$26,"SOC_P",'2_개행동'!$AV$5:$AV$26,"&gt;=1")+COUNTIFS('3_보호자행동'!$AD$5:$AD$35,"SOC_P",'3_보호자행동'!$AV$5:$AV$35,"&gt;=1"))=0,"",MAX(_xlfn.MAXIFS('1_바디시그널'!$AV$5:$AV$36,'1_바디시그널'!$AD$5:$AD$36,"SOC_P"),_xlfn.MAXIFS('2_개행동'!$AV$5:$AV$26,'2_개행동'!$AD$5:$AD$26,"SOC_P"),_xlfn.MAXIFS('3_보호자행동'!$AV$5:$AV$35,'3_보호자행동'!$AD$5:$AD$35,"SOC_P")))</f>
        <v/>
      </c>
      <c r="H23" s="49">
        <f>IF((COUNTIFS('1_바디시그널'!$AD$5:$AD$36,"SOC_P",'1_바디시그널'!$AV$5:$AV$36,"&gt;=1")+COUNTIFS('2_개행동'!$AD$5:$AD$26,"SOC_P",'2_개행동'!$AV$5:$AV$26,"&gt;=1")+COUNTIFS('3_보호자행동'!$AD$5:$AD$35,"SOC_P",'3_보호자행동'!$AV$5:$AV$35,"&gt;=1"))=0,"",ROUND((SUMIFS('1_바디시그널'!$AV$5:$AV$36,'1_바디시그널'!$AD$5:$AD$36,"SOC_P",'1_바디시그널'!$AV$5:$AV$36,"&gt;=1")+SUMIFS('2_개행동'!$AV$5:$AV$26,'2_개행동'!$AD$5:$AD$26,"SOC_P",'2_개행동'!$AV$5:$AV$26,"&gt;=1")+SUMIFS('3_보호자행동'!$AV$5:$AV$35,'3_보호자행동'!$AD$5:$AD$35,"SOC_P",'3_보호자행동'!$AV$5:$AV$35,"&gt;=1"))/(COUNTIFS('1_바디시그널'!$AD$5:$AD$36,"SOC_P",'1_바디시그널'!$AV$5:$AV$36,"&gt;=1")+COUNTIFS('2_개행동'!$AD$5:$AD$26,"SOC_P",'2_개행동'!$AV$5:$AV$26,"&gt;=1")+COUNTIFS('3_보호자행동'!$AD$5:$AD$35,"SOC_P",'3_보호자행동'!$AV$5:$AV$35,"&gt;=1")),2))</f>
        <v/>
      </c>
      <c r="I23" s="49">
        <f>IF((COUNTIFS('1_바디시그널'!$AD$5:$AD$36,"SOC_P",'1_바디시그널'!$AV$5:$AV$36,"&gt;=1")+COUNTIFS('2_개행동'!$AD$5:$AD$26,"SOC_P",'2_개행동'!$AV$5:$AV$26,"&gt;=1")+COUNTIFS('3_보호자행동'!$AD$5:$AD$35,"SOC_P",'3_보호자행동'!$AV$5:$AV$35,"&gt;=1"))=0,"",IF((SUMIFS('1_바디시그널'!$AV$5:$AV$36,'1_바디시그널'!$AD$5:$AD$36,"SOC_P",'1_바디시그널'!$BP$5:$BP$36,"A")+SUMIFS('2_개행동'!$AV$5:$AV$26,'2_개행동'!$AD$5:$AD$26,"SOC_P",'2_개행동'!$BP$5:$BP$26,"A")+SUMIFS('3_보호자행동'!$AV$5:$AV$35,'3_보호자행동'!$AD$5:$AD$35,"SOC_P",'3_보호자행동'!$BP$5:$BP$35,"A"))&gt;(SUMIFS('1_바디시그널'!$AV$5:$AV$36,'1_바디시그널'!$AD$5:$AD$36,"SOC_P",'1_바디시그널'!$BP$5:$BP$36,"B")+SUMIFS('2_개행동'!$AV$5:$AV$26,'2_개행동'!$AD$5:$AD$26,"SOC_P",'2_개행동'!$BP$5:$BP$26,"B")+SUMIFS('3_보호자행동'!$AV$5:$AV$35,'3_보호자행동'!$AD$5:$AD$35,"SOC_P",'3_보호자행동'!$BP$5:$BP$35,"B")),"A",IF((SUMIFS('1_바디시그널'!$AV$5:$AV$36,'1_바디시그널'!$AD$5:$AD$36,"SOC_P",'1_바디시그널'!$BP$5:$BP$36,"B")+SUMIFS('2_개행동'!$AV$5:$AV$26,'2_개행동'!$AD$5:$AD$26,"SOC_P",'2_개행동'!$BP$5:$BP$26,"B")+SUMIFS('3_보호자행동'!$AV$5:$AV$35,'3_보호자행동'!$AD$5:$AD$35,"SOC_P",'3_보호자행동'!$BP$5:$BP$35,"B"))&gt;(SUMIFS('1_바디시그널'!$AV$5:$AV$36,'1_바디시그널'!$AD$5:$AD$36,"SOC_P",'1_바디시그널'!$BP$5:$BP$36,"A")+SUMIFS('2_개행동'!$AV$5:$AV$26,'2_개행동'!$AD$5:$AD$26,"SOC_P",'2_개행동'!$BP$5:$BP$26,"A")+SUMIFS('3_보호자행동'!$AV$5:$AV$35,'3_보호자행동'!$AD$5:$AD$35,"SOC_P",'3_보호자행동'!$BP$5:$BP$35,"A")),"B","-")))</f>
        <v/>
      </c>
      <c r="J23" s="49">
        <f>IF((COUNTIFS('1_바디시그널'!$AD$5:$AD$36,"SOC_D",'1_바디시그널'!$AV$5:$AV$36,"&gt;=1")+COUNTIFS('2_개행동'!$AD$5:$AD$26,"SOC_D",'2_개행동'!$AV$5:$AV$26,"&gt;=1")+COUNTIFS('3_보호자행동'!$AD$5:$AD$35,"SOC_D",'3_보호자행동'!$AV$5:$AV$35,"&gt;=1"))=0,"",MAX(_xlfn.MAXIFS('1_바디시그널'!$AV$5:$AV$36,'1_바디시그널'!$AD$5:$AD$36,"SOC_D"),_xlfn.MAXIFS('2_개행동'!$AV$5:$AV$26,'2_개행동'!$AD$5:$AD$26,"SOC_D"),_xlfn.MAXIFS('3_보호자행동'!$AV$5:$AV$35,'3_보호자행동'!$AD$5:$AD$35,"SOC_D")))</f>
        <v/>
      </c>
      <c r="K23" s="49">
        <f>IF((COUNTIFS('1_바디시그널'!$AD$5:$AD$36,"SOC_D",'1_바디시그널'!$AV$5:$AV$36,"&gt;=1")+COUNTIFS('2_개행동'!$AD$5:$AD$26,"SOC_D",'2_개행동'!$AV$5:$AV$26,"&gt;=1")+COUNTIFS('3_보호자행동'!$AD$5:$AD$35,"SOC_D",'3_보호자행동'!$AV$5:$AV$35,"&gt;=1"))=0,"",ROUND((SUMIFS('1_바디시그널'!$AV$5:$AV$36,'1_바디시그널'!$AD$5:$AD$36,"SOC_D",'1_바디시그널'!$AV$5:$AV$36,"&gt;=1")+SUMIFS('2_개행동'!$AV$5:$AV$26,'2_개행동'!$AD$5:$AD$26,"SOC_D",'2_개행동'!$AV$5:$AV$26,"&gt;=1")+SUMIFS('3_보호자행동'!$AV$5:$AV$35,'3_보호자행동'!$AD$5:$AD$35,"SOC_D",'3_보호자행동'!$AV$5:$AV$35,"&gt;=1"))/(COUNTIFS('1_바디시그널'!$AD$5:$AD$36,"SOC_D",'1_바디시그널'!$AV$5:$AV$36,"&gt;=1")+COUNTIFS('2_개행동'!$AD$5:$AD$26,"SOC_D",'2_개행동'!$AV$5:$AV$26,"&gt;=1")+COUNTIFS('3_보호자행동'!$AD$5:$AD$35,"SOC_D",'3_보호자행동'!$AV$5:$AV$35,"&gt;=1")),2))</f>
        <v/>
      </c>
      <c r="L23" s="49">
        <f>IF((COUNTIFS('1_바디시그널'!$AD$5:$AD$36,"SOC_D",'1_바디시그널'!$AV$5:$AV$36,"&gt;=1")+COUNTIFS('2_개행동'!$AD$5:$AD$26,"SOC_D",'2_개행동'!$AV$5:$AV$26,"&gt;=1")+COUNTIFS('3_보호자행동'!$AD$5:$AD$35,"SOC_D",'3_보호자행동'!$AV$5:$AV$35,"&gt;=1"))=0,"",IF((SUMIFS('1_바디시그널'!$AV$5:$AV$36,'1_바디시그널'!$AD$5:$AD$36,"SOC_D",'1_바디시그널'!$BP$5:$BP$36,"A")+SUMIFS('2_개행동'!$AV$5:$AV$26,'2_개행동'!$AD$5:$AD$26,"SOC_D",'2_개행동'!$BP$5:$BP$26,"A")+SUMIFS('3_보호자행동'!$AV$5:$AV$35,'3_보호자행동'!$AD$5:$AD$35,"SOC_D",'3_보호자행동'!$BP$5:$BP$35,"A"))&gt;(SUMIFS('1_바디시그널'!$AV$5:$AV$36,'1_바디시그널'!$AD$5:$AD$36,"SOC_D",'1_바디시그널'!$BP$5:$BP$36,"B")+SUMIFS('2_개행동'!$AV$5:$AV$26,'2_개행동'!$AD$5:$AD$26,"SOC_D",'2_개행동'!$BP$5:$BP$26,"B")+SUMIFS('3_보호자행동'!$AV$5:$AV$35,'3_보호자행동'!$AD$5:$AD$35,"SOC_D",'3_보호자행동'!$BP$5:$BP$35,"B")),"A",IF((SUMIFS('1_바디시그널'!$AV$5:$AV$36,'1_바디시그널'!$AD$5:$AD$36,"SOC_D",'1_바디시그널'!$BP$5:$BP$36,"B")+SUMIFS('2_개행동'!$AV$5:$AV$26,'2_개행동'!$AD$5:$AD$26,"SOC_D",'2_개행동'!$BP$5:$BP$26,"B")+SUMIFS('3_보호자행동'!$AV$5:$AV$35,'3_보호자행동'!$AD$5:$AD$35,"SOC_D",'3_보호자행동'!$BP$5:$BP$35,"B"))&gt;(SUMIFS('1_바디시그널'!$AV$5:$AV$36,'1_바디시그널'!$AD$5:$AD$36,"SOC_D",'1_바디시그널'!$BP$5:$BP$36,"A")+SUMIFS('2_개행동'!$AV$5:$AV$26,'2_개행동'!$AD$5:$AD$26,"SOC_D",'2_개행동'!$BP$5:$BP$26,"A")+SUMIFS('3_보호자행동'!$AV$5:$AV$35,'3_보호자행동'!$AD$5:$AD$35,"SOC_D",'3_보호자행동'!$BP$5:$BP$35,"A")),"B","-")))</f>
        <v/>
      </c>
      <c r="M23" s="49">
        <f>IF((COUNTIFS('1_바디시그널'!$AD$5:$AD$36,"SOC_E",'1_바디시그널'!$AV$5:$AV$36,"&gt;=1")+COUNTIFS('2_개행동'!$AD$5:$AD$26,"SOC_E",'2_개행동'!$AV$5:$AV$26,"&gt;=1")+COUNTIFS('3_보호자행동'!$AD$5:$AD$35,"SOC_E",'3_보호자행동'!$AV$5:$AV$35,"&gt;=1"))=0,"",MAX(_xlfn.MAXIFS('1_바디시그널'!$AV$5:$AV$36,'1_바디시그널'!$AD$5:$AD$36,"SOC_E"),_xlfn.MAXIFS('2_개행동'!$AV$5:$AV$26,'2_개행동'!$AD$5:$AD$26,"SOC_E"),_xlfn.MAXIFS('3_보호자행동'!$AV$5:$AV$35,'3_보호자행동'!$AD$5:$AD$35,"SOC_E")))</f>
        <v/>
      </c>
      <c r="N23" s="49">
        <f>IF((COUNTIFS('1_바디시그널'!$AD$5:$AD$36,"SOC_E",'1_바디시그널'!$AV$5:$AV$36,"&gt;=1")+COUNTIFS('2_개행동'!$AD$5:$AD$26,"SOC_E",'2_개행동'!$AV$5:$AV$26,"&gt;=1")+COUNTIFS('3_보호자행동'!$AD$5:$AD$35,"SOC_E",'3_보호자행동'!$AV$5:$AV$35,"&gt;=1"))=0,"",ROUND((SUMIFS('1_바디시그널'!$AV$5:$AV$36,'1_바디시그널'!$AD$5:$AD$36,"SOC_E",'1_바디시그널'!$AV$5:$AV$36,"&gt;=1")+SUMIFS('2_개행동'!$AV$5:$AV$26,'2_개행동'!$AD$5:$AD$26,"SOC_E",'2_개행동'!$AV$5:$AV$26,"&gt;=1")+SUMIFS('3_보호자행동'!$AV$5:$AV$35,'3_보호자행동'!$AD$5:$AD$35,"SOC_E",'3_보호자행동'!$AV$5:$AV$35,"&gt;=1"))/(COUNTIFS('1_바디시그널'!$AD$5:$AD$36,"SOC_E",'1_바디시그널'!$AV$5:$AV$36,"&gt;=1")+COUNTIFS('2_개행동'!$AD$5:$AD$26,"SOC_E",'2_개행동'!$AV$5:$AV$26,"&gt;=1")+COUNTIFS('3_보호자행동'!$AD$5:$AD$35,"SOC_E",'3_보호자행동'!$AV$5:$AV$35,"&gt;=1")),2))</f>
        <v/>
      </c>
      <c r="O23" s="49">
        <f>IF((COUNTIFS('1_바디시그널'!$AD$5:$AD$36,"SOC_E",'1_바디시그널'!$AV$5:$AV$36,"&gt;=1")+COUNTIFS('2_개행동'!$AD$5:$AD$26,"SOC_E",'2_개행동'!$AV$5:$AV$26,"&gt;=1")+COUNTIFS('3_보호자행동'!$AD$5:$AD$35,"SOC_E",'3_보호자행동'!$AV$5:$AV$35,"&gt;=1"))=0,"",IF((SUMIFS('1_바디시그널'!$AV$5:$AV$36,'1_바디시그널'!$AD$5:$AD$36,"SOC_E",'1_바디시그널'!$BP$5:$BP$36,"A")+SUMIFS('2_개행동'!$AV$5:$AV$26,'2_개행동'!$AD$5:$AD$26,"SOC_E",'2_개행동'!$BP$5:$BP$26,"A")+SUMIFS('3_보호자행동'!$AV$5:$AV$35,'3_보호자행동'!$AD$5:$AD$35,"SOC_E",'3_보호자행동'!$BP$5:$BP$35,"A"))&gt;(SUMIFS('1_바디시그널'!$AV$5:$AV$36,'1_바디시그널'!$AD$5:$AD$36,"SOC_E",'1_바디시그널'!$BP$5:$BP$36,"B")+SUMIFS('2_개행동'!$AV$5:$AV$26,'2_개행동'!$AD$5:$AD$26,"SOC_E",'2_개행동'!$BP$5:$BP$26,"B")+SUMIFS('3_보호자행동'!$AV$5:$AV$35,'3_보호자행동'!$AD$5:$AD$35,"SOC_E",'3_보호자행동'!$BP$5:$BP$35,"B")),"A",IF((SUMIFS('1_바디시그널'!$AV$5:$AV$36,'1_바디시그널'!$AD$5:$AD$36,"SOC_E",'1_바디시그널'!$BP$5:$BP$36,"B")+SUMIFS('2_개행동'!$AV$5:$AV$26,'2_개행동'!$AD$5:$AD$26,"SOC_E",'2_개행동'!$BP$5:$BP$26,"B")+SUMIFS('3_보호자행동'!$AV$5:$AV$35,'3_보호자행동'!$AD$5:$AD$35,"SOC_E",'3_보호자행동'!$BP$5:$BP$35,"B"))&gt;(SUMIFS('1_바디시그널'!$AV$5:$AV$36,'1_바디시그널'!$AD$5:$AD$36,"SOC_E",'1_바디시그널'!$BP$5:$BP$36,"A")+SUMIFS('2_개행동'!$AV$5:$AV$26,'2_개행동'!$AD$5:$AD$26,"SOC_E",'2_개행동'!$BP$5:$BP$26,"A")+SUMIFS('3_보호자행동'!$AV$5:$AV$35,'3_보호자행동'!$AD$5:$AD$35,"SOC_E",'3_보호자행동'!$BP$5:$BP$35,"A")),"B","-")))</f>
        <v/>
      </c>
      <c r="P23" s="49">
        <f>IF((COUNTIFS('1_바디시그널'!$AD$5:$AD$36,"ATT",'1_바디시그널'!$AV$5:$AV$36,"&gt;=1")+COUNTIFS('2_개행동'!$AD$5:$AD$26,"ATT",'2_개행동'!$AV$5:$AV$26,"&gt;=1")+COUNTIFS('3_보호자행동'!$AD$5:$AD$35,"ATT",'3_보호자행동'!$AV$5:$AV$35,"&gt;=1"))=0,"",MAX(_xlfn.MAXIFS('1_바디시그널'!$AV$5:$AV$36,'1_바디시그널'!$AD$5:$AD$36,"ATT"),_xlfn.MAXIFS('2_개행동'!$AV$5:$AV$26,'2_개행동'!$AD$5:$AD$26,"ATT"),_xlfn.MAXIFS('3_보호자행동'!$AV$5:$AV$35,'3_보호자행동'!$AD$5:$AD$35,"ATT")))</f>
        <v/>
      </c>
      <c r="Q23" s="49">
        <f>IF((COUNTIFS('1_바디시그널'!$AD$5:$AD$36,"ATT",'1_바디시그널'!$AV$5:$AV$36,"&gt;=1")+COUNTIFS('2_개행동'!$AD$5:$AD$26,"ATT",'2_개행동'!$AV$5:$AV$26,"&gt;=1")+COUNTIFS('3_보호자행동'!$AD$5:$AD$35,"ATT",'3_보호자행동'!$AV$5:$AV$35,"&gt;=1"))=0,"",ROUND((SUMIFS('1_바디시그널'!$AV$5:$AV$36,'1_바디시그널'!$AD$5:$AD$36,"ATT",'1_바디시그널'!$AV$5:$AV$36,"&gt;=1")+SUMIFS('2_개행동'!$AV$5:$AV$26,'2_개행동'!$AD$5:$AD$26,"ATT",'2_개행동'!$AV$5:$AV$26,"&gt;=1")+SUMIFS('3_보호자행동'!$AV$5:$AV$35,'3_보호자행동'!$AD$5:$AD$35,"ATT",'3_보호자행동'!$AV$5:$AV$35,"&gt;=1"))/(COUNTIFS('1_바디시그널'!$AD$5:$AD$36,"ATT",'1_바디시그널'!$AV$5:$AV$36,"&gt;=1")+COUNTIFS('2_개행동'!$AD$5:$AD$26,"ATT",'2_개행동'!$AV$5:$AV$26,"&gt;=1")+COUNTIFS('3_보호자행동'!$AD$5:$AD$35,"ATT",'3_보호자행동'!$AV$5:$AV$35,"&gt;=1")),2))</f>
        <v/>
      </c>
      <c r="R23" s="49">
        <f>IF((COUNTIFS('1_바디시그널'!$AD$5:$AD$36,"ATT",'1_바디시그널'!$AV$5:$AV$36,"&gt;=1")+COUNTIFS('2_개행동'!$AD$5:$AD$26,"ATT",'2_개행동'!$AV$5:$AV$26,"&gt;=1")+COUNTIFS('3_보호자행동'!$AD$5:$AD$35,"ATT",'3_보호자행동'!$AV$5:$AV$35,"&gt;=1"))=0,"",IF((SUMIFS('1_바디시그널'!$AV$5:$AV$36,'1_바디시그널'!$AD$5:$AD$36,"ATT",'1_바디시그널'!$BP$5:$BP$36,"A")+SUMIFS('2_개행동'!$AV$5:$AV$26,'2_개행동'!$AD$5:$AD$26,"ATT",'2_개행동'!$BP$5:$BP$26,"A")+SUMIFS('3_보호자행동'!$AV$5:$AV$35,'3_보호자행동'!$AD$5:$AD$35,"ATT",'3_보호자행동'!$BP$5:$BP$35,"A"))&gt;(SUMIFS('1_바디시그널'!$AV$5:$AV$36,'1_바디시그널'!$AD$5:$AD$36,"ATT",'1_바디시그널'!$BP$5:$BP$36,"B")+SUMIFS('2_개행동'!$AV$5:$AV$26,'2_개행동'!$AD$5:$AD$26,"ATT",'2_개행동'!$BP$5:$BP$26,"B")+SUMIFS('3_보호자행동'!$AV$5:$AV$35,'3_보호자행동'!$AD$5:$AD$35,"ATT",'3_보호자행동'!$BP$5:$BP$35,"B")),"A",IF((SUMIFS('1_바디시그널'!$AV$5:$AV$36,'1_바디시그널'!$AD$5:$AD$36,"ATT",'1_바디시그널'!$BP$5:$BP$36,"B")+SUMIFS('2_개행동'!$AV$5:$AV$26,'2_개행동'!$AD$5:$AD$26,"ATT",'2_개행동'!$BP$5:$BP$26,"B")+SUMIFS('3_보호자행동'!$AV$5:$AV$35,'3_보호자행동'!$AD$5:$AD$35,"ATT",'3_보호자행동'!$BP$5:$BP$35,"B"))&gt;(SUMIFS('1_바디시그널'!$AV$5:$AV$36,'1_바디시그널'!$AD$5:$AD$36,"ATT",'1_바디시그널'!$BP$5:$BP$36,"A")+SUMIFS('2_개행동'!$AV$5:$AV$26,'2_개행동'!$AD$5:$AD$26,"ATT",'2_개행동'!$BP$5:$BP$26,"A")+SUMIFS('3_보호자행동'!$AV$5:$AV$35,'3_보호자행동'!$AD$5:$AD$35,"ATT",'3_보호자행동'!$BP$5:$BP$35,"A")),"B","-")))</f>
        <v/>
      </c>
      <c r="S23" s="49">
        <f>IF((COUNTIFS('1_바디시그널'!$AD$5:$AD$36,"CON",'1_바디시그널'!$AV$5:$AV$36,"&gt;=1")+COUNTIFS('2_개행동'!$AD$5:$AD$26,"CON",'2_개행동'!$AV$5:$AV$26,"&gt;=1")+COUNTIFS('3_보호자행동'!$AD$5:$AD$35,"CON",'3_보호자행동'!$AV$5:$AV$35,"&gt;=1"))=0,"",MAX(_xlfn.MAXIFS('1_바디시그널'!$AV$5:$AV$36,'1_바디시그널'!$AD$5:$AD$36,"CON"),_xlfn.MAXIFS('2_개행동'!$AV$5:$AV$26,'2_개행동'!$AD$5:$AD$26,"CON"),_xlfn.MAXIFS('3_보호자행동'!$AV$5:$AV$35,'3_보호자행동'!$AD$5:$AD$35,"CON")))</f>
        <v/>
      </c>
      <c r="T23" s="49">
        <f>IF((COUNTIFS('1_바디시그널'!$AD$5:$AD$36,"CON",'1_바디시그널'!$AV$5:$AV$36,"&gt;=1")+COUNTIFS('2_개행동'!$AD$5:$AD$26,"CON",'2_개행동'!$AV$5:$AV$26,"&gt;=1")+COUNTIFS('3_보호자행동'!$AD$5:$AD$35,"CON",'3_보호자행동'!$AV$5:$AV$35,"&gt;=1"))=0,"",ROUND((SUMIFS('1_바디시그널'!$AV$5:$AV$36,'1_바디시그널'!$AD$5:$AD$36,"CON",'1_바디시그널'!$AV$5:$AV$36,"&gt;=1")+SUMIFS('2_개행동'!$AV$5:$AV$26,'2_개행동'!$AD$5:$AD$26,"CON",'2_개행동'!$AV$5:$AV$26,"&gt;=1")+SUMIFS('3_보호자행동'!$AV$5:$AV$35,'3_보호자행동'!$AD$5:$AD$35,"CON",'3_보호자행동'!$AV$5:$AV$35,"&gt;=1"))/(COUNTIFS('1_바디시그널'!$AD$5:$AD$36,"CON",'1_바디시그널'!$AV$5:$AV$36,"&gt;=1")+COUNTIFS('2_개행동'!$AD$5:$AD$26,"CON",'2_개행동'!$AV$5:$AV$26,"&gt;=1")+COUNTIFS('3_보호자행동'!$AD$5:$AD$35,"CON",'3_보호자행동'!$AV$5:$AV$35,"&gt;=1")),2))</f>
        <v/>
      </c>
      <c r="U23" s="49">
        <f>IF((COUNTIFS('1_바디시그널'!$AD$5:$AD$36,"CON",'1_바디시그널'!$AV$5:$AV$36,"&gt;=1")+COUNTIFS('2_개행동'!$AD$5:$AD$26,"CON",'2_개행동'!$AV$5:$AV$26,"&gt;=1")+COUNTIFS('3_보호자행동'!$AD$5:$AD$35,"CON",'3_보호자행동'!$AV$5:$AV$35,"&gt;=1"))=0,"",IF((SUMIFS('1_바디시그널'!$AV$5:$AV$36,'1_바디시그널'!$AD$5:$AD$36,"CON",'1_바디시그널'!$BP$5:$BP$36,"A")+SUMIFS('2_개행동'!$AV$5:$AV$26,'2_개행동'!$AD$5:$AD$26,"CON",'2_개행동'!$BP$5:$BP$26,"A")+SUMIFS('3_보호자행동'!$AV$5:$AV$35,'3_보호자행동'!$AD$5:$AD$35,"CON",'3_보호자행동'!$BP$5:$BP$35,"A"))&gt;(SUMIFS('1_바디시그널'!$AV$5:$AV$36,'1_바디시그널'!$AD$5:$AD$36,"CON",'1_바디시그널'!$BP$5:$BP$36,"B")+SUMIFS('2_개행동'!$AV$5:$AV$26,'2_개행동'!$AD$5:$AD$26,"CON",'2_개행동'!$BP$5:$BP$26,"B")+SUMIFS('3_보호자행동'!$AV$5:$AV$35,'3_보호자행동'!$AD$5:$AD$35,"CON",'3_보호자행동'!$BP$5:$BP$35,"B")),"A",IF((SUMIFS('1_바디시그널'!$AV$5:$AV$36,'1_바디시그널'!$AD$5:$AD$36,"CON",'1_바디시그널'!$BP$5:$BP$36,"B")+SUMIFS('2_개행동'!$AV$5:$AV$26,'2_개행동'!$AD$5:$AD$26,"CON",'2_개행동'!$BP$5:$BP$26,"B")+SUMIFS('3_보호자행동'!$AV$5:$AV$35,'3_보호자행동'!$AD$5:$AD$35,"CON",'3_보호자행동'!$BP$5:$BP$35,"B"))&gt;(SUMIFS('1_바디시그널'!$AV$5:$AV$36,'1_바디시그널'!$AD$5:$AD$36,"CON",'1_바디시그널'!$BP$5:$BP$36,"A")+SUMIFS('2_개행동'!$AV$5:$AV$26,'2_개행동'!$AD$5:$AD$26,"CON",'2_개행동'!$BP$5:$BP$26,"A")+SUMIFS('3_보호자행동'!$AV$5:$AV$35,'3_보호자행동'!$AD$5:$AD$35,"CON",'3_보호자행동'!$BP$5:$BP$35,"A")),"B","-")))</f>
        <v/>
      </c>
      <c r="V23" s="48">
        <f>IF(COUNT(X23:AA23)=0,"",ROUND(MAX(X23:AA23)-MIN(X23:AA23),2))</f>
        <v/>
      </c>
      <c r="W23" s="47" t="n"/>
      <c r="X23" s="49">
        <f>IFERROR(SUMIFS('3_보호자행동'!$AV$5:$AV$35,'3_보호자행동'!$A$5:$A$35,"입장",'3_보호자행동'!$AV$5:$AV$35,"&gt;=1")/COUNTIFS('3_보호자행동'!$A$5:$A$35,"입장",'3_보호자행동'!$AV$5:$AV$35,"&gt;=1"),"")</f>
        <v/>
      </c>
      <c r="Y23" s="49">
        <f>IFERROR(SUMIFS('3_보호자행동'!$AV$5:$AV$35,'3_보호자행동'!$A$5:$A$35,"분리",'3_보호자행동'!$AV$5:$AV$35,"&gt;=1")/COUNTIFS('3_보호자행동'!$A$5:$A$35,"분리",'3_보호자행동'!$AV$5:$AV$35,"&gt;=1"),"")</f>
        <v/>
      </c>
      <c r="Z23" s="49">
        <f>IFERROR(SUMIFS('3_보호자행동'!$AV$5:$AV$35,'3_보호자행동'!$A$5:$A$35,"훈련",'3_보호자행동'!$AV$5:$AV$35,"&gt;=1")/COUNTIFS('3_보호자행동'!$A$5:$A$35,"훈련",'3_보호자행동'!$AV$5:$AV$35,"&gt;=1"),"")</f>
        <v/>
      </c>
      <c r="AA23" s="49">
        <f>IFERROR(SUMIFS('3_보호자행동'!$AV$5:$AV$35,'3_보호자행동'!$A$5:$A$35,"놀이",'3_보호자행동'!$AV$5:$AV$35,"&gt;=1")/COUNTIFS('3_보호자행동'!$A$5:$A$35,"놀이",'3_보호자행동'!$AV$5:$AV$35,"&gt;=1"),"")</f>
        <v/>
      </c>
      <c r="AB23">
        <f>IF((COUNTIFS('1_바디시그널'!$AD$5:$AD$36,"TRN",'1_바디시그널'!$AV$5:$AV$36,"&gt;=1")+COUNTIFS('2_개행동'!$AD$5:$AD$26,"TRN",'2_개행동'!$AV$5:$AV$26,"&gt;=1")+COUNTIFS('3_보호자행동'!$AD$5:$AD$35,"TRN",'3_보호자행동'!$AV$5:$AV$35,"&gt;=1"))=0,"",MAX(_xlfn.MAXIFS('1_바디시그널'!$AV$5:$AV$36,'1_바디시그널'!$AD$5:$AD$36,"TRN"),_xlfn.MAXIFS('2_개행동'!$AV$5:$AV$26,'2_개행동'!$AD$5:$AD$26,"TRN"),_xlfn.MAXIFS('3_보호자행동'!$AV$5:$AV$35,'3_보호자행동'!$AD$5:$AD$35,"TRN")))</f>
        <v/>
      </c>
      <c r="AC23">
        <f>IF((COUNTIFS('1_바디시그널'!$AD$5:$AD$36,"TRN",'1_바디시그널'!$AV$5:$AV$36,"&gt;=1")+COUNTIFS('2_개행동'!$AD$5:$AD$26,"TRN",'2_개행동'!$AV$5:$AV$26,"&gt;=1")+COUNTIFS('3_보호자행동'!$AD$5:$AD$35,"TRN",'3_보호자행동'!$AV$5:$AV$35,"&gt;=1"))=0,"",ROUND((SUMIFS('1_바디시그널'!$AV$5:$AV$36,'1_바디시그널'!$AD$5:$AD$36,"TRN",'1_바디시그널'!$AV$5:$AV$36,"&gt;=1")+SUMIFS('2_개행동'!$AV$5:$AV$26,'2_개행동'!$AD$5:$AD$26,"TRN",'2_개행동'!$AV$5:$AV$26,"&gt;=1")+SUMIFS('3_보호자행동'!$AV$5:$AV$35,'3_보호자행동'!$AD$5:$AD$35,"TRN",'3_보호자행동'!$AV$5:$AV$35,"&gt;=1"))/(COUNTIFS('1_바디시그널'!$AD$5:$AD$36,"TRN",'1_바디시그널'!$AV$5:$AV$36,"&gt;=1")+COUNTIFS('2_개행동'!$AD$5:$AD$26,"TRN",'2_개행동'!$AV$5:$AV$26,"&gt;=1")+COUNTIFS('3_보호자행동'!$AD$5:$AD$35,"TRN",'3_보호자행동'!$AV$5:$AV$35,"&gt;=1")),2))</f>
        <v/>
      </c>
      <c r="AD23">
        <f>IF((COUNTIFS('1_바디시그널'!$AD$5:$AD$36,"TRN",'1_바디시그널'!$AV$5:$AV$36,"&gt;=1")+COUNTIFS('2_개행동'!$AD$5:$AD$26,"TRN",'2_개행동'!$AV$5:$AV$26,"&gt;=1")+COUNTIFS('3_보호자행동'!$AD$5:$AD$35,"TRN",'3_보호자행동'!$AV$5:$AV$35,"&gt;=1"))=0,"",IF((SUMIFS('1_바디시그널'!$AV$5:$AV$36,'1_바디시그널'!$AD$5:$AD$36,"TRN",'1_바디시그널'!$BP$5:$BP$36,"A")+SUMIFS('2_개행동'!$AV$5:$AV$26,'2_개행동'!$AD$5:$AD$26,"TRN",'2_개행동'!$BP$5:$BP$26,"A")+SUMIFS('3_보호자행동'!$AV$5:$AV$35,'3_보호자행동'!$AD$5:$AD$35,"TRN",'3_보호자행동'!$BP$5:$BP$35,"A"))&gt;(SUMIFS('1_바디시그널'!$AV$5:$AV$36,'1_바디시그널'!$AD$5:$AD$36,"TRN",'1_바디시그널'!$BP$5:$BP$36,"B")+SUMIFS('2_개행동'!$AV$5:$AV$26,'2_개행동'!$AD$5:$AD$26,"TRN",'2_개행동'!$BP$5:$BP$26,"B")+SUMIFS('3_보호자행동'!$AV$5:$AV$35,'3_보호자행동'!$AD$5:$AD$35,"TRN",'3_보호자행동'!$BP$5:$BP$35,"B")),"A",IF((SUMIFS('1_바디시그널'!$AV$5:$AV$36,'1_바디시그널'!$AD$5:$AD$36,"TRN",'1_바디시그널'!$BP$5:$BP$36,"B")+SUMIFS('2_개행동'!$AV$5:$AV$26,'2_개행동'!$AD$5:$AD$26,"TRN",'2_개행동'!$BP$5:$BP$26,"B")+SUMIFS('3_보호자행동'!$AV$5:$AV$35,'3_보호자행동'!$AD$5:$AD$35,"TRN",'3_보호자행동'!$BP$5:$BP$35,"B"))&gt;(SUMIFS('1_바디시그널'!$AV$5:$AV$36,'1_바디시그널'!$AD$5:$AD$36,"TRN",'1_바디시그널'!$BP$5:$BP$36,"A")+SUMIFS('2_개행동'!$AV$5:$AV$26,'2_개행동'!$AD$5:$AD$26,"TRN",'2_개행동'!$BP$5:$BP$26,"A")+SUMIFS('3_보호자행동'!$AV$5:$AV$35,'3_보호자행동'!$AD$5:$AD$35,"TRN",'3_보호자행동'!$BP$5:$BP$35,"A")),"B","-")))</f>
        <v/>
      </c>
      <c r="AE23">
        <f>IF('2_개행동'!$AA$11="","",'2_개행동'!$AA$11&amp;IF('2_개행동'!$AA$11=3," [B]",IF('2_개행동'!$AA$11=1,""," [A]")))</f>
        <v/>
      </c>
    </row>
    <row r="24" ht="18.75" customHeight="1" s="1">
      <c r="A24" s="46" t="n">
        <v>19</v>
      </c>
      <c r="B24" s="47" t="n"/>
      <c r="C24" s="47" t="n"/>
      <c r="D24" s="48">
        <f>IF((COUNTIFS('1_바디시그널'!$AD$5:$AD$36,"EDU",'1_바디시그널'!$AW$5:$AW$36,"&gt;=1")+COUNTIFS('2_개행동'!$AD$5:$AD$26,"EDU",'2_개행동'!$AW$5:$AW$26,"&gt;=1")+COUNTIFS('3_보호자행동'!$AD$5:$AD$35,"EDU",'3_보호자행동'!$AW$5:$AW$35,"&gt;=1"))=0,"",MAX(_xlfn.MAXIFS('1_바디시그널'!$AW$5:$AW$36,'1_바디시그널'!$AD$5:$AD$36,"EDU"),_xlfn.MAXIFS('2_개행동'!$AW$5:$AW$26,'2_개행동'!$AD$5:$AD$26,"EDU"),_xlfn.MAXIFS('3_보호자행동'!$AW$5:$AW$35,'3_보호자행동'!$AD$5:$AD$35,"EDU")))</f>
        <v/>
      </c>
      <c r="E24" s="49">
        <f>IF((COUNTIFS('1_바디시그널'!$AD$5:$AD$36,"EDU",'1_바디시그널'!$AW$5:$AW$36,"&gt;=1")+COUNTIFS('2_개행동'!$AD$5:$AD$26,"EDU",'2_개행동'!$AW$5:$AW$26,"&gt;=1")+COUNTIFS('3_보호자행동'!$AD$5:$AD$35,"EDU",'3_보호자행동'!$AW$5:$AW$35,"&gt;=1"))=0,"",ROUND((SUMIFS('1_바디시그널'!$AW$5:$AW$36,'1_바디시그널'!$AD$5:$AD$36,"EDU",'1_바디시그널'!$AW$5:$AW$36,"&gt;=1")+SUMIFS('2_개행동'!$AW$5:$AW$26,'2_개행동'!$AD$5:$AD$26,"EDU",'2_개행동'!$AW$5:$AW$26,"&gt;=1")+SUMIFS('3_보호자행동'!$AW$5:$AW$35,'3_보호자행동'!$AD$5:$AD$35,"EDU",'3_보호자행동'!$AW$5:$AW$35,"&gt;=1"))/(COUNTIFS('1_바디시그널'!$AD$5:$AD$36,"EDU",'1_바디시그널'!$AW$5:$AW$36,"&gt;=1")+COUNTIFS('2_개행동'!$AD$5:$AD$26,"EDU",'2_개행동'!$AW$5:$AW$26,"&gt;=1")+COUNTIFS('3_보호자행동'!$AD$5:$AD$35,"EDU",'3_보호자행동'!$AW$5:$AW$35,"&gt;=1")),2))</f>
        <v/>
      </c>
      <c r="F24" s="49">
        <f>IF((COUNTIFS('1_바디시그널'!$AD$5:$AD$36,"EDU",'1_바디시그널'!$AW$5:$AW$36,"&gt;=1")+COUNTIFS('2_개행동'!$AD$5:$AD$26,"EDU",'2_개행동'!$AW$5:$AW$26,"&gt;=1")+COUNTIFS('3_보호자행동'!$AD$5:$AD$35,"EDU",'3_보호자행동'!$AW$5:$AW$35,"&gt;=1"))=0,"",IF((SUMIFS('1_바디시그널'!$AW$5:$AW$36,'1_바디시그널'!$AD$5:$AD$36,"EDU",'1_바디시그널'!$BQ$5:$BQ$36,"A")+SUMIFS('2_개행동'!$AW$5:$AW$26,'2_개행동'!$AD$5:$AD$26,"EDU",'2_개행동'!$BQ$5:$BQ$26,"A")+SUMIFS('3_보호자행동'!$AW$5:$AW$35,'3_보호자행동'!$AD$5:$AD$35,"EDU",'3_보호자행동'!$BQ$5:$BQ$35,"A"))&gt;(SUMIFS('1_바디시그널'!$AW$5:$AW$36,'1_바디시그널'!$AD$5:$AD$36,"EDU",'1_바디시그널'!$BQ$5:$BQ$36,"B")+SUMIFS('2_개행동'!$AW$5:$AW$26,'2_개행동'!$AD$5:$AD$26,"EDU",'2_개행동'!$BQ$5:$BQ$26,"B")+SUMIFS('3_보호자행동'!$AW$5:$AW$35,'3_보호자행동'!$AD$5:$AD$35,"EDU",'3_보호자행동'!$BQ$5:$BQ$35,"B")),"A",IF((SUMIFS('1_바디시그널'!$AW$5:$AW$36,'1_바디시그널'!$AD$5:$AD$36,"EDU",'1_바디시그널'!$BQ$5:$BQ$36,"B")+SUMIFS('2_개행동'!$AW$5:$AW$26,'2_개행동'!$AD$5:$AD$26,"EDU",'2_개행동'!$BQ$5:$BQ$26,"B")+SUMIFS('3_보호자행동'!$AW$5:$AW$35,'3_보호자행동'!$AD$5:$AD$35,"EDU",'3_보호자행동'!$BQ$5:$BQ$35,"B"))&gt;(SUMIFS('1_바디시그널'!$AW$5:$AW$36,'1_바디시그널'!$AD$5:$AD$36,"EDU",'1_바디시그널'!$BQ$5:$BQ$36,"A")+SUMIFS('2_개행동'!$AW$5:$AW$26,'2_개행동'!$AD$5:$AD$26,"EDU",'2_개행동'!$BQ$5:$BQ$26,"A")+SUMIFS('3_보호자행동'!$AW$5:$AW$35,'3_보호자행동'!$AD$5:$AD$35,"EDU",'3_보호자행동'!$BQ$5:$BQ$35,"A")),"B","-")))</f>
        <v/>
      </c>
      <c r="G24" s="49">
        <f>IF((COUNTIFS('1_바디시그널'!$AD$5:$AD$36,"SOC_P",'1_바디시그널'!$AW$5:$AW$36,"&gt;=1")+COUNTIFS('2_개행동'!$AD$5:$AD$26,"SOC_P",'2_개행동'!$AW$5:$AW$26,"&gt;=1")+COUNTIFS('3_보호자행동'!$AD$5:$AD$35,"SOC_P",'3_보호자행동'!$AW$5:$AW$35,"&gt;=1"))=0,"",MAX(_xlfn.MAXIFS('1_바디시그널'!$AW$5:$AW$36,'1_바디시그널'!$AD$5:$AD$36,"SOC_P"),_xlfn.MAXIFS('2_개행동'!$AW$5:$AW$26,'2_개행동'!$AD$5:$AD$26,"SOC_P"),_xlfn.MAXIFS('3_보호자행동'!$AW$5:$AW$35,'3_보호자행동'!$AD$5:$AD$35,"SOC_P")))</f>
        <v/>
      </c>
      <c r="H24" s="49">
        <f>IF((COUNTIFS('1_바디시그널'!$AD$5:$AD$36,"SOC_P",'1_바디시그널'!$AW$5:$AW$36,"&gt;=1")+COUNTIFS('2_개행동'!$AD$5:$AD$26,"SOC_P",'2_개행동'!$AW$5:$AW$26,"&gt;=1")+COUNTIFS('3_보호자행동'!$AD$5:$AD$35,"SOC_P",'3_보호자행동'!$AW$5:$AW$35,"&gt;=1"))=0,"",ROUND((SUMIFS('1_바디시그널'!$AW$5:$AW$36,'1_바디시그널'!$AD$5:$AD$36,"SOC_P",'1_바디시그널'!$AW$5:$AW$36,"&gt;=1")+SUMIFS('2_개행동'!$AW$5:$AW$26,'2_개행동'!$AD$5:$AD$26,"SOC_P",'2_개행동'!$AW$5:$AW$26,"&gt;=1")+SUMIFS('3_보호자행동'!$AW$5:$AW$35,'3_보호자행동'!$AD$5:$AD$35,"SOC_P",'3_보호자행동'!$AW$5:$AW$35,"&gt;=1"))/(COUNTIFS('1_바디시그널'!$AD$5:$AD$36,"SOC_P",'1_바디시그널'!$AW$5:$AW$36,"&gt;=1")+COUNTIFS('2_개행동'!$AD$5:$AD$26,"SOC_P",'2_개행동'!$AW$5:$AW$26,"&gt;=1")+COUNTIFS('3_보호자행동'!$AD$5:$AD$35,"SOC_P",'3_보호자행동'!$AW$5:$AW$35,"&gt;=1")),2))</f>
        <v/>
      </c>
      <c r="I24" s="49">
        <f>IF((COUNTIFS('1_바디시그널'!$AD$5:$AD$36,"SOC_P",'1_바디시그널'!$AW$5:$AW$36,"&gt;=1")+COUNTIFS('2_개행동'!$AD$5:$AD$26,"SOC_P",'2_개행동'!$AW$5:$AW$26,"&gt;=1")+COUNTIFS('3_보호자행동'!$AD$5:$AD$35,"SOC_P",'3_보호자행동'!$AW$5:$AW$35,"&gt;=1"))=0,"",IF((SUMIFS('1_바디시그널'!$AW$5:$AW$36,'1_바디시그널'!$AD$5:$AD$36,"SOC_P",'1_바디시그널'!$BQ$5:$BQ$36,"A")+SUMIFS('2_개행동'!$AW$5:$AW$26,'2_개행동'!$AD$5:$AD$26,"SOC_P",'2_개행동'!$BQ$5:$BQ$26,"A")+SUMIFS('3_보호자행동'!$AW$5:$AW$35,'3_보호자행동'!$AD$5:$AD$35,"SOC_P",'3_보호자행동'!$BQ$5:$BQ$35,"A"))&gt;(SUMIFS('1_바디시그널'!$AW$5:$AW$36,'1_바디시그널'!$AD$5:$AD$36,"SOC_P",'1_바디시그널'!$BQ$5:$BQ$36,"B")+SUMIFS('2_개행동'!$AW$5:$AW$26,'2_개행동'!$AD$5:$AD$26,"SOC_P",'2_개행동'!$BQ$5:$BQ$26,"B")+SUMIFS('3_보호자행동'!$AW$5:$AW$35,'3_보호자행동'!$AD$5:$AD$35,"SOC_P",'3_보호자행동'!$BQ$5:$BQ$35,"B")),"A",IF((SUMIFS('1_바디시그널'!$AW$5:$AW$36,'1_바디시그널'!$AD$5:$AD$36,"SOC_P",'1_바디시그널'!$BQ$5:$BQ$36,"B")+SUMIFS('2_개행동'!$AW$5:$AW$26,'2_개행동'!$AD$5:$AD$26,"SOC_P",'2_개행동'!$BQ$5:$BQ$26,"B")+SUMIFS('3_보호자행동'!$AW$5:$AW$35,'3_보호자행동'!$AD$5:$AD$35,"SOC_P",'3_보호자행동'!$BQ$5:$BQ$35,"B"))&gt;(SUMIFS('1_바디시그널'!$AW$5:$AW$36,'1_바디시그널'!$AD$5:$AD$36,"SOC_P",'1_바디시그널'!$BQ$5:$BQ$36,"A")+SUMIFS('2_개행동'!$AW$5:$AW$26,'2_개행동'!$AD$5:$AD$26,"SOC_P",'2_개행동'!$BQ$5:$BQ$26,"A")+SUMIFS('3_보호자행동'!$AW$5:$AW$35,'3_보호자행동'!$AD$5:$AD$35,"SOC_P",'3_보호자행동'!$BQ$5:$BQ$35,"A")),"B","-")))</f>
        <v/>
      </c>
      <c r="J24" s="49">
        <f>IF((COUNTIFS('1_바디시그널'!$AD$5:$AD$36,"SOC_D",'1_바디시그널'!$AW$5:$AW$36,"&gt;=1")+COUNTIFS('2_개행동'!$AD$5:$AD$26,"SOC_D",'2_개행동'!$AW$5:$AW$26,"&gt;=1")+COUNTIFS('3_보호자행동'!$AD$5:$AD$35,"SOC_D",'3_보호자행동'!$AW$5:$AW$35,"&gt;=1"))=0,"",MAX(_xlfn.MAXIFS('1_바디시그널'!$AW$5:$AW$36,'1_바디시그널'!$AD$5:$AD$36,"SOC_D"),_xlfn.MAXIFS('2_개행동'!$AW$5:$AW$26,'2_개행동'!$AD$5:$AD$26,"SOC_D"),_xlfn.MAXIFS('3_보호자행동'!$AW$5:$AW$35,'3_보호자행동'!$AD$5:$AD$35,"SOC_D")))</f>
        <v/>
      </c>
      <c r="K24" s="49">
        <f>IF((COUNTIFS('1_바디시그널'!$AD$5:$AD$36,"SOC_D",'1_바디시그널'!$AW$5:$AW$36,"&gt;=1")+COUNTIFS('2_개행동'!$AD$5:$AD$26,"SOC_D",'2_개행동'!$AW$5:$AW$26,"&gt;=1")+COUNTIFS('3_보호자행동'!$AD$5:$AD$35,"SOC_D",'3_보호자행동'!$AW$5:$AW$35,"&gt;=1"))=0,"",ROUND((SUMIFS('1_바디시그널'!$AW$5:$AW$36,'1_바디시그널'!$AD$5:$AD$36,"SOC_D",'1_바디시그널'!$AW$5:$AW$36,"&gt;=1")+SUMIFS('2_개행동'!$AW$5:$AW$26,'2_개행동'!$AD$5:$AD$26,"SOC_D",'2_개행동'!$AW$5:$AW$26,"&gt;=1")+SUMIFS('3_보호자행동'!$AW$5:$AW$35,'3_보호자행동'!$AD$5:$AD$35,"SOC_D",'3_보호자행동'!$AW$5:$AW$35,"&gt;=1"))/(COUNTIFS('1_바디시그널'!$AD$5:$AD$36,"SOC_D",'1_바디시그널'!$AW$5:$AW$36,"&gt;=1")+COUNTIFS('2_개행동'!$AD$5:$AD$26,"SOC_D",'2_개행동'!$AW$5:$AW$26,"&gt;=1")+COUNTIFS('3_보호자행동'!$AD$5:$AD$35,"SOC_D",'3_보호자행동'!$AW$5:$AW$35,"&gt;=1")),2))</f>
        <v/>
      </c>
      <c r="L24" s="49">
        <f>IF((COUNTIFS('1_바디시그널'!$AD$5:$AD$36,"SOC_D",'1_바디시그널'!$AW$5:$AW$36,"&gt;=1")+COUNTIFS('2_개행동'!$AD$5:$AD$26,"SOC_D",'2_개행동'!$AW$5:$AW$26,"&gt;=1")+COUNTIFS('3_보호자행동'!$AD$5:$AD$35,"SOC_D",'3_보호자행동'!$AW$5:$AW$35,"&gt;=1"))=0,"",IF((SUMIFS('1_바디시그널'!$AW$5:$AW$36,'1_바디시그널'!$AD$5:$AD$36,"SOC_D",'1_바디시그널'!$BQ$5:$BQ$36,"A")+SUMIFS('2_개행동'!$AW$5:$AW$26,'2_개행동'!$AD$5:$AD$26,"SOC_D",'2_개행동'!$BQ$5:$BQ$26,"A")+SUMIFS('3_보호자행동'!$AW$5:$AW$35,'3_보호자행동'!$AD$5:$AD$35,"SOC_D",'3_보호자행동'!$BQ$5:$BQ$35,"A"))&gt;(SUMIFS('1_바디시그널'!$AW$5:$AW$36,'1_바디시그널'!$AD$5:$AD$36,"SOC_D",'1_바디시그널'!$BQ$5:$BQ$36,"B")+SUMIFS('2_개행동'!$AW$5:$AW$26,'2_개행동'!$AD$5:$AD$26,"SOC_D",'2_개행동'!$BQ$5:$BQ$26,"B")+SUMIFS('3_보호자행동'!$AW$5:$AW$35,'3_보호자행동'!$AD$5:$AD$35,"SOC_D",'3_보호자행동'!$BQ$5:$BQ$35,"B")),"A",IF((SUMIFS('1_바디시그널'!$AW$5:$AW$36,'1_바디시그널'!$AD$5:$AD$36,"SOC_D",'1_바디시그널'!$BQ$5:$BQ$36,"B")+SUMIFS('2_개행동'!$AW$5:$AW$26,'2_개행동'!$AD$5:$AD$26,"SOC_D",'2_개행동'!$BQ$5:$BQ$26,"B")+SUMIFS('3_보호자행동'!$AW$5:$AW$35,'3_보호자행동'!$AD$5:$AD$35,"SOC_D",'3_보호자행동'!$BQ$5:$BQ$35,"B"))&gt;(SUMIFS('1_바디시그널'!$AW$5:$AW$36,'1_바디시그널'!$AD$5:$AD$36,"SOC_D",'1_바디시그널'!$BQ$5:$BQ$36,"A")+SUMIFS('2_개행동'!$AW$5:$AW$26,'2_개행동'!$AD$5:$AD$26,"SOC_D",'2_개행동'!$BQ$5:$BQ$26,"A")+SUMIFS('3_보호자행동'!$AW$5:$AW$35,'3_보호자행동'!$AD$5:$AD$35,"SOC_D",'3_보호자행동'!$BQ$5:$BQ$35,"A")),"B","-")))</f>
        <v/>
      </c>
      <c r="M24" s="49">
        <f>IF((COUNTIFS('1_바디시그널'!$AD$5:$AD$36,"SOC_E",'1_바디시그널'!$AW$5:$AW$36,"&gt;=1")+COUNTIFS('2_개행동'!$AD$5:$AD$26,"SOC_E",'2_개행동'!$AW$5:$AW$26,"&gt;=1")+COUNTIFS('3_보호자행동'!$AD$5:$AD$35,"SOC_E",'3_보호자행동'!$AW$5:$AW$35,"&gt;=1"))=0,"",MAX(_xlfn.MAXIFS('1_바디시그널'!$AW$5:$AW$36,'1_바디시그널'!$AD$5:$AD$36,"SOC_E"),_xlfn.MAXIFS('2_개행동'!$AW$5:$AW$26,'2_개행동'!$AD$5:$AD$26,"SOC_E"),_xlfn.MAXIFS('3_보호자행동'!$AW$5:$AW$35,'3_보호자행동'!$AD$5:$AD$35,"SOC_E")))</f>
        <v/>
      </c>
      <c r="N24" s="49">
        <f>IF((COUNTIFS('1_바디시그널'!$AD$5:$AD$36,"SOC_E",'1_바디시그널'!$AW$5:$AW$36,"&gt;=1")+COUNTIFS('2_개행동'!$AD$5:$AD$26,"SOC_E",'2_개행동'!$AW$5:$AW$26,"&gt;=1")+COUNTIFS('3_보호자행동'!$AD$5:$AD$35,"SOC_E",'3_보호자행동'!$AW$5:$AW$35,"&gt;=1"))=0,"",ROUND((SUMIFS('1_바디시그널'!$AW$5:$AW$36,'1_바디시그널'!$AD$5:$AD$36,"SOC_E",'1_바디시그널'!$AW$5:$AW$36,"&gt;=1")+SUMIFS('2_개행동'!$AW$5:$AW$26,'2_개행동'!$AD$5:$AD$26,"SOC_E",'2_개행동'!$AW$5:$AW$26,"&gt;=1")+SUMIFS('3_보호자행동'!$AW$5:$AW$35,'3_보호자행동'!$AD$5:$AD$35,"SOC_E",'3_보호자행동'!$AW$5:$AW$35,"&gt;=1"))/(COUNTIFS('1_바디시그널'!$AD$5:$AD$36,"SOC_E",'1_바디시그널'!$AW$5:$AW$36,"&gt;=1")+COUNTIFS('2_개행동'!$AD$5:$AD$26,"SOC_E",'2_개행동'!$AW$5:$AW$26,"&gt;=1")+COUNTIFS('3_보호자행동'!$AD$5:$AD$35,"SOC_E",'3_보호자행동'!$AW$5:$AW$35,"&gt;=1")),2))</f>
        <v/>
      </c>
      <c r="O24" s="49">
        <f>IF((COUNTIFS('1_바디시그널'!$AD$5:$AD$36,"SOC_E",'1_바디시그널'!$AW$5:$AW$36,"&gt;=1")+COUNTIFS('2_개행동'!$AD$5:$AD$26,"SOC_E",'2_개행동'!$AW$5:$AW$26,"&gt;=1")+COUNTIFS('3_보호자행동'!$AD$5:$AD$35,"SOC_E",'3_보호자행동'!$AW$5:$AW$35,"&gt;=1"))=0,"",IF((SUMIFS('1_바디시그널'!$AW$5:$AW$36,'1_바디시그널'!$AD$5:$AD$36,"SOC_E",'1_바디시그널'!$BQ$5:$BQ$36,"A")+SUMIFS('2_개행동'!$AW$5:$AW$26,'2_개행동'!$AD$5:$AD$26,"SOC_E",'2_개행동'!$BQ$5:$BQ$26,"A")+SUMIFS('3_보호자행동'!$AW$5:$AW$35,'3_보호자행동'!$AD$5:$AD$35,"SOC_E",'3_보호자행동'!$BQ$5:$BQ$35,"A"))&gt;(SUMIFS('1_바디시그널'!$AW$5:$AW$36,'1_바디시그널'!$AD$5:$AD$36,"SOC_E",'1_바디시그널'!$BQ$5:$BQ$36,"B")+SUMIFS('2_개행동'!$AW$5:$AW$26,'2_개행동'!$AD$5:$AD$26,"SOC_E",'2_개행동'!$BQ$5:$BQ$26,"B")+SUMIFS('3_보호자행동'!$AW$5:$AW$35,'3_보호자행동'!$AD$5:$AD$35,"SOC_E",'3_보호자행동'!$BQ$5:$BQ$35,"B")),"A",IF((SUMIFS('1_바디시그널'!$AW$5:$AW$36,'1_바디시그널'!$AD$5:$AD$36,"SOC_E",'1_바디시그널'!$BQ$5:$BQ$36,"B")+SUMIFS('2_개행동'!$AW$5:$AW$26,'2_개행동'!$AD$5:$AD$26,"SOC_E",'2_개행동'!$BQ$5:$BQ$26,"B")+SUMIFS('3_보호자행동'!$AW$5:$AW$35,'3_보호자행동'!$AD$5:$AD$35,"SOC_E",'3_보호자행동'!$BQ$5:$BQ$35,"B"))&gt;(SUMIFS('1_바디시그널'!$AW$5:$AW$36,'1_바디시그널'!$AD$5:$AD$36,"SOC_E",'1_바디시그널'!$BQ$5:$BQ$36,"A")+SUMIFS('2_개행동'!$AW$5:$AW$26,'2_개행동'!$AD$5:$AD$26,"SOC_E",'2_개행동'!$BQ$5:$BQ$26,"A")+SUMIFS('3_보호자행동'!$AW$5:$AW$35,'3_보호자행동'!$AD$5:$AD$35,"SOC_E",'3_보호자행동'!$BQ$5:$BQ$35,"A")),"B","-")))</f>
        <v/>
      </c>
      <c r="P24" s="49">
        <f>IF((COUNTIFS('1_바디시그널'!$AD$5:$AD$36,"ATT",'1_바디시그널'!$AW$5:$AW$36,"&gt;=1")+COUNTIFS('2_개행동'!$AD$5:$AD$26,"ATT",'2_개행동'!$AW$5:$AW$26,"&gt;=1")+COUNTIFS('3_보호자행동'!$AD$5:$AD$35,"ATT",'3_보호자행동'!$AW$5:$AW$35,"&gt;=1"))=0,"",MAX(_xlfn.MAXIFS('1_바디시그널'!$AW$5:$AW$36,'1_바디시그널'!$AD$5:$AD$36,"ATT"),_xlfn.MAXIFS('2_개행동'!$AW$5:$AW$26,'2_개행동'!$AD$5:$AD$26,"ATT"),_xlfn.MAXIFS('3_보호자행동'!$AW$5:$AW$35,'3_보호자행동'!$AD$5:$AD$35,"ATT")))</f>
        <v/>
      </c>
      <c r="Q24" s="49">
        <f>IF((COUNTIFS('1_바디시그널'!$AD$5:$AD$36,"ATT",'1_바디시그널'!$AW$5:$AW$36,"&gt;=1")+COUNTIFS('2_개행동'!$AD$5:$AD$26,"ATT",'2_개행동'!$AW$5:$AW$26,"&gt;=1")+COUNTIFS('3_보호자행동'!$AD$5:$AD$35,"ATT",'3_보호자행동'!$AW$5:$AW$35,"&gt;=1"))=0,"",ROUND((SUMIFS('1_바디시그널'!$AW$5:$AW$36,'1_바디시그널'!$AD$5:$AD$36,"ATT",'1_바디시그널'!$AW$5:$AW$36,"&gt;=1")+SUMIFS('2_개행동'!$AW$5:$AW$26,'2_개행동'!$AD$5:$AD$26,"ATT",'2_개행동'!$AW$5:$AW$26,"&gt;=1")+SUMIFS('3_보호자행동'!$AW$5:$AW$35,'3_보호자행동'!$AD$5:$AD$35,"ATT",'3_보호자행동'!$AW$5:$AW$35,"&gt;=1"))/(COUNTIFS('1_바디시그널'!$AD$5:$AD$36,"ATT",'1_바디시그널'!$AW$5:$AW$36,"&gt;=1")+COUNTIFS('2_개행동'!$AD$5:$AD$26,"ATT",'2_개행동'!$AW$5:$AW$26,"&gt;=1")+COUNTIFS('3_보호자행동'!$AD$5:$AD$35,"ATT",'3_보호자행동'!$AW$5:$AW$35,"&gt;=1")),2))</f>
        <v/>
      </c>
      <c r="R24" s="49">
        <f>IF((COUNTIFS('1_바디시그널'!$AD$5:$AD$36,"ATT",'1_바디시그널'!$AW$5:$AW$36,"&gt;=1")+COUNTIFS('2_개행동'!$AD$5:$AD$26,"ATT",'2_개행동'!$AW$5:$AW$26,"&gt;=1")+COUNTIFS('3_보호자행동'!$AD$5:$AD$35,"ATT",'3_보호자행동'!$AW$5:$AW$35,"&gt;=1"))=0,"",IF((SUMIFS('1_바디시그널'!$AW$5:$AW$36,'1_바디시그널'!$AD$5:$AD$36,"ATT",'1_바디시그널'!$BQ$5:$BQ$36,"A")+SUMIFS('2_개행동'!$AW$5:$AW$26,'2_개행동'!$AD$5:$AD$26,"ATT",'2_개행동'!$BQ$5:$BQ$26,"A")+SUMIFS('3_보호자행동'!$AW$5:$AW$35,'3_보호자행동'!$AD$5:$AD$35,"ATT",'3_보호자행동'!$BQ$5:$BQ$35,"A"))&gt;(SUMIFS('1_바디시그널'!$AW$5:$AW$36,'1_바디시그널'!$AD$5:$AD$36,"ATT",'1_바디시그널'!$BQ$5:$BQ$36,"B")+SUMIFS('2_개행동'!$AW$5:$AW$26,'2_개행동'!$AD$5:$AD$26,"ATT",'2_개행동'!$BQ$5:$BQ$26,"B")+SUMIFS('3_보호자행동'!$AW$5:$AW$35,'3_보호자행동'!$AD$5:$AD$35,"ATT",'3_보호자행동'!$BQ$5:$BQ$35,"B")),"A",IF((SUMIFS('1_바디시그널'!$AW$5:$AW$36,'1_바디시그널'!$AD$5:$AD$36,"ATT",'1_바디시그널'!$BQ$5:$BQ$36,"B")+SUMIFS('2_개행동'!$AW$5:$AW$26,'2_개행동'!$AD$5:$AD$26,"ATT",'2_개행동'!$BQ$5:$BQ$26,"B")+SUMIFS('3_보호자행동'!$AW$5:$AW$35,'3_보호자행동'!$AD$5:$AD$35,"ATT",'3_보호자행동'!$BQ$5:$BQ$35,"B"))&gt;(SUMIFS('1_바디시그널'!$AW$5:$AW$36,'1_바디시그널'!$AD$5:$AD$36,"ATT",'1_바디시그널'!$BQ$5:$BQ$36,"A")+SUMIFS('2_개행동'!$AW$5:$AW$26,'2_개행동'!$AD$5:$AD$26,"ATT",'2_개행동'!$BQ$5:$BQ$26,"A")+SUMIFS('3_보호자행동'!$AW$5:$AW$35,'3_보호자행동'!$AD$5:$AD$35,"ATT",'3_보호자행동'!$BQ$5:$BQ$35,"A")),"B","-")))</f>
        <v/>
      </c>
      <c r="S24" s="49">
        <f>IF((COUNTIFS('1_바디시그널'!$AD$5:$AD$36,"CON",'1_바디시그널'!$AW$5:$AW$36,"&gt;=1")+COUNTIFS('2_개행동'!$AD$5:$AD$26,"CON",'2_개행동'!$AW$5:$AW$26,"&gt;=1")+COUNTIFS('3_보호자행동'!$AD$5:$AD$35,"CON",'3_보호자행동'!$AW$5:$AW$35,"&gt;=1"))=0,"",MAX(_xlfn.MAXIFS('1_바디시그널'!$AW$5:$AW$36,'1_바디시그널'!$AD$5:$AD$36,"CON"),_xlfn.MAXIFS('2_개행동'!$AW$5:$AW$26,'2_개행동'!$AD$5:$AD$26,"CON"),_xlfn.MAXIFS('3_보호자행동'!$AW$5:$AW$35,'3_보호자행동'!$AD$5:$AD$35,"CON")))</f>
        <v/>
      </c>
      <c r="T24" s="49">
        <f>IF((COUNTIFS('1_바디시그널'!$AD$5:$AD$36,"CON",'1_바디시그널'!$AW$5:$AW$36,"&gt;=1")+COUNTIFS('2_개행동'!$AD$5:$AD$26,"CON",'2_개행동'!$AW$5:$AW$26,"&gt;=1")+COUNTIFS('3_보호자행동'!$AD$5:$AD$35,"CON",'3_보호자행동'!$AW$5:$AW$35,"&gt;=1"))=0,"",ROUND((SUMIFS('1_바디시그널'!$AW$5:$AW$36,'1_바디시그널'!$AD$5:$AD$36,"CON",'1_바디시그널'!$AW$5:$AW$36,"&gt;=1")+SUMIFS('2_개행동'!$AW$5:$AW$26,'2_개행동'!$AD$5:$AD$26,"CON",'2_개행동'!$AW$5:$AW$26,"&gt;=1")+SUMIFS('3_보호자행동'!$AW$5:$AW$35,'3_보호자행동'!$AD$5:$AD$35,"CON",'3_보호자행동'!$AW$5:$AW$35,"&gt;=1"))/(COUNTIFS('1_바디시그널'!$AD$5:$AD$36,"CON",'1_바디시그널'!$AW$5:$AW$36,"&gt;=1")+COUNTIFS('2_개행동'!$AD$5:$AD$26,"CON",'2_개행동'!$AW$5:$AW$26,"&gt;=1")+COUNTIFS('3_보호자행동'!$AD$5:$AD$35,"CON",'3_보호자행동'!$AW$5:$AW$35,"&gt;=1")),2))</f>
        <v/>
      </c>
      <c r="U24" s="49">
        <f>IF((COUNTIFS('1_바디시그널'!$AD$5:$AD$36,"CON",'1_바디시그널'!$AW$5:$AW$36,"&gt;=1")+COUNTIFS('2_개행동'!$AD$5:$AD$26,"CON",'2_개행동'!$AW$5:$AW$26,"&gt;=1")+COUNTIFS('3_보호자행동'!$AD$5:$AD$35,"CON",'3_보호자행동'!$AW$5:$AW$35,"&gt;=1"))=0,"",IF((SUMIFS('1_바디시그널'!$AW$5:$AW$36,'1_바디시그널'!$AD$5:$AD$36,"CON",'1_바디시그널'!$BQ$5:$BQ$36,"A")+SUMIFS('2_개행동'!$AW$5:$AW$26,'2_개행동'!$AD$5:$AD$26,"CON",'2_개행동'!$BQ$5:$BQ$26,"A")+SUMIFS('3_보호자행동'!$AW$5:$AW$35,'3_보호자행동'!$AD$5:$AD$35,"CON",'3_보호자행동'!$BQ$5:$BQ$35,"A"))&gt;(SUMIFS('1_바디시그널'!$AW$5:$AW$36,'1_바디시그널'!$AD$5:$AD$36,"CON",'1_바디시그널'!$BQ$5:$BQ$36,"B")+SUMIFS('2_개행동'!$AW$5:$AW$26,'2_개행동'!$AD$5:$AD$26,"CON",'2_개행동'!$BQ$5:$BQ$26,"B")+SUMIFS('3_보호자행동'!$AW$5:$AW$35,'3_보호자행동'!$AD$5:$AD$35,"CON",'3_보호자행동'!$BQ$5:$BQ$35,"B")),"A",IF((SUMIFS('1_바디시그널'!$AW$5:$AW$36,'1_바디시그널'!$AD$5:$AD$36,"CON",'1_바디시그널'!$BQ$5:$BQ$36,"B")+SUMIFS('2_개행동'!$AW$5:$AW$26,'2_개행동'!$AD$5:$AD$26,"CON",'2_개행동'!$BQ$5:$BQ$26,"B")+SUMIFS('3_보호자행동'!$AW$5:$AW$35,'3_보호자행동'!$AD$5:$AD$35,"CON",'3_보호자행동'!$BQ$5:$BQ$35,"B"))&gt;(SUMIFS('1_바디시그널'!$AW$5:$AW$36,'1_바디시그널'!$AD$5:$AD$36,"CON",'1_바디시그널'!$BQ$5:$BQ$36,"A")+SUMIFS('2_개행동'!$AW$5:$AW$26,'2_개행동'!$AD$5:$AD$26,"CON",'2_개행동'!$BQ$5:$BQ$26,"A")+SUMIFS('3_보호자행동'!$AW$5:$AW$35,'3_보호자행동'!$AD$5:$AD$35,"CON",'3_보호자행동'!$BQ$5:$BQ$35,"A")),"B","-")))</f>
        <v/>
      </c>
      <c r="V24" s="48">
        <f>IF(COUNT(X24:AA24)=0,"",ROUND(MAX(X24:AA24)-MIN(X24:AA24),2))</f>
        <v/>
      </c>
      <c r="W24" s="47" t="n"/>
      <c r="X24" s="49">
        <f>IFERROR(SUMIFS('3_보호자행동'!$AW$5:$AW$35,'3_보호자행동'!$A$5:$A$35,"입장",'3_보호자행동'!$AW$5:$AW$35,"&gt;=1")/COUNTIFS('3_보호자행동'!$A$5:$A$35,"입장",'3_보호자행동'!$AW$5:$AW$35,"&gt;=1"),"")</f>
        <v/>
      </c>
      <c r="Y24" s="49">
        <f>IFERROR(SUMIFS('3_보호자행동'!$AW$5:$AW$35,'3_보호자행동'!$A$5:$A$35,"분리",'3_보호자행동'!$AW$5:$AW$35,"&gt;=1")/COUNTIFS('3_보호자행동'!$A$5:$A$35,"분리",'3_보호자행동'!$AW$5:$AW$35,"&gt;=1"),"")</f>
        <v/>
      </c>
      <c r="Z24" s="49">
        <f>IFERROR(SUMIFS('3_보호자행동'!$AW$5:$AW$35,'3_보호자행동'!$A$5:$A$35,"훈련",'3_보호자행동'!$AW$5:$AW$35,"&gt;=1")/COUNTIFS('3_보호자행동'!$A$5:$A$35,"훈련",'3_보호자행동'!$AW$5:$AW$35,"&gt;=1"),"")</f>
        <v/>
      </c>
      <c r="AA24" s="49">
        <f>IFERROR(SUMIFS('3_보호자행동'!$AW$5:$AW$35,'3_보호자행동'!$A$5:$A$35,"놀이",'3_보호자행동'!$AW$5:$AW$35,"&gt;=1")/COUNTIFS('3_보호자행동'!$A$5:$A$35,"놀이",'3_보호자행동'!$AW$5:$AW$35,"&gt;=1"),"")</f>
        <v/>
      </c>
      <c r="AB24">
        <f>IF((COUNTIFS('1_바디시그널'!$AD$5:$AD$36,"TRN",'1_바디시그널'!$AW$5:$AW$36,"&gt;=1")+COUNTIFS('2_개행동'!$AD$5:$AD$26,"TRN",'2_개행동'!$AW$5:$AW$26,"&gt;=1")+COUNTIFS('3_보호자행동'!$AD$5:$AD$35,"TRN",'3_보호자행동'!$AW$5:$AW$35,"&gt;=1"))=0,"",MAX(_xlfn.MAXIFS('1_바디시그널'!$AW$5:$AW$36,'1_바디시그널'!$AD$5:$AD$36,"TRN"),_xlfn.MAXIFS('2_개행동'!$AW$5:$AW$26,'2_개행동'!$AD$5:$AD$26,"TRN"),_xlfn.MAXIFS('3_보호자행동'!$AW$5:$AW$35,'3_보호자행동'!$AD$5:$AD$35,"TRN")))</f>
        <v/>
      </c>
      <c r="AC24">
        <f>IF((COUNTIFS('1_바디시그널'!$AD$5:$AD$36,"TRN",'1_바디시그널'!$AW$5:$AW$36,"&gt;=1")+COUNTIFS('2_개행동'!$AD$5:$AD$26,"TRN",'2_개행동'!$AW$5:$AW$26,"&gt;=1")+COUNTIFS('3_보호자행동'!$AD$5:$AD$35,"TRN",'3_보호자행동'!$AW$5:$AW$35,"&gt;=1"))=0,"",ROUND((SUMIFS('1_바디시그널'!$AW$5:$AW$36,'1_바디시그널'!$AD$5:$AD$36,"TRN",'1_바디시그널'!$AW$5:$AW$36,"&gt;=1")+SUMIFS('2_개행동'!$AW$5:$AW$26,'2_개행동'!$AD$5:$AD$26,"TRN",'2_개행동'!$AW$5:$AW$26,"&gt;=1")+SUMIFS('3_보호자행동'!$AW$5:$AW$35,'3_보호자행동'!$AD$5:$AD$35,"TRN",'3_보호자행동'!$AW$5:$AW$35,"&gt;=1"))/(COUNTIFS('1_바디시그널'!$AD$5:$AD$36,"TRN",'1_바디시그널'!$AW$5:$AW$36,"&gt;=1")+COUNTIFS('2_개행동'!$AD$5:$AD$26,"TRN",'2_개행동'!$AW$5:$AW$26,"&gt;=1")+COUNTIFS('3_보호자행동'!$AD$5:$AD$35,"TRN",'3_보호자행동'!$AW$5:$AW$35,"&gt;=1")),2))</f>
        <v/>
      </c>
      <c r="AD24">
        <f>IF((COUNTIFS('1_바디시그널'!$AD$5:$AD$36,"TRN",'1_바디시그널'!$AW$5:$AW$36,"&gt;=1")+COUNTIFS('2_개행동'!$AD$5:$AD$26,"TRN",'2_개행동'!$AW$5:$AW$26,"&gt;=1")+COUNTIFS('3_보호자행동'!$AD$5:$AD$35,"TRN",'3_보호자행동'!$AW$5:$AW$35,"&gt;=1"))=0,"",IF((SUMIFS('1_바디시그널'!$AW$5:$AW$36,'1_바디시그널'!$AD$5:$AD$36,"TRN",'1_바디시그널'!$BQ$5:$BQ$36,"A")+SUMIFS('2_개행동'!$AW$5:$AW$26,'2_개행동'!$AD$5:$AD$26,"TRN",'2_개행동'!$BQ$5:$BQ$26,"A")+SUMIFS('3_보호자행동'!$AW$5:$AW$35,'3_보호자행동'!$AD$5:$AD$35,"TRN",'3_보호자행동'!$BQ$5:$BQ$35,"A"))&gt;(SUMIFS('1_바디시그널'!$AW$5:$AW$36,'1_바디시그널'!$AD$5:$AD$36,"TRN",'1_바디시그널'!$BQ$5:$BQ$36,"B")+SUMIFS('2_개행동'!$AW$5:$AW$26,'2_개행동'!$AD$5:$AD$26,"TRN",'2_개행동'!$BQ$5:$BQ$26,"B")+SUMIFS('3_보호자행동'!$AW$5:$AW$35,'3_보호자행동'!$AD$5:$AD$35,"TRN",'3_보호자행동'!$BQ$5:$BQ$35,"B")),"A",IF((SUMIFS('1_바디시그널'!$AW$5:$AW$36,'1_바디시그널'!$AD$5:$AD$36,"TRN",'1_바디시그널'!$BQ$5:$BQ$36,"B")+SUMIFS('2_개행동'!$AW$5:$AW$26,'2_개행동'!$AD$5:$AD$26,"TRN",'2_개행동'!$BQ$5:$BQ$26,"B")+SUMIFS('3_보호자행동'!$AW$5:$AW$35,'3_보호자행동'!$AD$5:$AD$35,"TRN",'3_보호자행동'!$BQ$5:$BQ$35,"B"))&gt;(SUMIFS('1_바디시그널'!$AW$5:$AW$36,'1_바디시그널'!$AD$5:$AD$36,"TRN",'1_바디시그널'!$BQ$5:$BQ$36,"A")+SUMIFS('2_개행동'!$AW$5:$AW$26,'2_개행동'!$AD$5:$AD$26,"TRN",'2_개행동'!$BQ$5:$BQ$26,"A")+SUMIFS('3_보호자행동'!$AW$5:$AW$35,'3_보호자행동'!$AD$5:$AD$35,"TRN",'3_보호자행동'!$BQ$5:$BQ$35,"A")),"B","-")))</f>
        <v/>
      </c>
      <c r="AE24">
        <f>IF('2_개행동'!$AB$11="","",'2_개행동'!$AB$11&amp;IF('2_개행동'!$AB$11=3," [B]",IF('2_개행동'!$AB$11=1,""," [A]")))</f>
        <v/>
      </c>
    </row>
    <row r="25" ht="18.75" customHeight="1" s="1">
      <c r="A25" s="46" t="n">
        <v>20</v>
      </c>
      <c r="B25" s="47" t="n"/>
      <c r="C25" s="47" t="n"/>
      <c r="D25" s="48">
        <f>IF((COUNTIFS('1_바디시그널'!$AD$5:$AD$36,"EDU",'1_바디시그널'!$AX$5:$AX$36,"&gt;=1")+COUNTIFS('2_개행동'!$AD$5:$AD$26,"EDU",'2_개행동'!$AX$5:$AX$26,"&gt;=1")+COUNTIFS('3_보호자행동'!$AD$5:$AD$35,"EDU",'3_보호자행동'!$AX$5:$AX$35,"&gt;=1"))=0,"",MAX(_xlfn.MAXIFS('1_바디시그널'!$AX$5:$AX$36,'1_바디시그널'!$AD$5:$AD$36,"EDU"),_xlfn.MAXIFS('2_개행동'!$AX$5:$AX$26,'2_개행동'!$AD$5:$AD$26,"EDU"),_xlfn.MAXIFS('3_보호자행동'!$AX$5:$AX$35,'3_보호자행동'!$AD$5:$AD$35,"EDU")))</f>
        <v/>
      </c>
      <c r="E25" s="49">
        <f>IF((COUNTIFS('1_바디시그널'!$AD$5:$AD$36,"EDU",'1_바디시그널'!$AX$5:$AX$36,"&gt;=1")+COUNTIFS('2_개행동'!$AD$5:$AD$26,"EDU",'2_개행동'!$AX$5:$AX$26,"&gt;=1")+COUNTIFS('3_보호자행동'!$AD$5:$AD$35,"EDU",'3_보호자행동'!$AX$5:$AX$35,"&gt;=1"))=0,"",ROUND((SUMIFS('1_바디시그널'!$AX$5:$AX$36,'1_바디시그널'!$AD$5:$AD$36,"EDU",'1_바디시그널'!$AX$5:$AX$36,"&gt;=1")+SUMIFS('2_개행동'!$AX$5:$AX$26,'2_개행동'!$AD$5:$AD$26,"EDU",'2_개행동'!$AX$5:$AX$26,"&gt;=1")+SUMIFS('3_보호자행동'!$AX$5:$AX$35,'3_보호자행동'!$AD$5:$AD$35,"EDU",'3_보호자행동'!$AX$5:$AX$35,"&gt;=1"))/(COUNTIFS('1_바디시그널'!$AD$5:$AD$36,"EDU",'1_바디시그널'!$AX$5:$AX$36,"&gt;=1")+COUNTIFS('2_개행동'!$AD$5:$AD$26,"EDU",'2_개행동'!$AX$5:$AX$26,"&gt;=1")+COUNTIFS('3_보호자행동'!$AD$5:$AD$35,"EDU",'3_보호자행동'!$AX$5:$AX$35,"&gt;=1")),2))</f>
        <v/>
      </c>
      <c r="F25" s="49">
        <f>IF((COUNTIFS('1_바디시그널'!$AD$5:$AD$36,"EDU",'1_바디시그널'!$AX$5:$AX$36,"&gt;=1")+COUNTIFS('2_개행동'!$AD$5:$AD$26,"EDU",'2_개행동'!$AX$5:$AX$26,"&gt;=1")+COUNTIFS('3_보호자행동'!$AD$5:$AD$35,"EDU",'3_보호자행동'!$AX$5:$AX$35,"&gt;=1"))=0,"",IF((SUMIFS('1_바디시그널'!$AX$5:$AX$36,'1_바디시그널'!$AD$5:$AD$36,"EDU",'1_바디시그널'!$BR$5:$BR$36,"A")+SUMIFS('2_개행동'!$AX$5:$AX$26,'2_개행동'!$AD$5:$AD$26,"EDU",'2_개행동'!$BR$5:$BR$26,"A")+SUMIFS('3_보호자행동'!$AX$5:$AX$35,'3_보호자행동'!$AD$5:$AD$35,"EDU",'3_보호자행동'!$BR$5:$BR$35,"A"))&gt;(SUMIFS('1_바디시그널'!$AX$5:$AX$36,'1_바디시그널'!$AD$5:$AD$36,"EDU",'1_바디시그널'!$BR$5:$BR$36,"B")+SUMIFS('2_개행동'!$AX$5:$AX$26,'2_개행동'!$AD$5:$AD$26,"EDU",'2_개행동'!$BR$5:$BR$26,"B")+SUMIFS('3_보호자행동'!$AX$5:$AX$35,'3_보호자행동'!$AD$5:$AD$35,"EDU",'3_보호자행동'!$BR$5:$BR$35,"B")),"A",IF((SUMIFS('1_바디시그널'!$AX$5:$AX$36,'1_바디시그널'!$AD$5:$AD$36,"EDU",'1_바디시그널'!$BR$5:$BR$36,"B")+SUMIFS('2_개행동'!$AX$5:$AX$26,'2_개행동'!$AD$5:$AD$26,"EDU",'2_개행동'!$BR$5:$BR$26,"B")+SUMIFS('3_보호자행동'!$AX$5:$AX$35,'3_보호자행동'!$AD$5:$AD$35,"EDU",'3_보호자행동'!$BR$5:$BR$35,"B"))&gt;(SUMIFS('1_바디시그널'!$AX$5:$AX$36,'1_바디시그널'!$AD$5:$AD$36,"EDU",'1_바디시그널'!$BR$5:$BR$36,"A")+SUMIFS('2_개행동'!$AX$5:$AX$26,'2_개행동'!$AD$5:$AD$26,"EDU",'2_개행동'!$BR$5:$BR$26,"A")+SUMIFS('3_보호자행동'!$AX$5:$AX$35,'3_보호자행동'!$AD$5:$AD$35,"EDU",'3_보호자행동'!$BR$5:$BR$35,"A")),"B","-")))</f>
        <v/>
      </c>
      <c r="G25" s="49">
        <f>IF((COUNTIFS('1_바디시그널'!$AD$5:$AD$36,"SOC_P",'1_바디시그널'!$AX$5:$AX$36,"&gt;=1")+COUNTIFS('2_개행동'!$AD$5:$AD$26,"SOC_P",'2_개행동'!$AX$5:$AX$26,"&gt;=1")+COUNTIFS('3_보호자행동'!$AD$5:$AD$35,"SOC_P",'3_보호자행동'!$AX$5:$AX$35,"&gt;=1"))=0,"",MAX(_xlfn.MAXIFS('1_바디시그널'!$AX$5:$AX$36,'1_바디시그널'!$AD$5:$AD$36,"SOC_P"),_xlfn.MAXIFS('2_개행동'!$AX$5:$AX$26,'2_개행동'!$AD$5:$AD$26,"SOC_P"),_xlfn.MAXIFS('3_보호자행동'!$AX$5:$AX$35,'3_보호자행동'!$AD$5:$AD$35,"SOC_P")))</f>
        <v/>
      </c>
      <c r="H25" s="49">
        <f>IF((COUNTIFS('1_바디시그널'!$AD$5:$AD$36,"SOC_P",'1_바디시그널'!$AX$5:$AX$36,"&gt;=1")+COUNTIFS('2_개행동'!$AD$5:$AD$26,"SOC_P",'2_개행동'!$AX$5:$AX$26,"&gt;=1")+COUNTIFS('3_보호자행동'!$AD$5:$AD$35,"SOC_P",'3_보호자행동'!$AX$5:$AX$35,"&gt;=1"))=0,"",ROUND((SUMIFS('1_바디시그널'!$AX$5:$AX$36,'1_바디시그널'!$AD$5:$AD$36,"SOC_P",'1_바디시그널'!$AX$5:$AX$36,"&gt;=1")+SUMIFS('2_개행동'!$AX$5:$AX$26,'2_개행동'!$AD$5:$AD$26,"SOC_P",'2_개행동'!$AX$5:$AX$26,"&gt;=1")+SUMIFS('3_보호자행동'!$AX$5:$AX$35,'3_보호자행동'!$AD$5:$AD$35,"SOC_P",'3_보호자행동'!$AX$5:$AX$35,"&gt;=1"))/(COUNTIFS('1_바디시그널'!$AD$5:$AD$36,"SOC_P",'1_바디시그널'!$AX$5:$AX$36,"&gt;=1")+COUNTIFS('2_개행동'!$AD$5:$AD$26,"SOC_P",'2_개행동'!$AX$5:$AX$26,"&gt;=1")+COUNTIFS('3_보호자행동'!$AD$5:$AD$35,"SOC_P",'3_보호자행동'!$AX$5:$AX$35,"&gt;=1")),2))</f>
        <v/>
      </c>
      <c r="I25" s="49">
        <f>IF((COUNTIFS('1_바디시그널'!$AD$5:$AD$36,"SOC_P",'1_바디시그널'!$AX$5:$AX$36,"&gt;=1")+COUNTIFS('2_개행동'!$AD$5:$AD$26,"SOC_P",'2_개행동'!$AX$5:$AX$26,"&gt;=1")+COUNTIFS('3_보호자행동'!$AD$5:$AD$35,"SOC_P",'3_보호자행동'!$AX$5:$AX$35,"&gt;=1"))=0,"",IF((SUMIFS('1_바디시그널'!$AX$5:$AX$36,'1_바디시그널'!$AD$5:$AD$36,"SOC_P",'1_바디시그널'!$BR$5:$BR$36,"A")+SUMIFS('2_개행동'!$AX$5:$AX$26,'2_개행동'!$AD$5:$AD$26,"SOC_P",'2_개행동'!$BR$5:$BR$26,"A")+SUMIFS('3_보호자행동'!$AX$5:$AX$35,'3_보호자행동'!$AD$5:$AD$35,"SOC_P",'3_보호자행동'!$BR$5:$BR$35,"A"))&gt;(SUMIFS('1_바디시그널'!$AX$5:$AX$36,'1_바디시그널'!$AD$5:$AD$36,"SOC_P",'1_바디시그널'!$BR$5:$BR$36,"B")+SUMIFS('2_개행동'!$AX$5:$AX$26,'2_개행동'!$AD$5:$AD$26,"SOC_P",'2_개행동'!$BR$5:$BR$26,"B")+SUMIFS('3_보호자행동'!$AX$5:$AX$35,'3_보호자행동'!$AD$5:$AD$35,"SOC_P",'3_보호자행동'!$BR$5:$BR$35,"B")),"A",IF((SUMIFS('1_바디시그널'!$AX$5:$AX$36,'1_바디시그널'!$AD$5:$AD$36,"SOC_P",'1_바디시그널'!$BR$5:$BR$36,"B")+SUMIFS('2_개행동'!$AX$5:$AX$26,'2_개행동'!$AD$5:$AD$26,"SOC_P",'2_개행동'!$BR$5:$BR$26,"B")+SUMIFS('3_보호자행동'!$AX$5:$AX$35,'3_보호자행동'!$AD$5:$AD$35,"SOC_P",'3_보호자행동'!$BR$5:$BR$35,"B"))&gt;(SUMIFS('1_바디시그널'!$AX$5:$AX$36,'1_바디시그널'!$AD$5:$AD$36,"SOC_P",'1_바디시그널'!$BR$5:$BR$36,"A")+SUMIFS('2_개행동'!$AX$5:$AX$26,'2_개행동'!$AD$5:$AD$26,"SOC_P",'2_개행동'!$BR$5:$BR$26,"A")+SUMIFS('3_보호자행동'!$AX$5:$AX$35,'3_보호자행동'!$AD$5:$AD$35,"SOC_P",'3_보호자행동'!$BR$5:$BR$35,"A")),"B","-")))</f>
        <v/>
      </c>
      <c r="J25" s="49">
        <f>IF((COUNTIFS('1_바디시그널'!$AD$5:$AD$36,"SOC_D",'1_바디시그널'!$AX$5:$AX$36,"&gt;=1")+COUNTIFS('2_개행동'!$AD$5:$AD$26,"SOC_D",'2_개행동'!$AX$5:$AX$26,"&gt;=1")+COUNTIFS('3_보호자행동'!$AD$5:$AD$35,"SOC_D",'3_보호자행동'!$AX$5:$AX$35,"&gt;=1"))=0,"",MAX(_xlfn.MAXIFS('1_바디시그널'!$AX$5:$AX$36,'1_바디시그널'!$AD$5:$AD$36,"SOC_D"),_xlfn.MAXIFS('2_개행동'!$AX$5:$AX$26,'2_개행동'!$AD$5:$AD$26,"SOC_D"),_xlfn.MAXIFS('3_보호자행동'!$AX$5:$AX$35,'3_보호자행동'!$AD$5:$AD$35,"SOC_D")))</f>
        <v/>
      </c>
      <c r="K25" s="49">
        <f>IF((COUNTIFS('1_바디시그널'!$AD$5:$AD$36,"SOC_D",'1_바디시그널'!$AX$5:$AX$36,"&gt;=1")+COUNTIFS('2_개행동'!$AD$5:$AD$26,"SOC_D",'2_개행동'!$AX$5:$AX$26,"&gt;=1")+COUNTIFS('3_보호자행동'!$AD$5:$AD$35,"SOC_D",'3_보호자행동'!$AX$5:$AX$35,"&gt;=1"))=0,"",ROUND((SUMIFS('1_바디시그널'!$AX$5:$AX$36,'1_바디시그널'!$AD$5:$AD$36,"SOC_D",'1_바디시그널'!$AX$5:$AX$36,"&gt;=1")+SUMIFS('2_개행동'!$AX$5:$AX$26,'2_개행동'!$AD$5:$AD$26,"SOC_D",'2_개행동'!$AX$5:$AX$26,"&gt;=1")+SUMIFS('3_보호자행동'!$AX$5:$AX$35,'3_보호자행동'!$AD$5:$AD$35,"SOC_D",'3_보호자행동'!$AX$5:$AX$35,"&gt;=1"))/(COUNTIFS('1_바디시그널'!$AD$5:$AD$36,"SOC_D",'1_바디시그널'!$AX$5:$AX$36,"&gt;=1")+COUNTIFS('2_개행동'!$AD$5:$AD$26,"SOC_D",'2_개행동'!$AX$5:$AX$26,"&gt;=1")+COUNTIFS('3_보호자행동'!$AD$5:$AD$35,"SOC_D",'3_보호자행동'!$AX$5:$AX$35,"&gt;=1")),2))</f>
        <v/>
      </c>
      <c r="L25" s="49">
        <f>IF((COUNTIFS('1_바디시그널'!$AD$5:$AD$36,"SOC_D",'1_바디시그널'!$AX$5:$AX$36,"&gt;=1")+COUNTIFS('2_개행동'!$AD$5:$AD$26,"SOC_D",'2_개행동'!$AX$5:$AX$26,"&gt;=1")+COUNTIFS('3_보호자행동'!$AD$5:$AD$35,"SOC_D",'3_보호자행동'!$AX$5:$AX$35,"&gt;=1"))=0,"",IF((SUMIFS('1_바디시그널'!$AX$5:$AX$36,'1_바디시그널'!$AD$5:$AD$36,"SOC_D",'1_바디시그널'!$BR$5:$BR$36,"A")+SUMIFS('2_개행동'!$AX$5:$AX$26,'2_개행동'!$AD$5:$AD$26,"SOC_D",'2_개행동'!$BR$5:$BR$26,"A")+SUMIFS('3_보호자행동'!$AX$5:$AX$35,'3_보호자행동'!$AD$5:$AD$35,"SOC_D",'3_보호자행동'!$BR$5:$BR$35,"A"))&gt;(SUMIFS('1_바디시그널'!$AX$5:$AX$36,'1_바디시그널'!$AD$5:$AD$36,"SOC_D",'1_바디시그널'!$BR$5:$BR$36,"B")+SUMIFS('2_개행동'!$AX$5:$AX$26,'2_개행동'!$AD$5:$AD$26,"SOC_D",'2_개행동'!$BR$5:$BR$26,"B")+SUMIFS('3_보호자행동'!$AX$5:$AX$35,'3_보호자행동'!$AD$5:$AD$35,"SOC_D",'3_보호자행동'!$BR$5:$BR$35,"B")),"A",IF((SUMIFS('1_바디시그널'!$AX$5:$AX$36,'1_바디시그널'!$AD$5:$AD$36,"SOC_D",'1_바디시그널'!$BR$5:$BR$36,"B")+SUMIFS('2_개행동'!$AX$5:$AX$26,'2_개행동'!$AD$5:$AD$26,"SOC_D",'2_개행동'!$BR$5:$BR$26,"B")+SUMIFS('3_보호자행동'!$AX$5:$AX$35,'3_보호자행동'!$AD$5:$AD$35,"SOC_D",'3_보호자행동'!$BR$5:$BR$35,"B"))&gt;(SUMIFS('1_바디시그널'!$AX$5:$AX$36,'1_바디시그널'!$AD$5:$AD$36,"SOC_D",'1_바디시그널'!$BR$5:$BR$36,"A")+SUMIFS('2_개행동'!$AX$5:$AX$26,'2_개행동'!$AD$5:$AD$26,"SOC_D",'2_개행동'!$BR$5:$BR$26,"A")+SUMIFS('3_보호자행동'!$AX$5:$AX$35,'3_보호자행동'!$AD$5:$AD$35,"SOC_D",'3_보호자행동'!$BR$5:$BR$35,"A")),"B","-")))</f>
        <v/>
      </c>
      <c r="M25" s="49">
        <f>IF((COUNTIFS('1_바디시그널'!$AD$5:$AD$36,"SOC_E",'1_바디시그널'!$AX$5:$AX$36,"&gt;=1")+COUNTIFS('2_개행동'!$AD$5:$AD$26,"SOC_E",'2_개행동'!$AX$5:$AX$26,"&gt;=1")+COUNTIFS('3_보호자행동'!$AD$5:$AD$35,"SOC_E",'3_보호자행동'!$AX$5:$AX$35,"&gt;=1"))=0,"",MAX(_xlfn.MAXIFS('1_바디시그널'!$AX$5:$AX$36,'1_바디시그널'!$AD$5:$AD$36,"SOC_E"),_xlfn.MAXIFS('2_개행동'!$AX$5:$AX$26,'2_개행동'!$AD$5:$AD$26,"SOC_E"),_xlfn.MAXIFS('3_보호자행동'!$AX$5:$AX$35,'3_보호자행동'!$AD$5:$AD$35,"SOC_E")))</f>
        <v/>
      </c>
      <c r="N25" s="49">
        <f>IF((COUNTIFS('1_바디시그널'!$AD$5:$AD$36,"SOC_E",'1_바디시그널'!$AX$5:$AX$36,"&gt;=1")+COUNTIFS('2_개행동'!$AD$5:$AD$26,"SOC_E",'2_개행동'!$AX$5:$AX$26,"&gt;=1")+COUNTIFS('3_보호자행동'!$AD$5:$AD$35,"SOC_E",'3_보호자행동'!$AX$5:$AX$35,"&gt;=1"))=0,"",ROUND((SUMIFS('1_바디시그널'!$AX$5:$AX$36,'1_바디시그널'!$AD$5:$AD$36,"SOC_E",'1_바디시그널'!$AX$5:$AX$36,"&gt;=1")+SUMIFS('2_개행동'!$AX$5:$AX$26,'2_개행동'!$AD$5:$AD$26,"SOC_E",'2_개행동'!$AX$5:$AX$26,"&gt;=1")+SUMIFS('3_보호자행동'!$AX$5:$AX$35,'3_보호자행동'!$AD$5:$AD$35,"SOC_E",'3_보호자행동'!$AX$5:$AX$35,"&gt;=1"))/(COUNTIFS('1_바디시그널'!$AD$5:$AD$36,"SOC_E",'1_바디시그널'!$AX$5:$AX$36,"&gt;=1")+COUNTIFS('2_개행동'!$AD$5:$AD$26,"SOC_E",'2_개행동'!$AX$5:$AX$26,"&gt;=1")+COUNTIFS('3_보호자행동'!$AD$5:$AD$35,"SOC_E",'3_보호자행동'!$AX$5:$AX$35,"&gt;=1")),2))</f>
        <v/>
      </c>
      <c r="O25" s="49">
        <f>IF((COUNTIFS('1_바디시그널'!$AD$5:$AD$36,"SOC_E",'1_바디시그널'!$AX$5:$AX$36,"&gt;=1")+COUNTIFS('2_개행동'!$AD$5:$AD$26,"SOC_E",'2_개행동'!$AX$5:$AX$26,"&gt;=1")+COUNTIFS('3_보호자행동'!$AD$5:$AD$35,"SOC_E",'3_보호자행동'!$AX$5:$AX$35,"&gt;=1"))=0,"",IF((SUMIFS('1_바디시그널'!$AX$5:$AX$36,'1_바디시그널'!$AD$5:$AD$36,"SOC_E",'1_바디시그널'!$BR$5:$BR$36,"A")+SUMIFS('2_개행동'!$AX$5:$AX$26,'2_개행동'!$AD$5:$AD$26,"SOC_E",'2_개행동'!$BR$5:$BR$26,"A")+SUMIFS('3_보호자행동'!$AX$5:$AX$35,'3_보호자행동'!$AD$5:$AD$35,"SOC_E",'3_보호자행동'!$BR$5:$BR$35,"A"))&gt;(SUMIFS('1_바디시그널'!$AX$5:$AX$36,'1_바디시그널'!$AD$5:$AD$36,"SOC_E",'1_바디시그널'!$BR$5:$BR$36,"B")+SUMIFS('2_개행동'!$AX$5:$AX$26,'2_개행동'!$AD$5:$AD$26,"SOC_E",'2_개행동'!$BR$5:$BR$26,"B")+SUMIFS('3_보호자행동'!$AX$5:$AX$35,'3_보호자행동'!$AD$5:$AD$35,"SOC_E",'3_보호자행동'!$BR$5:$BR$35,"B")),"A",IF((SUMIFS('1_바디시그널'!$AX$5:$AX$36,'1_바디시그널'!$AD$5:$AD$36,"SOC_E",'1_바디시그널'!$BR$5:$BR$36,"B")+SUMIFS('2_개행동'!$AX$5:$AX$26,'2_개행동'!$AD$5:$AD$26,"SOC_E",'2_개행동'!$BR$5:$BR$26,"B")+SUMIFS('3_보호자행동'!$AX$5:$AX$35,'3_보호자행동'!$AD$5:$AD$35,"SOC_E",'3_보호자행동'!$BR$5:$BR$35,"B"))&gt;(SUMIFS('1_바디시그널'!$AX$5:$AX$36,'1_바디시그널'!$AD$5:$AD$36,"SOC_E",'1_바디시그널'!$BR$5:$BR$36,"A")+SUMIFS('2_개행동'!$AX$5:$AX$26,'2_개행동'!$AD$5:$AD$26,"SOC_E",'2_개행동'!$BR$5:$BR$26,"A")+SUMIFS('3_보호자행동'!$AX$5:$AX$35,'3_보호자행동'!$AD$5:$AD$35,"SOC_E",'3_보호자행동'!$BR$5:$BR$35,"A")),"B","-")))</f>
        <v/>
      </c>
      <c r="P25" s="49">
        <f>IF((COUNTIFS('1_바디시그널'!$AD$5:$AD$36,"ATT",'1_바디시그널'!$AX$5:$AX$36,"&gt;=1")+COUNTIFS('2_개행동'!$AD$5:$AD$26,"ATT",'2_개행동'!$AX$5:$AX$26,"&gt;=1")+COUNTIFS('3_보호자행동'!$AD$5:$AD$35,"ATT",'3_보호자행동'!$AX$5:$AX$35,"&gt;=1"))=0,"",MAX(_xlfn.MAXIFS('1_바디시그널'!$AX$5:$AX$36,'1_바디시그널'!$AD$5:$AD$36,"ATT"),_xlfn.MAXIFS('2_개행동'!$AX$5:$AX$26,'2_개행동'!$AD$5:$AD$26,"ATT"),_xlfn.MAXIFS('3_보호자행동'!$AX$5:$AX$35,'3_보호자행동'!$AD$5:$AD$35,"ATT")))</f>
        <v/>
      </c>
      <c r="Q25" s="49">
        <f>IF((COUNTIFS('1_바디시그널'!$AD$5:$AD$36,"ATT",'1_바디시그널'!$AX$5:$AX$36,"&gt;=1")+COUNTIFS('2_개행동'!$AD$5:$AD$26,"ATT",'2_개행동'!$AX$5:$AX$26,"&gt;=1")+COUNTIFS('3_보호자행동'!$AD$5:$AD$35,"ATT",'3_보호자행동'!$AX$5:$AX$35,"&gt;=1"))=0,"",ROUND((SUMIFS('1_바디시그널'!$AX$5:$AX$36,'1_바디시그널'!$AD$5:$AD$36,"ATT",'1_바디시그널'!$AX$5:$AX$36,"&gt;=1")+SUMIFS('2_개행동'!$AX$5:$AX$26,'2_개행동'!$AD$5:$AD$26,"ATT",'2_개행동'!$AX$5:$AX$26,"&gt;=1")+SUMIFS('3_보호자행동'!$AX$5:$AX$35,'3_보호자행동'!$AD$5:$AD$35,"ATT",'3_보호자행동'!$AX$5:$AX$35,"&gt;=1"))/(COUNTIFS('1_바디시그널'!$AD$5:$AD$36,"ATT",'1_바디시그널'!$AX$5:$AX$36,"&gt;=1")+COUNTIFS('2_개행동'!$AD$5:$AD$26,"ATT",'2_개행동'!$AX$5:$AX$26,"&gt;=1")+COUNTIFS('3_보호자행동'!$AD$5:$AD$35,"ATT",'3_보호자행동'!$AX$5:$AX$35,"&gt;=1")),2))</f>
        <v/>
      </c>
      <c r="R25" s="49">
        <f>IF((COUNTIFS('1_바디시그널'!$AD$5:$AD$36,"ATT",'1_바디시그널'!$AX$5:$AX$36,"&gt;=1")+COUNTIFS('2_개행동'!$AD$5:$AD$26,"ATT",'2_개행동'!$AX$5:$AX$26,"&gt;=1")+COUNTIFS('3_보호자행동'!$AD$5:$AD$35,"ATT",'3_보호자행동'!$AX$5:$AX$35,"&gt;=1"))=0,"",IF((SUMIFS('1_바디시그널'!$AX$5:$AX$36,'1_바디시그널'!$AD$5:$AD$36,"ATT",'1_바디시그널'!$BR$5:$BR$36,"A")+SUMIFS('2_개행동'!$AX$5:$AX$26,'2_개행동'!$AD$5:$AD$26,"ATT",'2_개행동'!$BR$5:$BR$26,"A")+SUMIFS('3_보호자행동'!$AX$5:$AX$35,'3_보호자행동'!$AD$5:$AD$35,"ATT",'3_보호자행동'!$BR$5:$BR$35,"A"))&gt;(SUMIFS('1_바디시그널'!$AX$5:$AX$36,'1_바디시그널'!$AD$5:$AD$36,"ATT",'1_바디시그널'!$BR$5:$BR$36,"B")+SUMIFS('2_개행동'!$AX$5:$AX$26,'2_개행동'!$AD$5:$AD$26,"ATT",'2_개행동'!$BR$5:$BR$26,"B")+SUMIFS('3_보호자행동'!$AX$5:$AX$35,'3_보호자행동'!$AD$5:$AD$35,"ATT",'3_보호자행동'!$BR$5:$BR$35,"B")),"A",IF((SUMIFS('1_바디시그널'!$AX$5:$AX$36,'1_바디시그널'!$AD$5:$AD$36,"ATT",'1_바디시그널'!$BR$5:$BR$36,"B")+SUMIFS('2_개행동'!$AX$5:$AX$26,'2_개행동'!$AD$5:$AD$26,"ATT",'2_개행동'!$BR$5:$BR$26,"B")+SUMIFS('3_보호자행동'!$AX$5:$AX$35,'3_보호자행동'!$AD$5:$AD$35,"ATT",'3_보호자행동'!$BR$5:$BR$35,"B"))&gt;(SUMIFS('1_바디시그널'!$AX$5:$AX$36,'1_바디시그널'!$AD$5:$AD$36,"ATT",'1_바디시그널'!$BR$5:$BR$36,"A")+SUMIFS('2_개행동'!$AX$5:$AX$26,'2_개행동'!$AD$5:$AD$26,"ATT",'2_개행동'!$BR$5:$BR$26,"A")+SUMIFS('3_보호자행동'!$AX$5:$AX$35,'3_보호자행동'!$AD$5:$AD$35,"ATT",'3_보호자행동'!$BR$5:$BR$35,"A")),"B","-")))</f>
        <v/>
      </c>
      <c r="S25" s="49">
        <f>IF((COUNTIFS('1_바디시그널'!$AD$5:$AD$36,"CON",'1_바디시그널'!$AX$5:$AX$36,"&gt;=1")+COUNTIFS('2_개행동'!$AD$5:$AD$26,"CON",'2_개행동'!$AX$5:$AX$26,"&gt;=1")+COUNTIFS('3_보호자행동'!$AD$5:$AD$35,"CON",'3_보호자행동'!$AX$5:$AX$35,"&gt;=1"))=0,"",MAX(_xlfn.MAXIFS('1_바디시그널'!$AX$5:$AX$36,'1_바디시그널'!$AD$5:$AD$36,"CON"),_xlfn.MAXIFS('2_개행동'!$AX$5:$AX$26,'2_개행동'!$AD$5:$AD$26,"CON"),_xlfn.MAXIFS('3_보호자행동'!$AX$5:$AX$35,'3_보호자행동'!$AD$5:$AD$35,"CON")))</f>
        <v/>
      </c>
      <c r="T25" s="49">
        <f>IF((COUNTIFS('1_바디시그널'!$AD$5:$AD$36,"CON",'1_바디시그널'!$AX$5:$AX$36,"&gt;=1")+COUNTIFS('2_개행동'!$AD$5:$AD$26,"CON",'2_개행동'!$AX$5:$AX$26,"&gt;=1")+COUNTIFS('3_보호자행동'!$AD$5:$AD$35,"CON",'3_보호자행동'!$AX$5:$AX$35,"&gt;=1"))=0,"",ROUND((SUMIFS('1_바디시그널'!$AX$5:$AX$36,'1_바디시그널'!$AD$5:$AD$36,"CON",'1_바디시그널'!$AX$5:$AX$36,"&gt;=1")+SUMIFS('2_개행동'!$AX$5:$AX$26,'2_개행동'!$AD$5:$AD$26,"CON",'2_개행동'!$AX$5:$AX$26,"&gt;=1")+SUMIFS('3_보호자행동'!$AX$5:$AX$35,'3_보호자행동'!$AD$5:$AD$35,"CON",'3_보호자행동'!$AX$5:$AX$35,"&gt;=1"))/(COUNTIFS('1_바디시그널'!$AD$5:$AD$36,"CON",'1_바디시그널'!$AX$5:$AX$36,"&gt;=1")+COUNTIFS('2_개행동'!$AD$5:$AD$26,"CON",'2_개행동'!$AX$5:$AX$26,"&gt;=1")+COUNTIFS('3_보호자행동'!$AD$5:$AD$35,"CON",'3_보호자행동'!$AX$5:$AX$35,"&gt;=1")),2))</f>
        <v/>
      </c>
      <c r="U25" s="49">
        <f>IF((COUNTIFS('1_바디시그널'!$AD$5:$AD$36,"CON",'1_바디시그널'!$AX$5:$AX$36,"&gt;=1")+COUNTIFS('2_개행동'!$AD$5:$AD$26,"CON",'2_개행동'!$AX$5:$AX$26,"&gt;=1")+COUNTIFS('3_보호자행동'!$AD$5:$AD$35,"CON",'3_보호자행동'!$AX$5:$AX$35,"&gt;=1"))=0,"",IF((SUMIFS('1_바디시그널'!$AX$5:$AX$36,'1_바디시그널'!$AD$5:$AD$36,"CON",'1_바디시그널'!$BR$5:$BR$36,"A")+SUMIFS('2_개행동'!$AX$5:$AX$26,'2_개행동'!$AD$5:$AD$26,"CON",'2_개행동'!$BR$5:$BR$26,"A")+SUMIFS('3_보호자행동'!$AX$5:$AX$35,'3_보호자행동'!$AD$5:$AD$35,"CON",'3_보호자행동'!$BR$5:$BR$35,"A"))&gt;(SUMIFS('1_바디시그널'!$AX$5:$AX$36,'1_바디시그널'!$AD$5:$AD$36,"CON",'1_바디시그널'!$BR$5:$BR$36,"B")+SUMIFS('2_개행동'!$AX$5:$AX$26,'2_개행동'!$AD$5:$AD$26,"CON",'2_개행동'!$BR$5:$BR$26,"B")+SUMIFS('3_보호자행동'!$AX$5:$AX$35,'3_보호자행동'!$AD$5:$AD$35,"CON",'3_보호자행동'!$BR$5:$BR$35,"B")),"A",IF((SUMIFS('1_바디시그널'!$AX$5:$AX$36,'1_바디시그널'!$AD$5:$AD$36,"CON",'1_바디시그널'!$BR$5:$BR$36,"B")+SUMIFS('2_개행동'!$AX$5:$AX$26,'2_개행동'!$AD$5:$AD$26,"CON",'2_개행동'!$BR$5:$BR$26,"B")+SUMIFS('3_보호자행동'!$AX$5:$AX$35,'3_보호자행동'!$AD$5:$AD$35,"CON",'3_보호자행동'!$BR$5:$BR$35,"B"))&gt;(SUMIFS('1_바디시그널'!$AX$5:$AX$36,'1_바디시그널'!$AD$5:$AD$36,"CON",'1_바디시그널'!$BR$5:$BR$36,"A")+SUMIFS('2_개행동'!$AX$5:$AX$26,'2_개행동'!$AD$5:$AD$26,"CON",'2_개행동'!$BR$5:$BR$26,"A")+SUMIFS('3_보호자행동'!$AX$5:$AX$35,'3_보호자행동'!$AD$5:$AD$35,"CON",'3_보호자행동'!$BR$5:$BR$35,"A")),"B","-")))</f>
        <v/>
      </c>
      <c r="V25" s="48">
        <f>IF(COUNT(X25:AA25)=0,"",ROUND(MAX(X25:AA25)-MIN(X25:AA25),2))</f>
        <v/>
      </c>
      <c r="W25" s="47" t="n"/>
      <c r="X25" s="49">
        <f>IFERROR(SUMIFS('3_보호자행동'!$AX$5:$AX$35,'3_보호자행동'!$A$5:$A$35,"입장",'3_보호자행동'!$AX$5:$AX$35,"&gt;=1")/COUNTIFS('3_보호자행동'!$A$5:$A$35,"입장",'3_보호자행동'!$AX$5:$AX$35,"&gt;=1"),"")</f>
        <v/>
      </c>
      <c r="Y25" s="49">
        <f>IFERROR(SUMIFS('3_보호자행동'!$AX$5:$AX$35,'3_보호자행동'!$A$5:$A$35,"분리",'3_보호자행동'!$AX$5:$AX$35,"&gt;=1")/COUNTIFS('3_보호자행동'!$A$5:$A$35,"분리",'3_보호자행동'!$AX$5:$AX$35,"&gt;=1"),"")</f>
        <v/>
      </c>
      <c r="Z25" s="49">
        <f>IFERROR(SUMIFS('3_보호자행동'!$AX$5:$AX$35,'3_보호자행동'!$A$5:$A$35,"훈련",'3_보호자행동'!$AX$5:$AX$35,"&gt;=1")/COUNTIFS('3_보호자행동'!$A$5:$A$35,"훈련",'3_보호자행동'!$AX$5:$AX$35,"&gt;=1"),"")</f>
        <v/>
      </c>
      <c r="AA25" s="49">
        <f>IFERROR(SUMIFS('3_보호자행동'!$AX$5:$AX$35,'3_보호자행동'!$A$5:$A$35,"놀이",'3_보호자행동'!$AX$5:$AX$35,"&gt;=1")/COUNTIFS('3_보호자행동'!$A$5:$A$35,"놀이",'3_보호자행동'!$AX$5:$AX$35,"&gt;=1"),"")</f>
        <v/>
      </c>
      <c r="AB25">
        <f>IF((COUNTIFS('1_바디시그널'!$AD$5:$AD$36,"TRN",'1_바디시그널'!$AX$5:$AX$36,"&gt;=1")+COUNTIFS('2_개행동'!$AD$5:$AD$26,"TRN",'2_개행동'!$AX$5:$AX$26,"&gt;=1")+COUNTIFS('3_보호자행동'!$AD$5:$AD$35,"TRN",'3_보호자행동'!$AX$5:$AX$35,"&gt;=1"))=0,"",MAX(_xlfn.MAXIFS('1_바디시그널'!$AX$5:$AX$36,'1_바디시그널'!$AD$5:$AD$36,"TRN"),_xlfn.MAXIFS('2_개행동'!$AX$5:$AX$26,'2_개행동'!$AD$5:$AD$26,"TRN"),_xlfn.MAXIFS('3_보호자행동'!$AX$5:$AX$35,'3_보호자행동'!$AD$5:$AD$35,"TRN")))</f>
        <v/>
      </c>
      <c r="AC25">
        <f>IF((COUNTIFS('1_바디시그널'!$AD$5:$AD$36,"TRN",'1_바디시그널'!$AX$5:$AX$36,"&gt;=1")+COUNTIFS('2_개행동'!$AD$5:$AD$26,"TRN",'2_개행동'!$AX$5:$AX$26,"&gt;=1")+COUNTIFS('3_보호자행동'!$AD$5:$AD$35,"TRN",'3_보호자행동'!$AX$5:$AX$35,"&gt;=1"))=0,"",ROUND((SUMIFS('1_바디시그널'!$AX$5:$AX$36,'1_바디시그널'!$AD$5:$AD$36,"TRN",'1_바디시그널'!$AX$5:$AX$36,"&gt;=1")+SUMIFS('2_개행동'!$AX$5:$AX$26,'2_개행동'!$AD$5:$AD$26,"TRN",'2_개행동'!$AX$5:$AX$26,"&gt;=1")+SUMIFS('3_보호자행동'!$AX$5:$AX$35,'3_보호자행동'!$AD$5:$AD$35,"TRN",'3_보호자행동'!$AX$5:$AX$35,"&gt;=1"))/(COUNTIFS('1_바디시그널'!$AD$5:$AD$36,"TRN",'1_바디시그널'!$AX$5:$AX$36,"&gt;=1")+COUNTIFS('2_개행동'!$AD$5:$AD$26,"TRN",'2_개행동'!$AX$5:$AX$26,"&gt;=1")+COUNTIFS('3_보호자행동'!$AD$5:$AD$35,"TRN",'3_보호자행동'!$AX$5:$AX$35,"&gt;=1")),2))</f>
        <v/>
      </c>
      <c r="AD25">
        <f>IF((COUNTIFS('1_바디시그널'!$AD$5:$AD$36,"TRN",'1_바디시그널'!$AX$5:$AX$36,"&gt;=1")+COUNTIFS('2_개행동'!$AD$5:$AD$26,"TRN",'2_개행동'!$AX$5:$AX$26,"&gt;=1")+COUNTIFS('3_보호자행동'!$AD$5:$AD$35,"TRN",'3_보호자행동'!$AX$5:$AX$35,"&gt;=1"))=0,"",IF((SUMIFS('1_바디시그널'!$AX$5:$AX$36,'1_바디시그널'!$AD$5:$AD$36,"TRN",'1_바디시그널'!$BR$5:$BR$36,"A")+SUMIFS('2_개행동'!$AX$5:$AX$26,'2_개행동'!$AD$5:$AD$26,"TRN",'2_개행동'!$BR$5:$BR$26,"A")+SUMIFS('3_보호자행동'!$AX$5:$AX$35,'3_보호자행동'!$AD$5:$AD$35,"TRN",'3_보호자행동'!$BR$5:$BR$35,"A"))&gt;(SUMIFS('1_바디시그널'!$AX$5:$AX$36,'1_바디시그널'!$AD$5:$AD$36,"TRN",'1_바디시그널'!$BR$5:$BR$36,"B")+SUMIFS('2_개행동'!$AX$5:$AX$26,'2_개행동'!$AD$5:$AD$26,"TRN",'2_개행동'!$BR$5:$BR$26,"B")+SUMIFS('3_보호자행동'!$AX$5:$AX$35,'3_보호자행동'!$AD$5:$AD$35,"TRN",'3_보호자행동'!$BR$5:$BR$35,"B")),"A",IF((SUMIFS('1_바디시그널'!$AX$5:$AX$36,'1_바디시그널'!$AD$5:$AD$36,"TRN",'1_바디시그널'!$BR$5:$BR$36,"B")+SUMIFS('2_개행동'!$AX$5:$AX$26,'2_개행동'!$AD$5:$AD$26,"TRN",'2_개행동'!$BR$5:$BR$26,"B")+SUMIFS('3_보호자행동'!$AX$5:$AX$35,'3_보호자행동'!$AD$5:$AD$35,"TRN",'3_보호자행동'!$BR$5:$BR$35,"B"))&gt;(SUMIFS('1_바디시그널'!$AX$5:$AX$36,'1_바디시그널'!$AD$5:$AD$36,"TRN",'1_바디시그널'!$BR$5:$BR$36,"A")+SUMIFS('2_개행동'!$AX$5:$AX$26,'2_개행동'!$AD$5:$AD$26,"TRN",'2_개행동'!$BR$5:$BR$26,"A")+SUMIFS('3_보호자행동'!$AX$5:$AX$35,'3_보호자행동'!$AD$5:$AD$35,"TRN",'3_보호자행동'!$BR$5:$BR$35,"A")),"B","-")))</f>
        <v/>
      </c>
      <c r="AE25">
        <f>IF('2_개행동'!$AC$11="","",'2_개행동'!$AC$11&amp;IF('2_개행동'!$AC$11=3," [B]",IF('2_개행동'!$AC$11=1,""," [A]")))</f>
        <v/>
      </c>
    </row>
    <row r="27" ht="15" customHeight="1" s="1">
      <c r="A27" s="50" t="inlineStr">
        <is>
          <t>■ 보는 법</t>
        </is>
      </c>
    </row>
    <row r="28" ht="15" customHeight="1" s="1">
      <c r="A28" s="51" t="inlineStr">
        <is>
          <t>· 최고 5 + 평균 3 이상 → 일관된 강한 문제. 그 영역을 우선 도와주세요.</t>
        </is>
      </c>
    </row>
    <row r="29" ht="15" customHeight="1" s="1">
      <c r="A29" s="51" t="inlineStr">
        <is>
          <t>· 최고 5 + 평균 3 미만 → 특정 상황에서만 강한 반응. 그 상황을 피하거나 천천히 적응.</t>
        </is>
      </c>
    </row>
    <row r="30" ht="15" customHeight="1" s="1">
      <c r="A30" s="51" t="inlineStr">
        <is>
          <t>· 최고 3~4 → 중간 수준.   최고 2 이하 → 대체로 양호.</t>
        </is>
      </c>
    </row>
    <row r="31" ht="15" customHeight="1" s="1">
      <c r="A31" s="51" t="inlineStr">
        <is>
          <t>· 방향 A(과함)는 진정·자기조절이, B(위축)는 천천히 자신감 쌓기가 필요합니다. 같은 점수라도 도움이 반대입니다.</t>
        </is>
      </c>
    </row>
    <row r="32" ht="15" customHeight="1" s="1">
      <c r="A32" s="51" t="inlineStr">
        <is>
          <t>· 흔들림은 참고값입니다. 실측 16마리 전원이 임계값(2)에 못 미쳐(평균 0.74·최대 1.65) 판정에 쓰지 않습니다. 구간 간 변동은 설문 26·27번으로 봅니다.</t>
        </is>
      </c>
    </row>
    <row r="33" ht="15" customHeight="1" s="1">
      <c r="A33" s="51" t="inlineStr">
        <is>
          <t>· 교육태도는 보호자의 가르치는 방식만 봅니다(설문 A와 대조). 개가 지시를 해냈는지는 「훈련 수행(개)」로 따로 봅니다 — 설문과 대조하지 않습니다.</t>
        </is>
      </c>
    </row>
    <row r="34" ht="15" customHeight="1" s="1">
      <c r="A34" s="51" t="inlineStr">
        <is>
          <t>· 기준선(무반응 10초)은 영역 평균에 넣지 않습니다. 이후 구간을 '이 개 기준으로' 읽기 위한 참조값입니다 — docs/10</t>
        </is>
      </c>
    </row>
  </sheetData>
  <mergeCells count="10">
    <mergeCell ref="B4:B5"/>
    <mergeCell ref="C4:C5"/>
    <mergeCell ref="A4:A5"/>
    <mergeCell ref="W4:W5"/>
    <mergeCell ref="D4:F4"/>
    <mergeCell ref="M4:O4"/>
    <mergeCell ref="S4:U4"/>
    <mergeCell ref="G4:I4"/>
    <mergeCell ref="J4:L4"/>
    <mergeCell ref="P4:R4"/>
  </mergeCell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zoomScaleNormal="100" workbookViewId="0">
      <selection activeCell="A1" sqref="A1"/>
    </sheetView>
  </sheetViews>
  <sheetFormatPr baseColWidth="8" defaultColWidth="8.7109375" defaultRowHeight="15"/>
  <cols>
    <col width="15" customWidth="1" style="1" min="1" max="1"/>
    <col width="10" customWidth="1" style="1" min="2" max="3"/>
    <col width="9" customWidth="1" style="1" min="4" max="4"/>
    <col width="52" customWidth="1" style="1" min="5" max="5"/>
  </cols>
  <sheetData>
    <row r="1" ht="17.45" customHeight="1" s="1">
      <c r="A1" s="7" t="inlineStr">
        <is>
          <t>한 마리 자세히 보기</t>
        </is>
      </c>
    </row>
    <row r="3" ht="19.35" customHeight="1" s="1">
      <c r="A3" s="52" t="inlineStr">
        <is>
          <t>번호 입력 →</t>
        </is>
      </c>
      <c r="B3" s="53" t="n">
        <v>1</v>
      </c>
      <c r="C3" s="4">
        <f>IFERROR(IF(INDEX(여러쌍비교!$B$6:$B$25,$B$3)="","(이름 미입력)",INDEX(여러쌍비교!$B$6:$B$25,$B$3)),"")</f>
        <v/>
      </c>
    </row>
    <row r="5" ht="15" customHeight="1" s="1">
      <c r="A5" s="54" t="inlineStr">
        <is>
          <t>영역</t>
        </is>
      </c>
      <c r="B5" s="54" t="inlineStr">
        <is>
          <t>최고점</t>
        </is>
      </c>
      <c r="C5" s="54" t="inlineStr">
        <is>
          <t>평균</t>
        </is>
      </c>
      <c r="D5" s="54" t="inlineStr">
        <is>
          <t>방향</t>
        </is>
      </c>
      <c r="E5" s="54" t="inlineStr">
        <is>
          <t>해석</t>
        </is>
      </c>
    </row>
    <row r="6" ht="15" customHeight="1" s="1">
      <c r="A6" s="55" t="inlineStr">
        <is>
          <t>교육태도</t>
        </is>
      </c>
      <c r="B6" s="56">
        <f>IFERROR(INDEX(여러쌍비교!$D$6:$D$25,$B$3),"")</f>
        <v/>
      </c>
      <c r="C6" s="56">
        <f>IFERROR(INDEX(여러쌍비교!$E$6:$E$25,$B$3),"")</f>
        <v/>
      </c>
      <c r="D6" s="56">
        <f>IFERROR(INDEX(여러쌍비교!$F$6:$F$25,$B$3),"")</f>
        <v/>
      </c>
      <c r="E6" s="57">
        <f>IF($B6="","아직 입력 없음",IF($B6=5,IF($C6&gt;=3,"일관된 강한 문제 — 우선 도움 필요","특정 상황에서만 강한 반응 — 그 상황 주의"),IF($B6&gt;=3,"중간 수준 — 지켜볼 만","대체로 양호")))</f>
        <v/>
      </c>
    </row>
    <row r="7" ht="15" customHeight="1" s="1">
      <c r="A7" s="55" t="inlineStr">
        <is>
          <t>사회성-사람</t>
        </is>
      </c>
      <c r="B7" s="56">
        <f>IFERROR(INDEX(여러쌍비교!$G$6:$G$25,$B$3),"")</f>
        <v/>
      </c>
      <c r="C7" s="56">
        <f>IFERROR(INDEX(여러쌍비교!$H$6:$H$25,$B$3),"")</f>
        <v/>
      </c>
      <c r="D7" s="56">
        <f>IFERROR(INDEX(여러쌍비교!$I$6:$I$25,$B$3),"")</f>
        <v/>
      </c>
      <c r="E7" s="57">
        <f>IF($B7="","아직 입력 없음",IF($B7=5,IF($C7&gt;=3,"일관된 강한 문제 — 우선 도움 필요","특정 상황에서만 강한 반응 — 그 상황 주의"),IF($B7&gt;=3,"중간 수준 — 지켜볼 만","대체로 양호")))</f>
        <v/>
      </c>
    </row>
    <row r="8" ht="15" customHeight="1" s="1">
      <c r="A8" s="55" t="inlineStr">
        <is>
          <t>사회성-개</t>
        </is>
      </c>
      <c r="B8" s="56">
        <f>IFERROR(INDEX(여러쌍비교!$J$6:$J$25,$B$3),"")</f>
        <v/>
      </c>
      <c r="C8" s="56">
        <f>IFERROR(INDEX(여러쌍비교!$K$6:$K$25,$B$3),"")</f>
        <v/>
      </c>
      <c r="D8" s="56">
        <f>IFERROR(INDEX(여러쌍비교!$L$6:$L$25,$B$3),"")</f>
        <v/>
      </c>
      <c r="E8" s="57">
        <f>IF($B8="","아직 입력 없음",IF($B8=5,IF($C8&gt;=3,"일관된 강한 문제 — 우선 도움 필요","특정 상황에서만 강한 반응 — 그 상황 주의"),IF($B8&gt;=3,"중간 수준 — 지켜볼 만","대체로 양호")))</f>
        <v/>
      </c>
    </row>
    <row r="9" ht="15" customHeight="1" s="1">
      <c r="A9" s="55" t="inlineStr">
        <is>
          <t>사회성-환경</t>
        </is>
      </c>
      <c r="B9" s="56">
        <f>IFERROR(INDEX(여러쌍비교!$M$6:$M$25,$B$3),"")</f>
        <v/>
      </c>
      <c r="C9" s="56">
        <f>IFERROR(INDEX(여러쌍비교!$N$6:$N$25,$B$3),"")</f>
        <v/>
      </c>
      <c r="D9" s="56">
        <f>IFERROR(INDEX(여러쌍비교!$O$6:$O$25,$B$3),"")</f>
        <v/>
      </c>
      <c r="E9" s="57">
        <f>IF($B9="","아직 입력 없음",IF($B9=5,IF($C9&gt;=3,"일관된 강한 문제 — 우선 도움 필요","특정 상황에서만 강한 반응 — 그 상황 주의"),IF($B9&gt;=3,"중간 수준 — 지켜볼 만","대체로 양호")))</f>
        <v/>
      </c>
    </row>
    <row r="10" ht="15" customHeight="1" s="1">
      <c r="A10" s="55" t="inlineStr">
        <is>
          <t>친밀·애착</t>
        </is>
      </c>
      <c r="B10" s="56">
        <f>IFERROR(INDEX(여러쌍비교!$P$6:$P$25,$B$3),"")</f>
        <v/>
      </c>
      <c r="C10" s="56">
        <f>IFERROR(INDEX(여러쌍비교!$Q$6:$Q$25,$B$3),"")</f>
        <v/>
      </c>
      <c r="D10" s="56">
        <f>IFERROR(INDEX(여러쌍비교!$R$6:$R$25,$B$3),"")</f>
        <v/>
      </c>
      <c r="E10" s="57">
        <f>IF($B10="","아직 입력 없음",IF($B10=5,IF($C10&gt;=3,"일관된 강한 문제 — 우선 도움 필요","특정 상황에서만 강한 반응 — 그 상황 주의"),IF($B10&gt;=3,"중간 수준 — 지켜볼 만","대체로 양호")))</f>
        <v/>
      </c>
    </row>
    <row r="11" ht="15" customHeight="1" s="1">
      <c r="A11" s="55" t="inlineStr">
        <is>
          <t>보호자 행동 일관성</t>
        </is>
      </c>
      <c r="B11" s="56">
        <f>IFERROR(INDEX(여러쌍비교!$S$6:$S$25,$B$3),"")</f>
        <v/>
      </c>
      <c r="C11" s="56">
        <f>IFERROR(INDEX(여러쌍비교!$T$6:$T$25,$B$3),"")</f>
        <v/>
      </c>
      <c r="D11" s="56">
        <f>IFERROR(INDEX(여러쌍비교!$U$6:$U$25,$B$3),"")</f>
        <v/>
      </c>
      <c r="E11" s="57">
        <f>IF($B11="","아직 입력 없음",IF($B11=5,IF($C11&gt;=3,"일관된 강한 문제 — 우선 도움 필요","특정 상황에서만 강한 반응 — 그 상황 주의"),IF($B11&gt;=3,"중간 수준 — 지켜볼 만","대체로 양호")))</f>
        <v/>
      </c>
    </row>
    <row r="13" ht="15" customHeight="1" s="1">
      <c r="A13" s="55" t="inlineStr">
        <is>
          <t>행동 흔들림</t>
        </is>
      </c>
      <c r="B13" s="56">
        <f>IFERROR(INDEX(여러쌍비교!$V$6:$V$25,$B$3),"")</f>
        <v/>
      </c>
      <c r="C13" s="56" t="n"/>
      <c r="D13" s="56" t="n"/>
      <c r="E13" s="57">
        <f>IF($B13="","",IF($B13&gt;=2,"구간마다 태도가 크게 달라짐","비교적 한결같음"))</f>
        <v/>
      </c>
    </row>
  </sheetData>
  <dataValidations count="1">
    <dataValidation sqref="B3" showDropDown="0" showInputMessage="0" showErrorMessage="0" allowBlank="0" type="whole">
      <formula1>1</formula1>
      <formula2>20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2026-07-28T06:51:00Z</dcterms:created>
  <dcterms:modified xmlns:dcterms="http://purl.org/dc/terms/" xmlns:xsi="http://www.w3.org/2001/XMLSchema-instance" xsi:type="dcterms:W3CDTF">2026-09-03T12:18:07Z</dcterms:modified>
  <cp:lastModifiedBy>User</cp:lastModifiedBy>
  <cp:revision>0</cp:revision>
</cp:coreProperties>
</file>
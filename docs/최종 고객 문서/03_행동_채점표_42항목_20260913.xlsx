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3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바디시그널" sheetId="2" state="visible" r:id="rId2"/>
    <sheet xmlns:r="http://schemas.openxmlformats.org/officeDocument/2006/relationships" name="2_개행동" sheetId="3" state="visible" r:id="rId3"/>
    <sheet xmlns:r="http://schemas.openxmlformats.org/officeDocument/2006/relationships" name="3_보호자행동" sheetId="4" state="visible" r:id="rId4"/>
    <sheet xmlns:r="http://schemas.openxmlformats.org/officeDocument/2006/relationships" name="여러쌍비교" sheetId="5" state="visible" r:id="rId5"/>
    <sheet xmlns:r="http://schemas.openxmlformats.org/officeDocument/2006/relationships" name="한마리상세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+0.00;\-0.00;0.00"/>
    <numFmt numFmtId="165" formatCode="\+0;\-0;0"/>
  </numFmts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A1A1A"/>
      <sz val="14"/>
    </font>
    <font>
      <name val="맑은 고딕"/>
      <charset val="129"/>
      <family val="3"/>
      <color rgb="FF1A1A1A"/>
      <sz val="10"/>
    </font>
    <font>
      <name val="맑은 고딕"/>
      <charset val="129"/>
      <family val="3"/>
      <b val="1"/>
      <color rgb="FF1A1A1A"/>
      <sz val="11"/>
    </font>
    <font>
      <name val="맑은 고딕"/>
      <charset val="129"/>
      <family val="3"/>
      <color rgb="FF595959"/>
      <sz val="9"/>
    </font>
    <font>
      <name val="맑은 고딕"/>
      <charset val="129"/>
      <family val="3"/>
      <b val="1"/>
      <color rgb="FF1A1A1A"/>
      <sz val="10"/>
    </font>
    <font>
      <name val="맑은 고딕"/>
      <charset val="129"/>
      <family val="3"/>
      <color rgb="FF1A1A1A"/>
      <sz val="9"/>
    </font>
    <font>
      <name val="맑은 고딕"/>
      <charset val="129"/>
      <family val="3"/>
      <b val="1"/>
      <color rgb="FF595959"/>
      <sz val="9"/>
    </font>
    <font>
      <name val="맑은 고딕"/>
      <charset val="129"/>
      <family val="3"/>
      <color rgb="FF595959"/>
      <sz val="10"/>
    </font>
    <font>
      <name val="맑은 고딕"/>
      <charset val="129"/>
      <family val="3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F7F3FA"/>
      </patternFill>
    </fill>
    <fill>
      <patternFill patternType="solid">
        <fgColor rgb="FFFFFDF0"/>
      </patternFill>
    </fill>
    <fill>
      <patternFill patternType="solid">
        <fgColor rgb="FFFDF6EF"/>
      </patternFill>
    </fill>
    <fill>
      <patternFill patternType="solid">
        <fgColor rgb="FFFDF3F3"/>
      </patternFill>
    </fill>
    <fill>
      <patternFill patternType="solid">
        <fgColor rgb="FFF3F9F3"/>
      </patternFill>
    </fill>
    <fill>
      <patternFill patternType="solid">
        <fgColor rgb="FFF2F2F2"/>
      </patternFill>
    </fill>
    <fill>
      <patternFill patternType="solid">
        <fgColor rgb="FFF2F7FB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9" fontId="8" fillId="8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6.5"/>
  <cols>
    <col width="100" customWidth="1" min="1" max="1"/>
  </cols>
  <sheetData>
    <row r="1" ht="20.25" customHeight="1">
      <c r="A1" s="1" t="inlineStr">
        <is>
          <t>반려견–보호자 관계 AI 분석 — 행동 채점표</t>
        </is>
      </c>
    </row>
    <row r="2">
      <c r="A2" s="2" t="inlineStr">
        <is>
          <t>2026년 10월 프로토콜 (약 2분 20초) · 20마리 단위</t>
        </is>
      </c>
    </row>
    <row r="4">
      <c r="A4" s="3" t="inlineStr">
        <is>
          <t>■ 촬영 순서</t>
        </is>
      </c>
    </row>
    <row r="5">
      <c r="A5" s="4" t="inlineStr">
        <is>
          <t xml:space="preserve">  1  입장      ~15초   방 문 → 비닐 바닥(폭 전체) → 의자로 · 목줄을 푼다</t>
        </is>
      </c>
    </row>
    <row r="6">
      <c r="A6" s="4" t="inlineStr">
        <is>
          <t xml:space="preserve">  2  기준       10초   목줄을 푼 직후 · 앉아서 자연스럽게 (부르거나 만지지 않음) · 모든 해석의 바탕</t>
        </is>
      </c>
    </row>
    <row r="7">
      <c r="A7" s="4" t="inlineStr">
        <is>
          <t xml:space="preserve">  3  혼자       15초   일어나 문을 열고 나가 블라인드 뒤로</t>
        </is>
      </c>
    </row>
    <row r="8">
      <c r="A8" s="4" t="inlineStr">
        <is>
          <t xml:space="preserve">  4  낯선 사람   20초   안내인이 들어와 이름을 부르고 움직인 뒤 나감 (대본 미확정)</t>
        </is>
      </c>
    </row>
    <row r="9">
      <c r="A9" s="4" t="inlineStr">
        <is>
          <t xml:space="preserve">  5  재회       20초   보호자가 들어와 의자까지 걸어가 앉는다 · 앉을 때까지 개를 보지 않음 · 앉은 뒤 이름을 부르고 만짐</t>
        </is>
      </c>
    </row>
    <row r="10">
      <c r="A10" s="4" t="inlineStr">
        <is>
          <t xml:space="preserve">  6  무시       15초   만져 준 뒤 반응을 끊는다 · 개를 보지 않음 · 말도 걸지 않음</t>
        </is>
      </c>
    </row>
    <row r="11">
      <c r="A11" s="4" t="inlineStr">
        <is>
          <t xml:space="preserve">  7  걷기       30초   리드줄 없이 · 말·손짓 없이 · 6국면</t>
        </is>
      </c>
    </row>
    <row r="12">
      <c r="A12" s="4" t="inlineStr">
        <is>
          <t xml:space="preserve">  8  퇴장      ~15초   입장 코스를 되짚어 나감</t>
        </is>
      </c>
    </row>
    <row r="14">
      <c r="A14" s="3" t="inlineStr">
        <is>
          <t>■ 축이 넷입니다 — 방향 셋, 각성 하나</t>
        </is>
      </c>
    </row>
    <row r="15">
      <c r="A15" s="4" t="inlineStr">
        <is>
          <t xml:space="preserve">  애착   1 과잉(매달림)  3 적정  5 없음(무관심)      보호자를 대상으로</t>
        </is>
      </c>
    </row>
    <row r="16">
      <c r="A16" s="4" t="inlineStr">
        <is>
          <t xml:space="preserve">  우호   1 경계          3 담담  5 과한 우호          낯선 사람을 대상으로</t>
        </is>
      </c>
    </row>
    <row r="17">
      <c r="A17" s="4" t="inlineStr">
        <is>
          <t xml:space="preserve">  사회화  1 회피          3 살피고 지나감  5 살피지 않음   낯선 환경·사물을 대상으로</t>
        </is>
      </c>
    </row>
    <row r="18">
      <c r="A18" s="4" t="inlineStr">
        <is>
          <t xml:space="preserve">  각성   1 위축(얼어붙음) 3 안정  5 흥분(안절부절)     어디서나 같습니다</t>
        </is>
      </c>
    </row>
    <row r="19">
      <c r="A19" t="inlineStr">
        <is>
          <t xml:space="preserve">  → 구간마다 「방향 하나 + 각성 하나」를 봅니다. I열에 어느 축인지 적혀 있습니다.</t>
        </is>
      </c>
    </row>
    <row r="20">
      <c r="A20" s="3" t="inlineStr">
        <is>
          <t>■ 영역</t>
        </is>
      </c>
    </row>
    <row r="21">
      <c r="A21" s="4" t="inlineStr">
        <is>
          <t xml:space="preserve">  SOC_E  사회성 — 환경      입장</t>
        </is>
      </c>
    </row>
    <row r="22">
      <c r="A22" s="4" t="inlineStr">
        <is>
          <t xml:space="preserve">  SOC_H  사회성 — 사람      낯선 사람</t>
        </is>
      </c>
    </row>
    <row r="23">
      <c r="A23" s="4" t="inlineStr">
        <is>
          <t xml:space="preserve">  ATT    친밀·애착         기준 · 혼자 · 재회 · 무시</t>
        </is>
      </c>
    </row>
    <row r="24">
      <c r="A24" s="4" t="inlineStr">
        <is>
          <t xml:space="preserve">  SYN    행동 동조         걷기</t>
        </is>
      </c>
    </row>
    <row r="25">
      <c r="A25" s="4" t="inlineStr">
        <is>
          <t xml:space="preserve">  EDU    교육태도          전 구간 (보호자)</t>
        </is>
      </c>
    </row>
    <row r="26">
      <c r="A26" s="4" t="inlineStr">
        <is>
          <t xml:space="preserve">  EXIT   퇴장 — 환경 적응    퇴장</t>
        </is>
      </c>
    </row>
    <row r="28">
      <c r="A28" s="3" t="inlineStr">
        <is>
          <t>■ 계산으로 나오는 것</t>
        </is>
      </c>
    </row>
    <row r="29">
      <c r="A29" s="4" t="inlineStr">
        <is>
          <t xml:space="preserve">  적응     = |기준 각성 − 3| − |무시 각성 − 3|      낯선 곳에 자리를 잡는가 (양수면 안정 쪽으로 왔다)</t>
        </is>
      </c>
    </row>
    <row r="30">
      <c r="A30" s="4" t="inlineStr">
        <is>
          <t xml:space="preserve">  회복     = |혼자 각성 − 3| − |재회 진정 − 3|      떨어졌다 만난 뒤 가라앉는가</t>
        </is>
      </c>
    </row>
    <row r="31">
      <c r="A31" s="4" t="inlineStr">
        <is>
          <t xml:space="preserve">  낯선 진정 = |혼자 각성 − 3| − |낯선 각성 − 3|      낯선 사람도 내려 주는가</t>
        </is>
      </c>
    </row>
    <row r="32">
      <c r="A32" s="4" t="inlineStr">
        <is>
          <t xml:space="preserve">  동조율   = 동조 국면 수 ÷ 6      걷기 시행이 무효면 계산하지 않음</t>
        </is>
      </c>
    </row>
    <row r="33">
      <c r="A33" t="inlineStr">
        <is>
          <t xml:space="preserve">  애착 유형 = [재회] 접근의 일관성 1 이상이면 「일관되지 않음」 · 아니면 [무시]접촉개시·나간 쪽 지향·재회 다가오는가·재회 접촉 몸의 중심 평균(≤3.5 / &gt;3.5)과 재회 진정(3에서 1 안 / 밖)으로 안정 · 불안 · 거리 둠 · 일관되지 않음 (여러쌍비교 M열)</t>
        </is>
      </c>
    </row>
    <row r="34">
      <c r="A34" s="3" t="inlineStr">
        <is>
          <t>■ 판정에서 뺀 것</t>
        </is>
      </c>
    </row>
    <row r="35">
      <c r="A35" s="4" t="inlineStr">
        <is>
          <t xml:space="preserve">  [혼자] 탐색량 변화 — 균형설계가 아니라 순서효과와 구분되지 않습니다 (Rehn 2013).</t>
        </is>
      </c>
    </row>
    <row r="36">
      <c r="A36" s="4" t="inlineStr">
        <is>
          <t xml:space="preserve">  [걷기] 동조 — 애착이 아니라 별도 구인입니다 (Duranton 2019·2022·2024).</t>
        </is>
      </c>
    </row>
    <row r="37">
      <c r="A37" s="4" t="inlineStr">
        <is>
          <t xml:space="preserve">  훈련 구간 — 관계가 아니라 훈련 이력을 잽니다.</t>
        </is>
      </c>
    </row>
    <row r="39">
      <c r="A39" s="4" t="inlineStr">
        <is>
          <t>총점과 등수는 만들지 않습니다. 좋고 나쁨을 판정하지 않습니다.</t>
        </is>
      </c>
    </row>
    <row r="40">
      <c r="A40" s="4" t="inlineStr">
        <is>
          <t>자세한 근거는 docs/16_프로토콜_측정지표_근거.md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B10" sqref="B10"/>
    </sheetView>
  </sheetViews>
  <sheetFormatPr baseColWidth="8" defaultRowHeight="16.5"/>
  <cols>
    <col width="8" customWidth="1" min="1" max="1"/>
    <col width="44" customWidth="1" min="2" max="2"/>
    <col width="26" customWidth="1" min="3" max="7"/>
    <col width="22" customWidth="1" min="8" max="8"/>
    <col width="10" customWidth="1" min="9" max="9"/>
    <col width="5" customWidth="1" min="10" max="29"/>
  </cols>
  <sheetData>
    <row r="1" ht="20.25" customHeight="1">
      <c r="A1" s="1" t="inlineStr">
        <is>
          <t>바디시그널</t>
        </is>
      </c>
    </row>
    <row r="2">
      <c r="A2" s="4" t="inlineStr">
        <is>
          <t>몸으로 나타나는 신호. 꼬리와 발성만 봅니다. 전부 각성 축입니다.</t>
        </is>
      </c>
    </row>
    <row r="3">
      <c r="A3" s="4" t="inlineStr">
        <is>
          <t>J열부터 오른쪽으로 1번~20번 강아지 칸입니다. 각 칸에 1~5 중 하나를 넣습니다.  ★ 3점이 안정이고 1과 5, 2와 4가 서로 대치됩니다.  축이 넷입니다 — 「애착」 1 과잉↔5 없음 / 「우호」 1 경계↔5 과한 우호 / 「사회화」 1 회피↔5 살피지 않음 / 「각성」 1 위축↔5 흥분. I열에 적어 두었습니다.  회색 칸은 해당 단계가 없으며, 그 번호를 넣으면 무효 처리됩니다.</t>
        </is>
      </c>
    </row>
    <row r="4">
      <c r="A4" s="5" t="inlineStr">
        <is>
          <t>구간</t>
        </is>
      </c>
      <c r="B4" s="5" t="inlineStr">
        <is>
          <t>관찰 항목</t>
        </is>
      </c>
      <c r="C4" s="5" t="inlineStr">
        <is>
          <t>1</t>
        </is>
      </c>
      <c r="D4" s="5" t="inlineStr">
        <is>
          <t>2</t>
        </is>
      </c>
      <c r="E4" s="5" t="inlineStr">
        <is>
          <t>3</t>
        </is>
      </c>
      <c r="F4" s="5" t="inlineStr">
        <is>
          <t>4</t>
        </is>
      </c>
      <c r="G4" s="5" t="inlineStr">
        <is>
          <t>5</t>
        </is>
      </c>
      <c r="H4" s="5" t="inlineStr">
        <is>
          <t>영역</t>
        </is>
      </c>
      <c r="I4" s="5" t="inlineStr">
        <is>
          <t>척도·축</t>
        </is>
      </c>
      <c r="J4" s="5" t="inlineStr">
        <is>
          <t>1번</t>
        </is>
      </c>
      <c r="K4" s="5" t="inlineStr">
        <is>
          <t>2번</t>
        </is>
      </c>
      <c r="L4" s="5" t="inlineStr">
        <is>
          <t>3번</t>
        </is>
      </c>
      <c r="M4" s="5" t="inlineStr">
        <is>
          <t>4번</t>
        </is>
      </c>
      <c r="N4" s="5" t="inlineStr">
        <is>
          <t>5번</t>
        </is>
      </c>
      <c r="O4" s="5" t="inlineStr">
        <is>
          <t>6번</t>
        </is>
      </c>
      <c r="P4" s="5" t="inlineStr">
        <is>
          <t>7번</t>
        </is>
      </c>
      <c r="Q4" s="5" t="inlineStr">
        <is>
          <t>8번</t>
        </is>
      </c>
      <c r="R4" s="5" t="inlineStr">
        <is>
          <t>9번</t>
        </is>
      </c>
      <c r="S4" s="5" t="inlineStr">
        <is>
          <t>10번</t>
        </is>
      </c>
      <c r="T4" s="5" t="inlineStr">
        <is>
          <t>11번</t>
        </is>
      </c>
      <c r="U4" s="5" t="inlineStr">
        <is>
          <t>12번</t>
        </is>
      </c>
      <c r="V4" s="5" t="inlineStr">
        <is>
          <t>13번</t>
        </is>
      </c>
      <c r="W4" s="5" t="inlineStr">
        <is>
          <t>14번</t>
        </is>
      </c>
      <c r="X4" s="5" t="inlineStr">
        <is>
          <t>15번</t>
        </is>
      </c>
      <c r="Y4" s="5" t="inlineStr">
        <is>
          <t>16번</t>
        </is>
      </c>
      <c r="Z4" s="5" t="inlineStr">
        <is>
          <t>17번</t>
        </is>
      </c>
      <c r="AA4" s="5" t="inlineStr">
        <is>
          <t>18번</t>
        </is>
      </c>
      <c r="AB4" s="5" t="inlineStr">
        <is>
          <t>19번</t>
        </is>
      </c>
      <c r="AC4" s="5" t="inlineStr">
        <is>
          <t>20번</t>
        </is>
      </c>
      <c r="AD4" s="4" t="inlineStr">
        <is>
          <t>영역코드</t>
        </is>
      </c>
      <c r="AY4" s="4" t="inlineStr">
        <is>
          <t>척도</t>
        </is>
      </c>
    </row>
    <row r="5" ht="42" customHeight="1">
      <c r="A5" s="6" t="inlineStr">
        <is>
          <t>입장</t>
        </is>
      </c>
      <c r="B5" s="7" t="inlineStr">
        <is>
          <t>꼬리</t>
        </is>
      </c>
      <c r="C5" s="8" t="inlineStr">
        <is>
          <t>다리 사이로 말아 넣음</t>
        </is>
      </c>
      <c r="D5" s="8" t="inlineStr">
        <is>
          <t>꼬리 아랫부분이 바닥을 가리킴 · 짧게 흔들림</t>
        </is>
      </c>
      <c r="E5" s="8" t="inlineStr">
        <is>
          <t>등선 높이 · 꼬리끝이 바닥보다 위 · 부드러운 움직임</t>
        </is>
      </c>
      <c r="F5" s="8" t="inlineStr">
        <is>
          <t>등선보다 높이 올라옴</t>
        </is>
      </c>
      <c r="G5" s="8" t="inlineStr">
        <is>
          <t>높이 들고 경직 · 짧고 빠른 흔들림</t>
        </is>
      </c>
      <c r="H5" s="9" t="inlineStr">
        <is>
          <t>사회성 — 환경</t>
        </is>
      </c>
      <c r="I5" s="10" t="inlineStr">
        <is>
          <t>양쪽·각성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t="inlineStr">
        <is>
          <t>SOC_E</t>
        </is>
      </c>
      <c r="AE5">
        <f>IF($J5="",0,IF(INDEX($C5:$G5,$J5)="",0,$J5))</f>
        <v/>
      </c>
      <c r="AF5">
        <f>IF($K5="",0,IF(INDEX($C5:$G5,$K5)="",0,$K5))</f>
        <v/>
      </c>
      <c r="AG5">
        <f>IF($L5="",0,IF(INDEX($C5:$G5,$L5)="",0,$L5))</f>
        <v/>
      </c>
      <c r="AH5">
        <f>IF($M5="",0,IF(INDEX($C5:$G5,$M5)="",0,$M5))</f>
        <v/>
      </c>
      <c r="AI5">
        <f>IF($N5="",0,IF(INDEX($C5:$G5,$N5)="",0,$N5))</f>
        <v/>
      </c>
      <c r="AJ5">
        <f>IF($O5="",0,IF(INDEX($C5:$G5,$O5)="",0,$O5))</f>
        <v/>
      </c>
      <c r="AK5">
        <f>IF($P5="",0,IF(INDEX($C5:$G5,$P5)="",0,$P5))</f>
        <v/>
      </c>
      <c r="AL5">
        <f>IF($Q5="",0,IF(INDEX($C5:$G5,$Q5)="",0,$Q5))</f>
        <v/>
      </c>
      <c r="AM5">
        <f>IF($R5="",0,IF(INDEX($C5:$G5,$R5)="",0,$R5))</f>
        <v/>
      </c>
      <c r="AN5">
        <f>IF($S5="",0,IF(INDEX($C5:$G5,$S5)="",0,$S5))</f>
        <v/>
      </c>
      <c r="AO5">
        <f>IF($T5="",0,IF(INDEX($C5:$G5,$T5)="",0,$T5))</f>
        <v/>
      </c>
      <c r="AP5">
        <f>IF($U5="",0,IF(INDEX($C5:$G5,$U5)="",0,$U5))</f>
        <v/>
      </c>
      <c r="AQ5">
        <f>IF($V5="",0,IF(INDEX($C5:$G5,$V5)="",0,$V5))</f>
        <v/>
      </c>
      <c r="AR5">
        <f>IF($W5="",0,IF(INDEX($C5:$G5,$W5)="",0,$W5))</f>
        <v/>
      </c>
      <c r="AS5">
        <f>IF($X5="",0,IF(INDEX($C5:$G5,$X5)="",0,$X5))</f>
        <v/>
      </c>
      <c r="AT5">
        <f>IF($Y5="",0,IF(INDEX($C5:$G5,$Y5)="",0,$Y5))</f>
        <v/>
      </c>
      <c r="AU5">
        <f>IF($Z5="",0,IF(INDEX($C5:$G5,$Z5)="",0,$Z5))</f>
        <v/>
      </c>
      <c r="AV5">
        <f>IF($AA5="",0,IF(INDEX($C5:$G5,$AA5)="",0,$AA5))</f>
        <v/>
      </c>
      <c r="AW5">
        <f>IF($AB5="",0,IF(INDEX($C5:$G5,$AB5)="",0,$AB5))</f>
        <v/>
      </c>
      <c r="AX5">
        <f>IF($AC5="",0,IF(INDEX($C5:$G5,$AC5)="",0,$AC5))</f>
        <v/>
      </c>
      <c r="AY5" t="inlineStr">
        <is>
          <t>BI</t>
        </is>
      </c>
    </row>
    <row r="6" ht="42" customHeight="1">
      <c r="A6" s="6" t="inlineStr">
        <is>
          <t>입장</t>
        </is>
      </c>
      <c r="B6" s="7" t="inlineStr">
        <is>
          <t>발성  ※입장 구간</t>
        </is>
      </c>
      <c r="C6" s="8" t="inlineStr">
        <is>
          <t>지속적인 낑낑소리</t>
        </is>
      </c>
      <c r="D6" s="8" t="inlineStr">
        <is>
          <t>가끔 낑낑</t>
        </is>
      </c>
      <c r="E6" s="8" t="inlineStr">
        <is>
          <t>없음</t>
        </is>
      </c>
      <c r="F6" s="8" t="inlineStr">
        <is>
          <t>한두 번 짖음</t>
        </is>
      </c>
      <c r="G6" s="8" t="inlineStr">
        <is>
          <t>여러 번 짖음</t>
        </is>
      </c>
      <c r="H6" s="9" t="inlineStr">
        <is>
          <t>사회성 — 환경</t>
        </is>
      </c>
      <c r="I6" s="10" t="inlineStr">
        <is>
          <t>양쪽·각성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t="inlineStr">
        <is>
          <t>SOC_E</t>
        </is>
      </c>
      <c r="AE6">
        <f>IF($J6="",0,IF(INDEX($C6:$G6,$J6)="",0,$J6))</f>
        <v/>
      </c>
      <c r="AF6">
        <f>IF($K6="",0,IF(INDEX($C6:$G6,$K6)="",0,$K6))</f>
        <v/>
      </c>
      <c r="AG6">
        <f>IF($L6="",0,IF(INDEX($C6:$G6,$L6)="",0,$L6))</f>
        <v/>
      </c>
      <c r="AH6">
        <f>IF($M6="",0,IF(INDEX($C6:$G6,$M6)="",0,$M6))</f>
        <v/>
      </c>
      <c r="AI6">
        <f>IF($N6="",0,IF(INDEX($C6:$G6,$N6)="",0,$N6))</f>
        <v/>
      </c>
      <c r="AJ6">
        <f>IF($O6="",0,IF(INDEX($C6:$G6,$O6)="",0,$O6))</f>
        <v/>
      </c>
      <c r="AK6">
        <f>IF($P6="",0,IF(INDEX($C6:$G6,$P6)="",0,$P6))</f>
        <v/>
      </c>
      <c r="AL6">
        <f>IF($Q6="",0,IF(INDEX($C6:$G6,$Q6)="",0,$Q6))</f>
        <v/>
      </c>
      <c r="AM6">
        <f>IF($R6="",0,IF(INDEX($C6:$G6,$R6)="",0,$R6))</f>
        <v/>
      </c>
      <c r="AN6">
        <f>IF($S6="",0,IF(INDEX($C6:$G6,$S6)="",0,$S6))</f>
        <v/>
      </c>
      <c r="AO6">
        <f>IF($T6="",0,IF(INDEX($C6:$G6,$T6)="",0,$T6))</f>
        <v/>
      </c>
      <c r="AP6">
        <f>IF($U6="",0,IF(INDEX($C6:$G6,$U6)="",0,$U6))</f>
        <v/>
      </c>
      <c r="AQ6">
        <f>IF($V6="",0,IF(INDEX($C6:$G6,$V6)="",0,$V6))</f>
        <v/>
      </c>
      <c r="AR6">
        <f>IF($W6="",0,IF(INDEX($C6:$G6,$W6)="",0,$W6))</f>
        <v/>
      </c>
      <c r="AS6">
        <f>IF($X6="",0,IF(INDEX($C6:$G6,$X6)="",0,$X6))</f>
        <v/>
      </c>
      <c r="AT6">
        <f>IF($Y6="",0,IF(INDEX($C6:$G6,$Y6)="",0,$Y6))</f>
        <v/>
      </c>
      <c r="AU6">
        <f>IF($Z6="",0,IF(INDEX($C6:$G6,$Z6)="",0,$Z6))</f>
        <v/>
      </c>
      <c r="AV6">
        <f>IF($AA6="",0,IF(INDEX($C6:$G6,$AA6)="",0,$AA6))</f>
        <v/>
      </c>
      <c r="AW6">
        <f>IF($AB6="",0,IF(INDEX($C6:$G6,$AB6)="",0,$AB6))</f>
        <v/>
      </c>
      <c r="AX6">
        <f>IF($AC6="",0,IF(INDEX($C6:$G6,$AC6)="",0,$AC6))</f>
        <v/>
      </c>
      <c r="AY6" t="inlineStr">
        <is>
          <t>BI</t>
        </is>
      </c>
    </row>
    <row r="7" ht="42" customHeight="1">
      <c r="A7" s="6" t="inlineStr">
        <is>
          <t>입장</t>
        </is>
      </c>
      <c r="B7" s="7" t="inlineStr">
        <is>
          <t>낯선 바닥 — 꼬리  ※바닥을 밟는 동안</t>
        </is>
      </c>
      <c r="C7" s="8" t="inlineStr">
        <is>
          <t>다리 사이로 말아 넣음</t>
        </is>
      </c>
      <c r="D7" s="8" t="inlineStr">
        <is>
          <t>꼬리 아랫부분이 바닥을 가리킴 · 짧게 흔들림</t>
        </is>
      </c>
      <c r="E7" s="8" t="inlineStr">
        <is>
          <t>등선 높이 · 꼬리끝이 바닥보다 위 · 부드러운 움직임</t>
        </is>
      </c>
      <c r="F7" s="8" t="inlineStr">
        <is>
          <t>등선보다 높이 올라옴</t>
        </is>
      </c>
      <c r="G7" s="8" t="inlineStr">
        <is>
          <t>높이 들고 경직 · 짧고 빠른 흔들림</t>
        </is>
      </c>
      <c r="H7" s="9" t="inlineStr">
        <is>
          <t>사회성 — 환경</t>
        </is>
      </c>
      <c r="I7" s="10" t="inlineStr">
        <is>
          <t>양쪽·각성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t="inlineStr">
        <is>
          <t>SOC_E</t>
        </is>
      </c>
      <c r="AE7">
        <f>IF($J7="",0,IF(INDEX($C7:$G7,$J7)="",0,$J7))</f>
        <v/>
      </c>
      <c r="AF7">
        <f>IF($K7="",0,IF(INDEX($C7:$G7,$K7)="",0,$K7))</f>
        <v/>
      </c>
      <c r="AG7">
        <f>IF($L7="",0,IF(INDEX($C7:$G7,$L7)="",0,$L7))</f>
        <v/>
      </c>
      <c r="AH7">
        <f>IF($M7="",0,IF(INDEX($C7:$G7,$M7)="",0,$M7))</f>
        <v/>
      </c>
      <c r="AI7">
        <f>IF($N7="",0,IF(INDEX($C7:$G7,$N7)="",0,$N7))</f>
        <v/>
      </c>
      <c r="AJ7">
        <f>IF($O7="",0,IF(INDEX($C7:$G7,$O7)="",0,$O7))</f>
        <v/>
      </c>
      <c r="AK7">
        <f>IF($P7="",0,IF(INDEX($C7:$G7,$P7)="",0,$P7))</f>
        <v/>
      </c>
      <c r="AL7">
        <f>IF($Q7="",0,IF(INDEX($C7:$G7,$Q7)="",0,$Q7))</f>
        <v/>
      </c>
      <c r="AM7">
        <f>IF($R7="",0,IF(INDEX($C7:$G7,$R7)="",0,$R7))</f>
        <v/>
      </c>
      <c r="AN7">
        <f>IF($S7="",0,IF(INDEX($C7:$G7,$S7)="",0,$S7))</f>
        <v/>
      </c>
      <c r="AO7">
        <f>IF($T7="",0,IF(INDEX($C7:$G7,$T7)="",0,$T7))</f>
        <v/>
      </c>
      <c r="AP7">
        <f>IF($U7="",0,IF(INDEX($C7:$G7,$U7)="",0,$U7))</f>
        <v/>
      </c>
      <c r="AQ7">
        <f>IF($V7="",0,IF(INDEX($C7:$G7,$V7)="",0,$V7))</f>
        <v/>
      </c>
      <c r="AR7">
        <f>IF($W7="",0,IF(INDEX($C7:$G7,$W7)="",0,$W7))</f>
        <v/>
      </c>
      <c r="AS7">
        <f>IF($X7="",0,IF(INDEX($C7:$G7,$X7)="",0,$X7))</f>
        <v/>
      </c>
      <c r="AT7">
        <f>IF($Y7="",0,IF(INDEX($C7:$G7,$Y7)="",0,$Y7))</f>
        <v/>
      </c>
      <c r="AU7">
        <f>IF($Z7="",0,IF(INDEX($C7:$G7,$Z7)="",0,$Z7))</f>
        <v/>
      </c>
      <c r="AV7">
        <f>IF($AA7="",0,IF(INDEX($C7:$G7,$AA7)="",0,$AA7))</f>
        <v/>
      </c>
      <c r="AW7">
        <f>IF($AB7="",0,IF(INDEX($C7:$G7,$AB7)="",0,$AB7))</f>
        <v/>
      </c>
      <c r="AX7">
        <f>IF($AC7="",0,IF(INDEX($C7:$G7,$AC7)="",0,$AC7))</f>
        <v/>
      </c>
      <c r="AY7" t="inlineStr">
        <is>
          <t>BI</t>
        </is>
      </c>
    </row>
    <row r="8" ht="42" customHeight="1">
      <c r="A8" s="6" t="inlineStr">
        <is>
          <t>입장</t>
        </is>
      </c>
      <c r="B8" s="7" t="inlineStr">
        <is>
          <t>낯선 바닥 — 몸 털기  ※횟수 · 점수가 아닙니다</t>
        </is>
      </c>
      <c r="C8" s="8" t="inlineStr">
        <is>
          <t>바닥을 처음 밟은 순간부터 5초 안에 개가 몸을 턴 횟수를 셉니다. 물기를 털듯 온몸을 흔드는 동작입니다. 하품·코 핥기는 세지 않습니다 — 개가 가까울 때만 보여 채점자마다 달라집니다.</t>
        </is>
      </c>
      <c r="D8" s="8" t="n"/>
      <c r="E8" s="8" t="n"/>
      <c r="F8" s="8" t="n"/>
      <c r="G8" s="8" t="n"/>
      <c r="H8" s="9" t="inlineStr">
        <is>
          <t>— 참고 · 각성의 보조</t>
        </is>
      </c>
      <c r="I8" s="10" t="inlineStr">
        <is>
          <t>참고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 ht="42" customHeight="1">
      <c r="A9" s="12" t="inlineStr">
        <is>
          <t>혼자</t>
        </is>
      </c>
      <c r="B9" s="13" t="inlineStr">
        <is>
          <t>꼬리  ※혼자 있는 15초</t>
        </is>
      </c>
      <c r="C9" s="14" t="inlineStr">
        <is>
          <t>다리 사이로 말아 넣음</t>
        </is>
      </c>
      <c r="D9" s="14" t="inlineStr">
        <is>
          <t>꼬리 아랫부분이 바닥을 가리킴 · 짧게 흔들림</t>
        </is>
      </c>
      <c r="E9" s="14" t="inlineStr">
        <is>
          <t>등선 높이 · 꼬리끝이 바닥보다 위 · 부드러운 움직임</t>
        </is>
      </c>
      <c r="F9" s="14" t="inlineStr">
        <is>
          <t>등선보다 높이 올라옴</t>
        </is>
      </c>
      <c r="G9" s="14" t="inlineStr">
        <is>
          <t>높이 들고 경직 · 짧고 빠른 흔들림</t>
        </is>
      </c>
      <c r="H9" s="15" t="inlineStr">
        <is>
          <t>친밀·애착</t>
        </is>
      </c>
      <c r="I9" s="16" t="inlineStr">
        <is>
          <t>양쪽·각성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t="inlineStr">
        <is>
          <t>ATT</t>
        </is>
      </c>
      <c r="AE9">
        <f>IF($J9="",0,IF(INDEX($C9:$G9,$J9)="",0,$J9))</f>
        <v/>
      </c>
      <c r="AF9">
        <f>IF($K9="",0,IF(INDEX($C9:$G9,$K9)="",0,$K9))</f>
        <v/>
      </c>
      <c r="AG9">
        <f>IF($L9="",0,IF(INDEX($C9:$G9,$L9)="",0,$L9))</f>
        <v/>
      </c>
      <c r="AH9">
        <f>IF($M9="",0,IF(INDEX($C9:$G9,$M9)="",0,$M9))</f>
        <v/>
      </c>
      <c r="AI9">
        <f>IF($N9="",0,IF(INDEX($C9:$G9,$N9)="",0,$N9))</f>
        <v/>
      </c>
      <c r="AJ9">
        <f>IF($O9="",0,IF(INDEX($C9:$G9,$O9)="",0,$O9))</f>
        <v/>
      </c>
      <c r="AK9">
        <f>IF($P9="",0,IF(INDEX($C9:$G9,$P9)="",0,$P9))</f>
        <v/>
      </c>
      <c r="AL9">
        <f>IF($Q9="",0,IF(INDEX($C9:$G9,$Q9)="",0,$Q9))</f>
        <v/>
      </c>
      <c r="AM9">
        <f>IF($R9="",0,IF(INDEX($C9:$G9,$R9)="",0,$R9))</f>
        <v/>
      </c>
      <c r="AN9">
        <f>IF($S9="",0,IF(INDEX($C9:$G9,$S9)="",0,$S9))</f>
        <v/>
      </c>
      <c r="AO9">
        <f>IF($T9="",0,IF(INDEX($C9:$G9,$T9)="",0,$T9))</f>
        <v/>
      </c>
      <c r="AP9">
        <f>IF($U9="",0,IF(INDEX($C9:$G9,$U9)="",0,$U9))</f>
        <v/>
      </c>
      <c r="AQ9">
        <f>IF($V9="",0,IF(INDEX($C9:$G9,$V9)="",0,$V9))</f>
        <v/>
      </c>
      <c r="AR9">
        <f>IF($W9="",0,IF(INDEX($C9:$G9,$W9)="",0,$W9))</f>
        <v/>
      </c>
      <c r="AS9">
        <f>IF($X9="",0,IF(INDEX($C9:$G9,$X9)="",0,$X9))</f>
        <v/>
      </c>
      <c r="AT9">
        <f>IF($Y9="",0,IF(INDEX($C9:$G9,$Y9)="",0,$Y9))</f>
        <v/>
      </c>
      <c r="AU9">
        <f>IF($Z9="",0,IF(INDEX($C9:$G9,$Z9)="",0,$Z9))</f>
        <v/>
      </c>
      <c r="AV9">
        <f>IF($AA9="",0,IF(INDEX($C9:$G9,$AA9)="",0,$AA9))</f>
        <v/>
      </c>
      <c r="AW9">
        <f>IF($AB9="",0,IF(INDEX($C9:$G9,$AB9)="",0,$AB9))</f>
        <v/>
      </c>
      <c r="AX9">
        <f>IF($AC9="",0,IF(INDEX($C9:$G9,$AC9)="",0,$AC9))</f>
        <v/>
      </c>
      <c r="AY9" t="inlineStr">
        <is>
          <t>BI</t>
        </is>
      </c>
    </row>
    <row r="10" ht="42" customHeight="1">
      <c r="A10" s="12" t="inlineStr">
        <is>
          <t>혼자</t>
        </is>
      </c>
      <c r="B10" s="13" t="inlineStr">
        <is>
          <t>분리 — 몸 털기  ※횟수 · 점수가 아닙니다</t>
        </is>
      </c>
      <c r="C10" s="14" t="inlineStr">
        <is>
          <t>보호자가 나간 순간부터 5초 안에 개가 몸을 턴 횟수를 셉니다. 물기를 털듯 온몸을 흔드는 동작입니다. 하품·코 핥기는 세지 않습니다 — 개가 가까울 때만 보여 채점자마다 달라집니다.</t>
        </is>
      </c>
      <c r="D10" s="14" t="n"/>
      <c r="E10" s="14" t="n"/>
      <c r="F10" s="14" t="n"/>
      <c r="G10" s="14" t="n"/>
      <c r="H10" s="15" t="inlineStr">
        <is>
          <t>— 참고 · 각성의 보조</t>
        </is>
      </c>
      <c r="I10" s="16" t="inlineStr">
        <is>
          <t>참고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 ht="24" customHeight="1">
      <c r="A11" s="17" t="inlineStr">
        <is>
          <t>낯선</t>
        </is>
      </c>
      <c r="B11" s="18" t="inlineStr">
        <is>
          <t>꼬리  ※낯선 사람이 있는 동안</t>
        </is>
      </c>
      <c r="C11" s="19" t="inlineStr">
        <is>
          <t>다리 사이로 말아 넣음</t>
        </is>
      </c>
      <c r="D11" s="19" t="inlineStr">
        <is>
          <t>꼬리 아랫부분이 바닥을 가리킴 · 짧게 흔들림</t>
        </is>
      </c>
      <c r="E11" s="19" t="inlineStr">
        <is>
          <t>등선 높이 · 꼬리끝이 바닥보다 위 · 부드러운 움직임</t>
        </is>
      </c>
      <c r="F11" s="19" t="inlineStr">
        <is>
          <t>등선보다 높이 올라옴</t>
        </is>
      </c>
      <c r="G11" s="19" t="inlineStr">
        <is>
          <t>높이 들고 경직 · 짧고 빠른 흔들림</t>
        </is>
      </c>
      <c r="H11" s="20" t="inlineStr">
        <is>
          <t>사회성 — 사람</t>
        </is>
      </c>
      <c r="I11" s="21" t="inlineStr">
        <is>
          <t>양쪽·각성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t="inlineStr">
        <is>
          <t>SOC_H</t>
        </is>
      </c>
      <c r="AE11">
        <f>IF($J11="",0,IF(INDEX($C11:$G11,$J11)="",0,$J11))</f>
        <v/>
      </c>
      <c r="AF11">
        <f>IF($K11="",0,IF(INDEX($C11:$G11,$K11)="",0,$K11))</f>
        <v/>
      </c>
      <c r="AG11">
        <f>IF($L11="",0,IF(INDEX($C11:$G11,$L11)="",0,$L11))</f>
        <v/>
      </c>
      <c r="AH11">
        <f>IF($M11="",0,IF(INDEX($C11:$G11,$M11)="",0,$M11))</f>
        <v/>
      </c>
      <c r="AI11">
        <f>IF($N11="",0,IF(INDEX($C11:$G11,$N11)="",0,$N11))</f>
        <v/>
      </c>
      <c r="AJ11">
        <f>IF($O11="",0,IF(INDEX($C11:$G11,$O11)="",0,$O11))</f>
        <v/>
      </c>
      <c r="AK11">
        <f>IF($P11="",0,IF(INDEX($C11:$G11,$P11)="",0,$P11))</f>
        <v/>
      </c>
      <c r="AL11">
        <f>IF($Q11="",0,IF(INDEX($C11:$G11,$Q11)="",0,$Q11))</f>
        <v/>
      </c>
      <c r="AM11">
        <f>IF($R11="",0,IF(INDEX($C11:$G11,$R11)="",0,$R11))</f>
        <v/>
      </c>
      <c r="AN11">
        <f>IF($S11="",0,IF(INDEX($C11:$G11,$S11)="",0,$S11))</f>
        <v/>
      </c>
      <c r="AO11">
        <f>IF($T11="",0,IF(INDEX($C11:$G11,$T11)="",0,$T11))</f>
        <v/>
      </c>
      <c r="AP11">
        <f>IF($U11="",0,IF(INDEX($C11:$G11,$U11)="",0,$U11))</f>
        <v/>
      </c>
      <c r="AQ11">
        <f>IF($V11="",0,IF(INDEX($C11:$G11,$V11)="",0,$V11))</f>
        <v/>
      </c>
      <c r="AR11">
        <f>IF($W11="",0,IF(INDEX($C11:$G11,$W11)="",0,$W11))</f>
        <v/>
      </c>
      <c r="AS11">
        <f>IF($X11="",0,IF(INDEX($C11:$G11,$X11)="",0,$X11))</f>
        <v/>
      </c>
      <c r="AT11">
        <f>IF($Y11="",0,IF(INDEX($C11:$G11,$Y11)="",0,$Y11))</f>
        <v/>
      </c>
      <c r="AU11">
        <f>IF($Z11="",0,IF(INDEX($C11:$G11,$Z11)="",0,$Z11))</f>
        <v/>
      </c>
      <c r="AV11">
        <f>IF($AA11="",0,IF(INDEX($C11:$G11,$AA11)="",0,$AA11))</f>
        <v/>
      </c>
      <c r="AW11">
        <f>IF($AB11="",0,IF(INDEX($C11:$G11,$AB11)="",0,$AB11))</f>
        <v/>
      </c>
      <c r="AX11">
        <f>IF($AC11="",0,IF(INDEX($C11:$G11,$AC11)="",0,$AC11))</f>
        <v/>
      </c>
      <c r="AY11" t="inlineStr">
        <is>
          <t>BI</t>
        </is>
      </c>
    </row>
    <row r="12" ht="24" customHeight="1">
      <c r="A12" s="22" t="inlineStr">
        <is>
          <t>걷기</t>
        </is>
      </c>
      <c r="B12" s="23" t="inlineStr">
        <is>
          <t>꼬리</t>
        </is>
      </c>
      <c r="C12" s="24" t="inlineStr">
        <is>
          <t>다리 사이로 말아 넣음</t>
        </is>
      </c>
      <c r="D12" s="24" t="inlineStr">
        <is>
          <t>꼬리 아랫부분이 바닥을 가리킴 · 짧게 흔들림</t>
        </is>
      </c>
      <c r="E12" s="24" t="inlineStr">
        <is>
          <t>등선 높이 · 꼬리끝이 바닥보다 위 · 부드러운 움직임</t>
        </is>
      </c>
      <c r="F12" s="24" t="inlineStr">
        <is>
          <t>등선보다 높이 올라옴</t>
        </is>
      </c>
      <c r="G12" s="24" t="inlineStr">
        <is>
          <t>높이 들고 경직 · 짧고 빠른 흔들림</t>
        </is>
      </c>
      <c r="H12" s="25" t="inlineStr">
        <is>
          <t>행동 동조</t>
        </is>
      </c>
      <c r="I12" s="26" t="inlineStr">
        <is>
          <t>양쪽·각성</t>
        </is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t="inlineStr">
        <is>
          <t>SYN</t>
        </is>
      </c>
      <c r="AE12">
        <f>IF($J12="",0,IF(INDEX($C12:$G12,$J12)="",0,$J12))</f>
        <v/>
      </c>
      <c r="AF12">
        <f>IF($K12="",0,IF(INDEX($C12:$G12,$K12)="",0,$K12))</f>
        <v/>
      </c>
      <c r="AG12">
        <f>IF($L12="",0,IF(INDEX($C12:$G12,$L12)="",0,$L12))</f>
        <v/>
      </c>
      <c r="AH12">
        <f>IF($M12="",0,IF(INDEX($C12:$G12,$M12)="",0,$M12))</f>
        <v/>
      </c>
      <c r="AI12">
        <f>IF($N12="",0,IF(INDEX($C12:$G12,$N12)="",0,$N12))</f>
        <v/>
      </c>
      <c r="AJ12">
        <f>IF($O12="",0,IF(INDEX($C12:$G12,$O12)="",0,$O12))</f>
        <v/>
      </c>
      <c r="AK12">
        <f>IF($P12="",0,IF(INDEX($C12:$G12,$P12)="",0,$P12))</f>
        <v/>
      </c>
      <c r="AL12">
        <f>IF($Q12="",0,IF(INDEX($C12:$G12,$Q12)="",0,$Q12))</f>
        <v/>
      </c>
      <c r="AM12">
        <f>IF($R12="",0,IF(INDEX($C12:$G12,$R12)="",0,$R12))</f>
        <v/>
      </c>
      <c r="AN12">
        <f>IF($S12="",0,IF(INDEX($C12:$G12,$S12)="",0,$S12))</f>
        <v/>
      </c>
      <c r="AO12">
        <f>IF($T12="",0,IF(INDEX($C12:$G12,$T12)="",0,$T12))</f>
        <v/>
      </c>
      <c r="AP12">
        <f>IF($U12="",0,IF(INDEX($C12:$G12,$U12)="",0,$U12))</f>
        <v/>
      </c>
      <c r="AQ12">
        <f>IF($V12="",0,IF(INDEX($C12:$G12,$V12)="",0,$V12))</f>
        <v/>
      </c>
      <c r="AR12">
        <f>IF($W12="",0,IF(INDEX($C12:$G12,$W12)="",0,$W12))</f>
        <v/>
      </c>
      <c r="AS12">
        <f>IF($X12="",0,IF(INDEX($C12:$G12,$X12)="",0,$X12))</f>
        <v/>
      </c>
      <c r="AT12">
        <f>IF($Y12="",0,IF(INDEX($C12:$G12,$Y12)="",0,$Y12))</f>
        <v/>
      </c>
      <c r="AU12">
        <f>IF($Z12="",0,IF(INDEX($C12:$G12,$Z12)="",0,$Z12))</f>
        <v/>
      </c>
      <c r="AV12">
        <f>IF($AA12="",0,IF(INDEX($C12:$G12,$AA12)="",0,$AA12))</f>
        <v/>
      </c>
      <c r="AW12">
        <f>IF($AB12="",0,IF(INDEX($C12:$G12,$AB12)="",0,$AB12))</f>
        <v/>
      </c>
      <c r="AX12">
        <f>IF($AC12="",0,IF(INDEX($C12:$G12,$AC12)="",0,$AC12))</f>
        <v/>
      </c>
      <c r="AY12" t="inlineStr">
        <is>
          <t>BI</t>
        </is>
      </c>
    </row>
    <row r="13" ht="24" customHeight="1">
      <c r="A13" s="6" t="inlineStr">
        <is>
          <t>퇴장</t>
        </is>
      </c>
      <c r="B13" s="7" t="inlineStr">
        <is>
          <t>꼬리</t>
        </is>
      </c>
      <c r="C13" s="8" t="inlineStr">
        <is>
          <t>다리 사이로 말아 넣음</t>
        </is>
      </c>
      <c r="D13" s="8" t="inlineStr">
        <is>
          <t>꼬리 아랫부분이 바닥을 가리킴 · 짧게 흔들림</t>
        </is>
      </c>
      <c r="E13" s="8" t="inlineStr">
        <is>
          <t>등선 높이 · 꼬리끝이 바닥보다 위 · 부드러운 움직임</t>
        </is>
      </c>
      <c r="F13" s="8" t="inlineStr">
        <is>
          <t>등선보다 높이 올라옴</t>
        </is>
      </c>
      <c r="G13" s="8" t="inlineStr">
        <is>
          <t>높이 들고 경직 · 짧고 빠른 흔들림</t>
        </is>
      </c>
      <c r="H13" s="9" t="inlineStr">
        <is>
          <t>퇴장 — 환경 적응</t>
        </is>
      </c>
      <c r="I13" s="10" t="inlineStr">
        <is>
          <t>양쪽·각성</t>
        </is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t="inlineStr">
        <is>
          <t>EXIT</t>
        </is>
      </c>
      <c r="AE13">
        <f>IF($J13="",0,IF(INDEX($C13:$G13,$J13)="",0,$J13))</f>
        <v/>
      </c>
      <c r="AF13">
        <f>IF($K13="",0,IF(INDEX($C13:$G13,$K13)="",0,$K13))</f>
        <v/>
      </c>
      <c r="AG13">
        <f>IF($L13="",0,IF(INDEX($C13:$G13,$L13)="",0,$L13))</f>
        <v/>
      </c>
      <c r="AH13">
        <f>IF($M13="",0,IF(INDEX($C13:$G13,$M13)="",0,$M13))</f>
        <v/>
      </c>
      <c r="AI13">
        <f>IF($N13="",0,IF(INDEX($C13:$G13,$N13)="",0,$N13))</f>
        <v/>
      </c>
      <c r="AJ13">
        <f>IF($O13="",0,IF(INDEX($C13:$G13,$O13)="",0,$O13))</f>
        <v/>
      </c>
      <c r="AK13">
        <f>IF($P13="",0,IF(INDEX($C13:$G13,$P13)="",0,$P13))</f>
        <v/>
      </c>
      <c r="AL13">
        <f>IF($Q13="",0,IF(INDEX($C13:$G13,$Q13)="",0,$Q13))</f>
        <v/>
      </c>
      <c r="AM13">
        <f>IF($R13="",0,IF(INDEX($C13:$G13,$R13)="",0,$R13))</f>
        <v/>
      </c>
      <c r="AN13">
        <f>IF($S13="",0,IF(INDEX($C13:$G13,$S13)="",0,$S13))</f>
        <v/>
      </c>
      <c r="AO13">
        <f>IF($T13="",0,IF(INDEX($C13:$G13,$T13)="",0,$T13))</f>
        <v/>
      </c>
      <c r="AP13">
        <f>IF($U13="",0,IF(INDEX($C13:$G13,$U13)="",0,$U13))</f>
        <v/>
      </c>
      <c r="AQ13">
        <f>IF($V13="",0,IF(INDEX($C13:$G13,$V13)="",0,$V13))</f>
        <v/>
      </c>
      <c r="AR13">
        <f>IF($W13="",0,IF(INDEX($C13:$G13,$W13)="",0,$W13))</f>
        <v/>
      </c>
      <c r="AS13">
        <f>IF($X13="",0,IF(INDEX($C13:$G13,$X13)="",0,$X13))</f>
        <v/>
      </c>
      <c r="AT13">
        <f>IF($Y13="",0,IF(INDEX($C13:$G13,$Y13)="",0,$Y13))</f>
        <v/>
      </c>
      <c r="AU13">
        <f>IF($Z13="",0,IF(INDEX($C13:$G13,$Z13)="",0,$Z13))</f>
        <v/>
      </c>
      <c r="AV13">
        <f>IF($AA13="",0,IF(INDEX($C13:$G13,$AA13)="",0,$AA13))</f>
        <v/>
      </c>
      <c r="AW13">
        <f>IF($AB13="",0,IF(INDEX($C13:$G13,$AB13)="",0,$AB13))</f>
        <v/>
      </c>
      <c r="AX13">
        <f>IF($AC13="",0,IF(INDEX($C13:$G13,$AC13)="",0,$AC13))</f>
        <v/>
      </c>
      <c r="AY13" t="inlineStr">
        <is>
          <t>BI</t>
        </is>
      </c>
    </row>
    <row r="14"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4" t="inlineStr">
        <is>
          <t>※ 3점이 안정입니다. 축이 넷입니다 — 애착(1 과잉↔5 없음) · 우호(1 경계↔5 과한 우호) · 사회화(1 회피↔5 살피지 않음) · 각성(1 위축↔5 흥분). 「한쪽」 항목은 1·2가 비어 있습니다.</t>
        </is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</sheetData>
  <dataValidations count="1">
    <dataValidation sqref="J5:AC10" showDropDown="0" showInputMessage="0" showErrorMessage="0" allowBlank="1" type="whole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pane xSplit="9" ySplit="4" topLeftCell="J26" activePane="bottomRight" state="frozen"/>
      <selection pane="topRight" activeCell="A1" sqref="A1"/>
      <selection pane="bottomLeft" activeCell="A1" sqref="A1"/>
      <selection pane="bottomRight" activeCell="E21" sqref="E21"/>
    </sheetView>
  </sheetViews>
  <sheetFormatPr baseColWidth="8" defaultRowHeight="16.5"/>
  <cols>
    <col width="8" customWidth="1" min="1" max="1"/>
    <col width="44" customWidth="1" min="2" max="2"/>
    <col width="33.25" customWidth="1" min="3" max="3"/>
    <col width="26" customWidth="1" min="4" max="7"/>
    <col width="22" customWidth="1" min="8" max="8"/>
    <col width="10" customWidth="1" min="9" max="9"/>
    <col width="5" customWidth="1" min="10" max="29"/>
  </cols>
  <sheetData>
    <row r="1" ht="20.25" customHeight="1">
      <c r="A1" s="1" t="inlineStr">
        <is>
          <t>개행동</t>
        </is>
      </c>
    </row>
    <row r="2">
      <c r="A2" s="4" t="inlineStr">
        <is>
          <t>자극 상황에 대해 실제로 한 행동. 구간마다 방향 하나와 각성 하나를 봅니다.</t>
        </is>
      </c>
    </row>
    <row r="3">
      <c r="A3" s="4" t="inlineStr">
        <is>
          <t>J열부터 오른쪽으로 1번~20번 강아지 칸입니다. 각 칸에 1~5 중 하나를 넣습니다.  ★ 3점이 안정이고 1과 5, 2와 4가 서로 대치됩니다.  축이 넷입니다 — 「애착」 1 과잉↔5 없음 / 「우호」 1 경계↔5 과한 우호 / 「사회화」 1 회피↔5 살피지 않음 / 「각성」 1 위축↔5 흥분. I열에 적어 두었습니다.  회색 칸은 해당 단계가 없으며, 그 번호를 넣으면 무효 처리됩니다.</t>
        </is>
      </c>
    </row>
    <row r="4">
      <c r="A4" s="5" t="inlineStr">
        <is>
          <t>구간</t>
        </is>
      </c>
      <c r="B4" s="5" t="inlineStr">
        <is>
          <t>관찰 항목</t>
        </is>
      </c>
      <c r="C4" s="5" t="inlineStr">
        <is>
          <t>1</t>
        </is>
      </c>
      <c r="D4" s="5" t="inlineStr">
        <is>
          <t>2</t>
        </is>
      </c>
      <c r="E4" s="5" t="inlineStr">
        <is>
          <t>3</t>
        </is>
      </c>
      <c r="F4" s="5" t="inlineStr">
        <is>
          <t>4</t>
        </is>
      </c>
      <c r="G4" s="5" t="inlineStr">
        <is>
          <t>5</t>
        </is>
      </c>
      <c r="H4" s="5" t="inlineStr">
        <is>
          <t>영역</t>
        </is>
      </c>
      <c r="I4" s="5" t="inlineStr">
        <is>
          <t>척도·축</t>
        </is>
      </c>
      <c r="J4" s="5" t="inlineStr">
        <is>
          <t>1번</t>
        </is>
      </c>
      <c r="K4" s="5" t="inlineStr">
        <is>
          <t>2번</t>
        </is>
      </c>
      <c r="L4" s="5" t="inlineStr">
        <is>
          <t>3번</t>
        </is>
      </c>
      <c r="M4" s="5" t="inlineStr">
        <is>
          <t>4번</t>
        </is>
      </c>
      <c r="N4" s="5" t="inlineStr">
        <is>
          <t>5번</t>
        </is>
      </c>
      <c r="O4" s="5" t="inlineStr">
        <is>
          <t>6번</t>
        </is>
      </c>
      <c r="P4" s="5" t="inlineStr">
        <is>
          <t>7번</t>
        </is>
      </c>
      <c r="Q4" s="5" t="inlineStr">
        <is>
          <t>8번</t>
        </is>
      </c>
      <c r="R4" s="5" t="inlineStr">
        <is>
          <t>9번</t>
        </is>
      </c>
      <c r="S4" s="5" t="inlineStr">
        <is>
          <t>10번</t>
        </is>
      </c>
      <c r="T4" s="5" t="inlineStr">
        <is>
          <t>11번</t>
        </is>
      </c>
      <c r="U4" s="5" t="inlineStr">
        <is>
          <t>12번</t>
        </is>
      </c>
      <c r="V4" s="5" t="inlineStr">
        <is>
          <t>13번</t>
        </is>
      </c>
      <c r="W4" s="5" t="inlineStr">
        <is>
          <t>14번</t>
        </is>
      </c>
      <c r="X4" s="5" t="inlineStr">
        <is>
          <t>15번</t>
        </is>
      </c>
      <c r="Y4" s="5" t="inlineStr">
        <is>
          <t>16번</t>
        </is>
      </c>
      <c r="Z4" s="5" t="inlineStr">
        <is>
          <t>17번</t>
        </is>
      </c>
      <c r="AA4" s="5" t="inlineStr">
        <is>
          <t>18번</t>
        </is>
      </c>
      <c r="AB4" s="5" t="inlineStr">
        <is>
          <t>19번</t>
        </is>
      </c>
      <c r="AC4" s="5" t="inlineStr">
        <is>
          <t>20번</t>
        </is>
      </c>
      <c r="AD4" s="4" t="inlineStr">
        <is>
          <t>영역코드</t>
        </is>
      </c>
      <c r="AY4" s="4" t="inlineStr">
        <is>
          <t>척도</t>
        </is>
      </c>
    </row>
    <row r="5" ht="42" customHeight="1">
      <c r="A5" s="6" t="inlineStr">
        <is>
          <t>입장</t>
        </is>
      </c>
      <c r="B5" s="7" t="inlineStr">
        <is>
          <t>[입장] 방 문 통과 — 보호자보다 앞서는가</t>
        </is>
      </c>
      <c r="C5" s="8" t="inlineStr">
        <is>
          <t>들어가지 않으려 버팀 · 보호자의 강한유도(끌거나, 5초이상)</t>
        </is>
      </c>
      <c r="D5" s="8" t="inlineStr">
        <is>
          <t>뒤처져 따라 들어옴, 보호자의 약한유도(5초 이내)</t>
        </is>
      </c>
      <c r="E5" s="8" t="inlineStr">
        <is>
          <t>보호자와 나란히 들어옴</t>
        </is>
      </c>
      <c r="F5" s="8" t="inlineStr">
        <is>
          <t>앞서 들어옴</t>
        </is>
      </c>
      <c r="G5" s="8" t="inlineStr">
        <is>
          <t>끌고 들어옴 · 뛰어 들어옴</t>
        </is>
      </c>
      <c r="H5" s="9" t="inlineStr">
        <is>
          <t>사회성 — 환경</t>
        </is>
      </c>
      <c r="I5" s="10" t="inlineStr">
        <is>
          <t>양쪽·각성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t="inlineStr">
        <is>
          <t>SOC_E</t>
        </is>
      </c>
      <c r="AE5">
        <f>IF($J5="",0,IF(INDEX($C5:$G5,$J5)="",0,$J5))</f>
        <v/>
      </c>
      <c r="AF5">
        <f>IF($K5="",0,IF(INDEX($C5:$G5,$K5)="",0,$K5))</f>
        <v/>
      </c>
      <c r="AG5">
        <f>IF($L5="",0,IF(INDEX($C5:$G5,$L5)="",0,$L5))</f>
        <v/>
      </c>
      <c r="AH5">
        <f>IF($M5="",0,IF(INDEX($C5:$G5,$M5)="",0,$M5))</f>
        <v/>
      </c>
      <c r="AI5">
        <f>IF($N5="",0,IF(INDEX($C5:$G5,$N5)="",0,$N5))</f>
        <v/>
      </c>
      <c r="AJ5">
        <f>IF($O5="",0,IF(INDEX($C5:$G5,$O5)="",0,$O5))</f>
        <v/>
      </c>
      <c r="AK5">
        <f>IF($P5="",0,IF(INDEX($C5:$G5,$P5)="",0,$P5))</f>
        <v/>
      </c>
      <c r="AL5">
        <f>IF($Q5="",0,IF(INDEX($C5:$G5,$Q5)="",0,$Q5))</f>
        <v/>
      </c>
      <c r="AM5">
        <f>IF($R5="",0,IF(INDEX($C5:$G5,$R5)="",0,$R5))</f>
        <v/>
      </c>
      <c r="AN5">
        <f>IF($S5="",0,IF(INDEX($C5:$G5,$S5)="",0,$S5))</f>
        <v/>
      </c>
      <c r="AO5">
        <f>IF($T5="",0,IF(INDEX($C5:$G5,$T5)="",0,$T5))</f>
        <v/>
      </c>
      <c r="AP5">
        <f>IF($U5="",0,IF(INDEX($C5:$G5,$U5)="",0,$U5))</f>
        <v/>
      </c>
      <c r="AQ5">
        <f>IF($V5="",0,IF(INDEX($C5:$G5,$V5)="",0,$V5))</f>
        <v/>
      </c>
      <c r="AR5">
        <f>IF($W5="",0,IF(INDEX($C5:$G5,$W5)="",0,$W5))</f>
        <v/>
      </c>
      <c r="AS5">
        <f>IF($X5="",0,IF(INDEX($C5:$G5,$X5)="",0,$X5))</f>
        <v/>
      </c>
      <c r="AT5">
        <f>IF($Y5="",0,IF(INDEX($C5:$G5,$Y5)="",0,$Y5))</f>
        <v/>
      </c>
      <c r="AU5">
        <f>IF($Z5="",0,IF(INDEX($C5:$G5,$Z5)="",0,$Z5))</f>
        <v/>
      </c>
      <c r="AV5">
        <f>IF($AA5="",0,IF(INDEX($C5:$G5,$AA5)="",0,$AA5))</f>
        <v/>
      </c>
      <c r="AW5">
        <f>IF($AB5="",0,IF(INDEX($C5:$G5,$AB5)="",0,$AB5))</f>
        <v/>
      </c>
      <c r="AX5">
        <f>IF($AC5="",0,IF(INDEX($C5:$G5,$AC5)="",0,$AC5))</f>
        <v/>
      </c>
      <c r="AY5" t="inlineStr">
        <is>
          <t>BI</t>
        </is>
      </c>
    </row>
    <row r="6" ht="42" customHeight="1">
      <c r="A6" s="6" t="inlineStr">
        <is>
          <t>입장</t>
        </is>
      </c>
      <c r="B6" s="7" t="inlineStr">
        <is>
          <t>[입장] 비닐 바닥 통과 — 스스로 밟는가</t>
        </is>
      </c>
      <c r="C6" s="8" t="inlineStr">
        <is>
          <t>올라가지 않음 · 돌아서 감 · 버팀</t>
        </is>
      </c>
      <c r="D6" s="8" t="inlineStr">
        <is>
          <t>머뭇거리다 뒤처져 밟음</t>
        </is>
      </c>
      <c r="E6" s="8" t="inlineStr">
        <is>
          <t>잠깐 살피고 스스로 지나감</t>
        </is>
      </c>
      <c r="F6" s="8" t="inlineStr">
        <is>
          <t>살피지 않고 그냥 지나감</t>
        </is>
      </c>
      <c r="G6" s="8" t="inlineStr">
        <is>
          <t>뛰어서 통과 · 밟는 줄도 모름</t>
        </is>
      </c>
      <c r="H6" s="9" t="inlineStr">
        <is>
          <t>사회성 — 환경</t>
        </is>
      </c>
      <c r="I6" s="10" t="inlineStr">
        <is>
          <t>양쪽·사회화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t="inlineStr">
        <is>
          <t>SOC_E</t>
        </is>
      </c>
      <c r="AE6">
        <f>IF($J6="",0,IF(INDEX($C6:$G6,$J6)="",0,$J6))</f>
        <v/>
      </c>
      <c r="AF6">
        <f>IF($K6="",0,IF(INDEX($C6:$G6,$K6)="",0,$K6))</f>
        <v/>
      </c>
      <c r="AG6">
        <f>IF($L6="",0,IF(INDEX($C6:$G6,$L6)="",0,$L6))</f>
        <v/>
      </c>
      <c r="AH6">
        <f>IF($M6="",0,IF(INDEX($C6:$G6,$M6)="",0,$M6))</f>
        <v/>
      </c>
      <c r="AI6">
        <f>IF($N6="",0,IF(INDEX($C6:$G6,$N6)="",0,$N6))</f>
        <v/>
      </c>
      <c r="AJ6">
        <f>IF($O6="",0,IF(INDEX($C6:$G6,$O6)="",0,$O6))</f>
        <v/>
      </c>
      <c r="AK6">
        <f>IF($P6="",0,IF(INDEX($C6:$G6,$P6)="",0,$P6))</f>
        <v/>
      </c>
      <c r="AL6">
        <f>IF($Q6="",0,IF(INDEX($C6:$G6,$Q6)="",0,$Q6))</f>
        <v/>
      </c>
      <c r="AM6">
        <f>IF($R6="",0,IF(INDEX($C6:$G6,$R6)="",0,$R6))</f>
        <v/>
      </c>
      <c r="AN6">
        <f>IF($S6="",0,IF(INDEX($C6:$G6,$S6)="",0,$S6))</f>
        <v/>
      </c>
      <c r="AO6">
        <f>IF($T6="",0,IF(INDEX($C6:$G6,$T6)="",0,$T6))</f>
        <v/>
      </c>
      <c r="AP6">
        <f>IF($U6="",0,IF(INDEX($C6:$G6,$U6)="",0,$U6))</f>
        <v/>
      </c>
      <c r="AQ6">
        <f>IF($V6="",0,IF(INDEX($C6:$G6,$V6)="",0,$V6))</f>
        <v/>
      </c>
      <c r="AR6">
        <f>IF($W6="",0,IF(INDEX($C6:$G6,$W6)="",0,$W6))</f>
        <v/>
      </c>
      <c r="AS6">
        <f>IF($X6="",0,IF(INDEX($C6:$G6,$X6)="",0,$X6))</f>
        <v/>
      </c>
      <c r="AT6">
        <f>IF($Y6="",0,IF(INDEX($C6:$G6,$Y6)="",0,$Y6))</f>
        <v/>
      </c>
      <c r="AU6">
        <f>IF($Z6="",0,IF(INDEX($C6:$G6,$Z6)="",0,$Z6))</f>
        <v/>
      </c>
      <c r="AV6">
        <f>IF($AA6="",0,IF(INDEX($C6:$G6,$AA6)="",0,$AA6))</f>
        <v/>
      </c>
      <c r="AW6">
        <f>IF($AB6="",0,IF(INDEX($C6:$G6,$AB6)="",0,$AB6))</f>
        <v/>
      </c>
      <c r="AX6">
        <f>IF($AC6="",0,IF(INDEX($C6:$G6,$AC6)="",0,$AC6))</f>
        <v/>
      </c>
      <c r="AY6" t="inlineStr">
        <is>
          <t>BI</t>
        </is>
      </c>
    </row>
    <row r="7" ht="42" customHeight="1">
      <c r="A7" s="6" t="inlineStr">
        <is>
          <t>입장</t>
        </is>
      </c>
      <c r="B7" s="7" t="inlineStr">
        <is>
          <t>[입장] 냄새 — 코를 쓰는가</t>
        </is>
      </c>
      <c r="C7" s="27" t="n"/>
      <c r="D7" s="27" t="n"/>
      <c r="E7" s="8" t="inlineStr">
        <is>
          <t>맡음 — 바닥이나 물체에 코를 댐</t>
        </is>
      </c>
      <c r="F7" s="27" t="n"/>
      <c r="G7" s="8" t="inlineStr">
        <is>
          <t>안 맡음</t>
        </is>
      </c>
      <c r="H7" s="9" t="inlineStr">
        <is>
          <t>— 참고 · 입장↔퇴장 비교용</t>
        </is>
      </c>
      <c r="I7" s="10" t="inlineStr">
        <is>
          <t>참고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 ht="42" customHeight="1">
      <c r="A8" s="28" t="inlineStr">
        <is>
          <t>기준</t>
        </is>
      </c>
      <c r="B8" s="29" t="inlineStr">
        <is>
          <t>[기준] 각성  ※목줄을 푼 직후 10초 · 모든 해석의 바탕</t>
        </is>
      </c>
      <c r="C8" s="30" t="inlineStr">
        <is>
          <t>얼어붙어 움직이지 않음</t>
        </is>
      </c>
      <c r="D8" s="30" t="inlineStr">
        <is>
          <t>웅크리고 거의 움직이지 않음</t>
        </is>
      </c>
      <c r="E8" s="30" t="inlineStr">
        <is>
          <t>편안히 앉거나 서서 둘러봄</t>
        </is>
      </c>
      <c r="F8" s="30" t="inlineStr">
        <is>
          <t>계속 움직임 · 자리를 못 잡음</t>
        </is>
      </c>
      <c r="G8" s="30" t="inlineStr">
        <is>
          <t>한시도 가만있지 못함 · 심하게 안절부절</t>
        </is>
      </c>
      <c r="H8" s="31" t="inlineStr">
        <is>
          <t>— 참고 (기준선)</t>
        </is>
      </c>
      <c r="I8" s="32" t="inlineStr">
        <is>
          <t>참고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 ht="42" customHeight="1">
      <c r="A9" s="12" t="inlineStr">
        <is>
          <t>혼자</t>
        </is>
      </c>
      <c r="B9" s="13" t="inlineStr">
        <is>
          <t>[혼자] 블라인드(나간 쪽) 지향  ★핵심 애착지표</t>
        </is>
      </c>
      <c r="C9" s="14" t="inlineStr">
        <is>
          <t>문 울타리에 붙어서 긁음, 낑낑거림.</t>
        </is>
      </c>
      <c r="D9" s="14" t="inlineStr">
        <is>
          <t>문앞에서 처다보고 있음</t>
        </is>
      </c>
      <c r="E9" s="14" t="inlineStr">
        <is>
          <t xml:space="preserve">문앞까지 따라온 뒤 스스로 시간을 보냄. </t>
        </is>
      </c>
      <c r="F9" s="14" t="inlineStr">
        <is>
          <t>문앞까지 따라오다 말음. 보호자가 나가는것을 늦게발견하고 따라왔다 다시 자기행동을 함</t>
        </is>
      </c>
      <c r="G9" s="14" t="inlineStr">
        <is>
          <t>나간 것을 알아차린 기색이 전혀 없음</t>
        </is>
      </c>
      <c r="H9" s="15" t="inlineStr">
        <is>
          <t>친밀·애착</t>
        </is>
      </c>
      <c r="I9" s="16" t="inlineStr">
        <is>
          <t>양쪽·애착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t="inlineStr">
        <is>
          <t>ATT</t>
        </is>
      </c>
      <c r="AE9">
        <f>IF($J9="",0,IF(INDEX($C9:$G9,$J9)="",0,$J9))</f>
        <v/>
      </c>
      <c r="AF9">
        <f>IF($K9="",0,IF(INDEX($C9:$G9,$K9)="",0,$K9))</f>
        <v/>
      </c>
      <c r="AG9">
        <f>IF($L9="",0,IF(INDEX($C9:$G9,$L9)="",0,$L9))</f>
        <v/>
      </c>
      <c r="AH9">
        <f>IF($M9="",0,IF(INDEX($C9:$G9,$M9)="",0,$M9))</f>
        <v/>
      </c>
      <c r="AI9">
        <f>IF($N9="",0,IF(INDEX($C9:$G9,$N9)="",0,$N9))</f>
        <v/>
      </c>
      <c r="AJ9">
        <f>IF($O9="",0,IF(INDEX($C9:$G9,$O9)="",0,$O9))</f>
        <v/>
      </c>
      <c r="AK9">
        <f>IF($P9="",0,IF(INDEX($C9:$G9,$P9)="",0,$P9))</f>
        <v/>
      </c>
      <c r="AL9">
        <f>IF($Q9="",0,IF(INDEX($C9:$G9,$Q9)="",0,$Q9))</f>
        <v/>
      </c>
      <c r="AM9">
        <f>IF($R9="",0,IF(INDEX($C9:$G9,$R9)="",0,$R9))</f>
        <v/>
      </c>
      <c r="AN9">
        <f>IF($S9="",0,IF(INDEX($C9:$G9,$S9)="",0,$S9))</f>
        <v/>
      </c>
      <c r="AO9">
        <f>IF($T9="",0,IF(INDEX($C9:$G9,$T9)="",0,$T9))</f>
        <v/>
      </c>
      <c r="AP9">
        <f>IF($U9="",0,IF(INDEX($C9:$G9,$U9)="",0,$U9))</f>
        <v/>
      </c>
      <c r="AQ9">
        <f>IF($V9="",0,IF(INDEX($C9:$G9,$V9)="",0,$V9))</f>
        <v/>
      </c>
      <c r="AR9">
        <f>IF($W9="",0,IF(INDEX($C9:$G9,$W9)="",0,$W9))</f>
        <v/>
      </c>
      <c r="AS9">
        <f>IF($X9="",0,IF(INDEX($C9:$G9,$X9)="",0,$X9))</f>
        <v/>
      </c>
      <c r="AT9">
        <f>IF($Y9="",0,IF(INDEX($C9:$G9,$Y9)="",0,$Y9))</f>
        <v/>
      </c>
      <c r="AU9">
        <f>IF($Z9="",0,IF(INDEX($C9:$G9,$Z9)="",0,$Z9))</f>
        <v/>
      </c>
      <c r="AV9">
        <f>IF($AA9="",0,IF(INDEX($C9:$G9,$AA9)="",0,$AA9))</f>
        <v/>
      </c>
      <c r="AW9">
        <f>IF($AB9="",0,IF(INDEX($C9:$G9,$AB9)="",0,$AB9))</f>
        <v/>
      </c>
      <c r="AX9">
        <f>IF($AC9="",0,IF(INDEX($C9:$G9,$AC9)="",0,$AC9))</f>
        <v/>
      </c>
      <c r="AY9" t="inlineStr">
        <is>
          <t>BI</t>
        </is>
      </c>
    </row>
    <row r="10" ht="42" customHeight="1">
      <c r="A10" s="12" t="inlineStr">
        <is>
          <t>혼자</t>
        </is>
      </c>
      <c r="B10" s="13" t="inlineStr">
        <is>
          <t>[혼자] 각성</t>
        </is>
      </c>
      <c r="C10" s="14" t="inlineStr">
        <is>
          <t>한자리에 얼어붙어 움직이지 않음</t>
        </is>
      </c>
      <c r="D10" s="14" t="inlineStr">
        <is>
          <t>구석 · 매트 한쪽에 웅크려 머묾</t>
        </is>
      </c>
      <c r="E10" s="14" t="inlineStr">
        <is>
          <t>안정적으로 머물며 가끔 둘러봄</t>
        </is>
      </c>
      <c r="F10" s="14" t="inlineStr">
        <is>
          <t>왔다갔다 반복 · 안절부절</t>
        </is>
      </c>
      <c r="G10" s="14" t="inlineStr">
        <is>
          <t>울타리 긁음 · 넘으려 함 · 패닉 (즉시 중단)</t>
        </is>
      </c>
      <c r="H10" s="15" t="inlineStr">
        <is>
          <t>친밀·애착</t>
        </is>
      </c>
      <c r="I10" s="16" t="inlineStr">
        <is>
          <t>양쪽·각성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t="inlineStr">
        <is>
          <t>ATT</t>
        </is>
      </c>
      <c r="AE10">
        <f>IF($J10="",0,IF(INDEX($C10:$G10,$J10)="",0,$J10))</f>
        <v/>
      </c>
      <c r="AF10">
        <f>IF($K10="",0,IF(INDEX($C10:$G10,$K10)="",0,$K10))</f>
        <v/>
      </c>
      <c r="AG10">
        <f>IF($L10="",0,IF(INDEX($C10:$G10,$L10)="",0,$L10))</f>
        <v/>
      </c>
      <c r="AH10">
        <f>IF($M10="",0,IF(INDEX($C10:$G10,$M10)="",0,$M10))</f>
        <v/>
      </c>
      <c r="AI10">
        <f>IF($N10="",0,IF(INDEX($C10:$G10,$N10)="",0,$N10))</f>
        <v/>
      </c>
      <c r="AJ10">
        <f>IF($O10="",0,IF(INDEX($C10:$G10,$O10)="",0,$O10))</f>
        <v/>
      </c>
      <c r="AK10">
        <f>IF($P10="",0,IF(INDEX($C10:$G10,$P10)="",0,$P10))</f>
        <v/>
      </c>
      <c r="AL10">
        <f>IF($Q10="",0,IF(INDEX($C10:$G10,$Q10)="",0,$Q10))</f>
        <v/>
      </c>
      <c r="AM10">
        <f>IF($R10="",0,IF(INDEX($C10:$G10,$R10)="",0,$R10))</f>
        <v/>
      </c>
      <c r="AN10">
        <f>IF($S10="",0,IF(INDEX($C10:$G10,$S10)="",0,$S10))</f>
        <v/>
      </c>
      <c r="AO10">
        <f>IF($T10="",0,IF(INDEX($C10:$G10,$T10)="",0,$T10))</f>
        <v/>
      </c>
      <c r="AP10">
        <f>IF($U10="",0,IF(INDEX($C10:$G10,$U10)="",0,$U10))</f>
        <v/>
      </c>
      <c r="AQ10">
        <f>IF($V10="",0,IF(INDEX($C10:$G10,$V10)="",0,$V10))</f>
        <v/>
      </c>
      <c r="AR10">
        <f>IF($W10="",0,IF(INDEX($C10:$G10,$W10)="",0,$W10))</f>
        <v/>
      </c>
      <c r="AS10">
        <f>IF($X10="",0,IF(INDEX($C10:$G10,$X10)="",0,$X10))</f>
        <v/>
      </c>
      <c r="AT10">
        <f>IF($Y10="",0,IF(INDEX($C10:$G10,$Y10)="",0,$Y10))</f>
        <v/>
      </c>
      <c r="AU10">
        <f>IF($Z10="",0,IF(INDEX($C10:$G10,$Z10)="",0,$Z10))</f>
        <v/>
      </c>
      <c r="AV10">
        <f>IF($AA10="",0,IF(INDEX($C10:$G10,$AA10)="",0,$AA10))</f>
        <v/>
      </c>
      <c r="AW10">
        <f>IF($AB10="",0,IF(INDEX($C10:$G10,$AB10)="",0,$AB10))</f>
        <v/>
      </c>
      <c r="AX10">
        <f>IF($AC10="",0,IF(INDEX($C10:$G10,$AC10)="",0,$AC10))</f>
        <v/>
      </c>
      <c r="AY10" t="inlineStr">
        <is>
          <t>BI</t>
        </is>
      </c>
    </row>
    <row r="11" ht="42" customHeight="1">
      <c r="A11" s="12" t="inlineStr">
        <is>
          <t>혼자</t>
        </is>
      </c>
      <c r="B11" s="13" t="inlineStr">
        <is>
          <t>[혼자] 발성  ※각성의 보조</t>
        </is>
      </c>
      <c r="C11" s="14" t="inlineStr">
        <is>
          <t>지속적인 낑낑소리</t>
        </is>
      </c>
      <c r="D11" s="14" t="inlineStr">
        <is>
          <t>가끔 낑낑</t>
        </is>
      </c>
      <c r="E11" s="14" t="inlineStr">
        <is>
          <t>없음</t>
        </is>
      </c>
      <c r="F11" s="14" t="inlineStr">
        <is>
          <t>한두 번 짖음</t>
        </is>
      </c>
      <c r="G11" s="14" t="inlineStr">
        <is>
          <t>여러 번 짖음</t>
        </is>
      </c>
      <c r="H11" s="15" t="inlineStr">
        <is>
          <t>— 참고 · 각성의 보조</t>
        </is>
      </c>
      <c r="I11" s="16" t="inlineStr">
        <is>
          <t>참고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 ht="42" customHeight="1">
      <c r="A12" s="12" t="inlineStr">
        <is>
          <t>혼자</t>
        </is>
      </c>
      <c r="B12" s="13" t="inlineStr">
        <is>
          <t>[혼자] 탐색량 변화  ※균형설계 불가 · 판정 제외</t>
        </is>
      </c>
      <c r="C12" s="14" t="inlineStr">
        <is>
          <t>보호자가 있을 때도 탐색이 거의 없다</t>
        </is>
      </c>
      <c r="D12" s="14" t="inlineStr">
        <is>
          <t>멀리 떨어지지 않고 탐색한다</t>
        </is>
      </c>
      <c r="E12" s="14" t="inlineStr">
        <is>
          <t>있을 때 탐색하고 나간 뒤 눈에 띄게 줄어든다</t>
        </is>
      </c>
      <c r="F12" s="14" t="inlineStr">
        <is>
          <t>잠시 신경 쓰고 탐색한다</t>
        </is>
      </c>
      <c r="G12" s="14" t="inlineStr">
        <is>
          <t>없어져도 있을 때와 마찬가지로 탐색</t>
        </is>
      </c>
      <c r="H12" s="15" t="inlineStr">
        <is>
          <t>— 참고 (Rehn 2013 · 순서효과)</t>
        </is>
      </c>
      <c r="I12" s="16" t="inlineStr">
        <is>
          <t>참고</t>
        </is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 ht="42" customHeight="1">
      <c r="A13" s="17" t="inlineStr">
        <is>
          <t>낯선</t>
        </is>
      </c>
      <c r="B13" s="18" t="inlineStr">
        <is>
          <t>[낯선] 우호성 — 다가가는가  ※거리로만 봅니다</t>
        </is>
      </c>
      <c r="C13" s="19" t="inlineStr">
        <is>
          <t>2 m 밖에서 벗어나지 않음 · 등을 돌림</t>
        </is>
      </c>
      <c r="D13" s="19" t="inlineStr">
        <is>
          <t>거리를 두고 지켜보기만 함</t>
        </is>
      </c>
      <c r="E13" s="19" t="inlineStr">
        <is>
          <t>다가가 냄새 맡고 스스로 물러남</t>
        </is>
      </c>
      <c r="F13" s="19" t="inlineStr">
        <is>
          <t>계속 붙어 다님</t>
        </is>
      </c>
      <c r="G13" s="19" t="inlineStr">
        <is>
          <t>뛰어오름 · 매달림 · 떨어지지 않음</t>
        </is>
      </c>
      <c r="H13" s="20" t="inlineStr">
        <is>
          <t>사회성 — 사람</t>
        </is>
      </c>
      <c r="I13" s="21" t="inlineStr">
        <is>
          <t>양쪽·우호</t>
        </is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t="inlineStr">
        <is>
          <t>SOC_H</t>
        </is>
      </c>
      <c r="AE13">
        <f>IF($J13="",0,IF(INDEX($C13:$G13,$J13)="",0,$J13))</f>
        <v/>
      </c>
      <c r="AF13">
        <f>IF($K13="",0,IF(INDEX($C13:$G13,$K13)="",0,$K13))</f>
        <v/>
      </c>
      <c r="AG13">
        <f>IF($L13="",0,IF(INDEX($C13:$G13,$L13)="",0,$L13))</f>
        <v/>
      </c>
      <c r="AH13">
        <f>IF($M13="",0,IF(INDEX($C13:$G13,$M13)="",0,$M13))</f>
        <v/>
      </c>
      <c r="AI13">
        <f>IF($N13="",0,IF(INDEX($C13:$G13,$N13)="",0,$N13))</f>
        <v/>
      </c>
      <c r="AJ13">
        <f>IF($O13="",0,IF(INDEX($C13:$G13,$O13)="",0,$O13))</f>
        <v/>
      </c>
      <c r="AK13">
        <f>IF($P13="",0,IF(INDEX($C13:$G13,$P13)="",0,$P13))</f>
        <v/>
      </c>
      <c r="AL13">
        <f>IF($Q13="",0,IF(INDEX($C13:$G13,$Q13)="",0,$Q13))</f>
        <v/>
      </c>
      <c r="AM13">
        <f>IF($R13="",0,IF(INDEX($C13:$G13,$R13)="",0,$R13))</f>
        <v/>
      </c>
      <c r="AN13">
        <f>IF($S13="",0,IF(INDEX($C13:$G13,$S13)="",0,$S13))</f>
        <v/>
      </c>
      <c r="AO13">
        <f>IF($T13="",0,IF(INDEX($C13:$G13,$T13)="",0,$T13))</f>
        <v/>
      </c>
      <c r="AP13">
        <f>IF($U13="",0,IF(INDEX($C13:$G13,$U13)="",0,$U13))</f>
        <v/>
      </c>
      <c r="AQ13">
        <f>IF($V13="",0,IF(INDEX($C13:$G13,$V13)="",0,$V13))</f>
        <v/>
      </c>
      <c r="AR13">
        <f>IF($W13="",0,IF(INDEX($C13:$G13,$W13)="",0,$W13))</f>
        <v/>
      </c>
      <c r="AS13">
        <f>IF($X13="",0,IF(INDEX($C13:$G13,$X13)="",0,$X13))</f>
        <v/>
      </c>
      <c r="AT13">
        <f>IF($Y13="",0,IF(INDEX($C13:$G13,$Y13)="",0,$Y13))</f>
        <v/>
      </c>
      <c r="AU13">
        <f>IF($Z13="",0,IF(INDEX($C13:$G13,$Z13)="",0,$Z13))</f>
        <v/>
      </c>
      <c r="AV13">
        <f>IF($AA13="",0,IF(INDEX($C13:$G13,$AA13)="",0,$AA13))</f>
        <v/>
      </c>
      <c r="AW13">
        <f>IF($AB13="",0,IF(INDEX($C13:$G13,$AB13)="",0,$AB13))</f>
        <v/>
      </c>
      <c r="AX13">
        <f>IF($AC13="",0,IF(INDEX($C13:$G13,$AC13)="",0,$AC13))</f>
        <v/>
      </c>
      <c r="AY13" t="inlineStr">
        <is>
          <t>BI</t>
        </is>
      </c>
    </row>
    <row r="14" ht="42" customHeight="1">
      <c r="A14" s="17" t="inlineStr">
        <is>
          <t>낯선</t>
        </is>
      </c>
      <c r="B14" s="18" t="inlineStr">
        <is>
          <t>[낯선] 각성  ※들떴는가 굳었는가만 봅니다</t>
        </is>
      </c>
      <c r="C14" s="19" t="inlineStr">
        <is>
          <t>얼어붙음 · 굳어서 움직이지 않음</t>
        </is>
      </c>
      <c r="D14" s="19" t="inlineStr">
        <is>
          <t>웅크림 · 조심스럽게 움직임</t>
        </is>
      </c>
      <c r="E14" s="19" t="inlineStr">
        <is>
          <t>편안히 움직임</t>
        </is>
      </c>
      <c r="F14" s="19" t="inlineStr">
        <is>
          <t>들떠서 계속 움직임</t>
        </is>
      </c>
      <c r="G14" s="19" t="inlineStr">
        <is>
          <t>짖음 · 안절부절 · 가만있지 못함</t>
        </is>
      </c>
      <c r="H14" s="20" t="inlineStr">
        <is>
          <t>사회성 — 사람</t>
        </is>
      </c>
      <c r="I14" s="21" t="inlineStr">
        <is>
          <t>양쪽·각성</t>
        </is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t="inlineStr">
        <is>
          <t>SOC_H</t>
        </is>
      </c>
      <c r="AE14">
        <f>IF($J14="",0,IF(INDEX($C14:$G14,$J14)="",0,$J14))</f>
        <v/>
      </c>
      <c r="AF14">
        <f>IF($K14="",0,IF(INDEX($C14:$G14,$K14)="",0,$K14))</f>
        <v/>
      </c>
      <c r="AG14">
        <f>IF($L14="",0,IF(INDEX($C14:$G14,$L14)="",0,$L14))</f>
        <v/>
      </c>
      <c r="AH14">
        <f>IF($M14="",0,IF(INDEX($C14:$G14,$M14)="",0,$M14))</f>
        <v/>
      </c>
      <c r="AI14">
        <f>IF($N14="",0,IF(INDEX($C14:$G14,$N14)="",0,$N14))</f>
        <v/>
      </c>
      <c r="AJ14">
        <f>IF($O14="",0,IF(INDEX($C14:$G14,$O14)="",0,$O14))</f>
        <v/>
      </c>
      <c r="AK14">
        <f>IF($P14="",0,IF(INDEX($C14:$G14,$P14)="",0,$P14))</f>
        <v/>
      </c>
      <c r="AL14">
        <f>IF($Q14="",0,IF(INDEX($C14:$G14,$Q14)="",0,$Q14))</f>
        <v/>
      </c>
      <c r="AM14">
        <f>IF($R14="",0,IF(INDEX($C14:$G14,$R14)="",0,$R14))</f>
        <v/>
      </c>
      <c r="AN14">
        <f>IF($S14="",0,IF(INDEX($C14:$G14,$S14)="",0,$S14))</f>
        <v/>
      </c>
      <c r="AO14">
        <f>IF($T14="",0,IF(INDEX($C14:$G14,$T14)="",0,$T14))</f>
        <v/>
      </c>
      <c r="AP14">
        <f>IF($U14="",0,IF(INDEX($C14:$G14,$U14)="",0,$U14))</f>
        <v/>
      </c>
      <c r="AQ14">
        <f>IF($V14="",0,IF(INDEX($C14:$G14,$V14)="",0,$V14))</f>
        <v/>
      </c>
      <c r="AR14">
        <f>IF($W14="",0,IF(INDEX($C14:$G14,$W14)="",0,$W14))</f>
        <v/>
      </c>
      <c r="AS14">
        <f>IF($X14="",0,IF(INDEX($C14:$G14,$X14)="",0,$X14))</f>
        <v/>
      </c>
      <c r="AT14">
        <f>IF($Y14="",0,IF(INDEX($C14:$G14,$Y14)="",0,$Y14))</f>
        <v/>
      </c>
      <c r="AU14">
        <f>IF($Z14="",0,IF(INDEX($C14:$G14,$Z14)="",0,$Z14))</f>
        <v/>
      </c>
      <c r="AV14">
        <f>IF($AA14="",0,IF(INDEX($C14:$G14,$AA14)="",0,$AA14))</f>
        <v/>
      </c>
      <c r="AW14">
        <f>IF($AB14="",0,IF(INDEX($C14:$G14,$AB14)="",0,$AB14))</f>
        <v/>
      </c>
      <c r="AX14">
        <f>IF($AC14="",0,IF(INDEX($C14:$G14,$AC14)="",0,$AC14))</f>
        <v/>
      </c>
      <c r="AY14" t="inlineStr">
        <is>
          <t>BI</t>
        </is>
      </c>
    </row>
    <row r="15" ht="42" customHeight="1">
      <c r="A15" s="17" t="inlineStr">
        <is>
          <t>낯선</t>
        </is>
      </c>
      <c r="B15" s="18" t="inlineStr">
        <is>
          <t>[낯선] 이름을 불렀을 때  ★보호자 부름과 비교</t>
        </is>
      </c>
      <c r="C15" s="19" t="inlineStr">
        <is>
          <t>매달림 · 떨어지지 않음</t>
        </is>
      </c>
      <c r="D15" s="19" t="inlineStr">
        <is>
          <t>바로 와서 몸을 붙임</t>
        </is>
      </c>
      <c r="E15" s="19" t="inlineStr">
        <is>
          <t>와서 살피고 스스로 물러남</t>
        </is>
      </c>
      <c r="F15" s="19" t="inlineStr">
        <is>
          <t>고개만 돌림 · 오지 않음</t>
        </is>
      </c>
      <c r="G15" s="19" t="inlineStr">
        <is>
          <t>반응 없음 · 계속 딴 것을 함</t>
        </is>
      </c>
      <c r="H15" s="20" t="inlineStr">
        <is>
          <t>사회성 — 사람</t>
        </is>
      </c>
      <c r="I15" s="21" t="inlineStr">
        <is>
          <t>양쪽·우호</t>
        </is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t="inlineStr">
        <is>
          <t>SOC_H</t>
        </is>
      </c>
      <c r="AE15">
        <f>IF($J15="",0,IF(INDEX($C15:$G15,$J15)="",0,$J15))</f>
        <v/>
      </c>
      <c r="AF15">
        <f>IF($K15="",0,IF(INDEX($C15:$G15,$K15)="",0,$K15))</f>
        <v/>
      </c>
      <c r="AG15">
        <f>IF($L15="",0,IF(INDEX($C15:$G15,$L15)="",0,$L15))</f>
        <v/>
      </c>
      <c r="AH15">
        <f>IF($M15="",0,IF(INDEX($C15:$G15,$M15)="",0,$M15))</f>
        <v/>
      </c>
      <c r="AI15">
        <f>IF($N15="",0,IF(INDEX($C15:$G15,$N15)="",0,$N15))</f>
        <v/>
      </c>
      <c r="AJ15">
        <f>IF($O15="",0,IF(INDEX($C15:$G15,$O15)="",0,$O15))</f>
        <v/>
      </c>
      <c r="AK15">
        <f>IF($P15="",0,IF(INDEX($C15:$G15,$P15)="",0,$P15))</f>
        <v/>
      </c>
      <c r="AL15">
        <f>IF($Q15="",0,IF(INDEX($C15:$G15,$Q15)="",0,$Q15))</f>
        <v/>
      </c>
      <c r="AM15">
        <f>IF($R15="",0,IF(INDEX($C15:$G15,$R15)="",0,$R15))</f>
        <v/>
      </c>
      <c r="AN15">
        <f>IF($S15="",0,IF(INDEX($C15:$G15,$S15)="",0,$S15))</f>
        <v/>
      </c>
      <c r="AO15">
        <f>IF($T15="",0,IF(INDEX($C15:$G15,$T15)="",0,$T15))</f>
        <v/>
      </c>
      <c r="AP15">
        <f>IF($U15="",0,IF(INDEX($C15:$G15,$U15)="",0,$U15))</f>
        <v/>
      </c>
      <c r="AQ15">
        <f>IF($V15="",0,IF(INDEX($C15:$G15,$V15)="",0,$V15))</f>
        <v/>
      </c>
      <c r="AR15">
        <f>IF($W15="",0,IF(INDEX($C15:$G15,$W15)="",0,$W15))</f>
        <v/>
      </c>
      <c r="AS15">
        <f>IF($X15="",0,IF(INDEX($C15:$G15,$X15)="",0,$X15))</f>
        <v/>
      </c>
      <c r="AT15">
        <f>IF($Y15="",0,IF(INDEX($C15:$G15,$Y15)="",0,$Y15))</f>
        <v/>
      </c>
      <c r="AU15">
        <f>IF($Z15="",0,IF(INDEX($C15:$G15,$Z15)="",0,$Z15))</f>
        <v/>
      </c>
      <c r="AV15">
        <f>IF($AA15="",0,IF(INDEX($C15:$G15,$AA15)="",0,$AA15))</f>
        <v/>
      </c>
      <c r="AW15">
        <f>IF($AB15="",0,IF(INDEX($C15:$G15,$AB15)="",0,$AB15))</f>
        <v/>
      </c>
      <c r="AX15">
        <f>IF($AC15="",0,IF(INDEX($C15:$G15,$AC15)="",0,$AC15))</f>
        <v/>
      </c>
      <c r="AY15" t="inlineStr">
        <is>
          <t>BI</t>
        </is>
      </c>
    </row>
    <row r="16" ht="42" customHeight="1">
      <c r="A16" s="12" t="inlineStr">
        <is>
          <t>재회</t>
        </is>
      </c>
      <c r="B16" s="13" t="inlineStr">
        <is>
          <t>[재회] 다가오는가  ※보호자가 들어와 의자에 앉을 때까지</t>
        </is>
      </c>
      <c r="C16" s="14" t="inlineStr">
        <is>
          <t>걸어가는 내내 매달려 떨어지지 않음</t>
        </is>
      </c>
      <c r="D16" s="14" t="inlineStr">
        <is>
          <t>바로 다가와 몸을 붙임</t>
        </is>
      </c>
      <c r="E16" s="14" t="inlineStr">
        <is>
          <t>다가와 인사하고 스스로 물러남</t>
        </is>
      </c>
      <c r="F16" s="14" t="inlineStr">
        <is>
          <t>한 번 쳐다보고 만다</t>
        </is>
      </c>
      <c r="G16" s="14" t="inlineStr">
        <is>
          <t>본체만체 · 오지 않음</t>
        </is>
      </c>
      <c r="H16" s="15" t="inlineStr">
        <is>
          <t>친밀·애착</t>
        </is>
      </c>
      <c r="I16" s="16" t="inlineStr">
        <is>
          <t>양쪽·애착</t>
        </is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t="inlineStr">
        <is>
          <t>ATT</t>
        </is>
      </c>
      <c r="AE16">
        <f>IF($J16="",0,IF(INDEX($C16:$G16,$J16)="",0,$J16))</f>
        <v/>
      </c>
      <c r="AF16">
        <f>IF($K16="",0,IF(INDEX($C16:$G16,$K16)="",0,$K16))</f>
        <v/>
      </c>
      <c r="AG16">
        <f>IF($L16="",0,IF(INDEX($C16:$G16,$L16)="",0,$L16))</f>
        <v/>
      </c>
      <c r="AH16">
        <f>IF($M16="",0,IF(INDEX($C16:$G16,$M16)="",0,$M16))</f>
        <v/>
      </c>
      <c r="AI16">
        <f>IF($N16="",0,IF(INDEX($C16:$G16,$N16)="",0,$N16))</f>
        <v/>
      </c>
      <c r="AJ16">
        <f>IF($O16="",0,IF(INDEX($C16:$G16,$O16)="",0,$O16))</f>
        <v/>
      </c>
      <c r="AK16">
        <f>IF($P16="",0,IF(INDEX($C16:$G16,$P16)="",0,$P16))</f>
        <v/>
      </c>
      <c r="AL16">
        <f>IF($Q16="",0,IF(INDEX($C16:$G16,$Q16)="",0,$Q16))</f>
        <v/>
      </c>
      <c r="AM16">
        <f>IF($R16="",0,IF(INDEX($C16:$G16,$R16)="",0,$R16))</f>
        <v/>
      </c>
      <c r="AN16">
        <f>IF($S16="",0,IF(INDEX($C16:$G16,$S16)="",0,$S16))</f>
        <v/>
      </c>
      <c r="AO16">
        <f>IF($T16="",0,IF(INDEX($C16:$G16,$T16)="",0,$T16))</f>
        <v/>
      </c>
      <c r="AP16">
        <f>IF($U16="",0,IF(INDEX($C16:$G16,$U16)="",0,$U16))</f>
        <v/>
      </c>
      <c r="AQ16">
        <f>IF($V16="",0,IF(INDEX($C16:$G16,$V16)="",0,$V16))</f>
        <v/>
      </c>
      <c r="AR16">
        <f>IF($W16="",0,IF(INDEX($C16:$G16,$W16)="",0,$W16))</f>
        <v/>
      </c>
      <c r="AS16">
        <f>IF($X16="",0,IF(INDEX($C16:$G16,$X16)="",0,$X16))</f>
        <v/>
      </c>
      <c r="AT16">
        <f>IF($Y16="",0,IF(INDEX($C16:$G16,$Y16)="",0,$Y16))</f>
        <v/>
      </c>
      <c r="AU16">
        <f>IF($Z16="",0,IF(INDEX($C16:$G16,$Z16)="",0,$Z16))</f>
        <v/>
      </c>
      <c r="AV16">
        <f>IF($AA16="",0,IF(INDEX($C16:$G16,$AA16)="",0,$AA16))</f>
        <v/>
      </c>
      <c r="AW16">
        <f>IF($AB16="",0,IF(INDEX($C16:$G16,$AB16)="",0,$AB16))</f>
        <v/>
      </c>
      <c r="AX16">
        <f>IF($AC16="",0,IF(INDEX($C16:$G16,$AC16)="",0,$AC16))</f>
        <v/>
      </c>
      <c r="AY16" t="inlineStr">
        <is>
          <t>BI</t>
        </is>
      </c>
    </row>
    <row r="17" ht="42" customHeight="1">
      <c r="A17" s="12" t="inlineStr">
        <is>
          <t>재회</t>
        </is>
      </c>
      <c r="B17" s="13" t="inlineStr">
        <is>
          <t>[재회] 진정  ※앉은 뒤 · 혼자 때와 비교하면 「회복」이 나옵니다</t>
        </is>
      </c>
      <c r="C17" s="14" t="inlineStr">
        <is>
          <t>굳은 채로 있음 · 위축이 풀리지 않음</t>
        </is>
      </c>
      <c r="D17" s="14" t="inlineStr">
        <is>
          <t>조심스러운 상태가 이어짐</t>
        </is>
      </c>
      <c r="E17" s="14" t="inlineStr">
        <is>
          <t>금방 안정을 찾음</t>
        </is>
      </c>
      <c r="F17" s="14" t="inlineStr">
        <is>
          <t>들뜬 상태가 이어짐</t>
        </is>
      </c>
      <c r="G17" s="14" t="inlineStr">
        <is>
          <t>과흥분 · 20초 안에 안정 실패</t>
        </is>
      </c>
      <c r="H17" s="15" t="inlineStr">
        <is>
          <t>친밀·애착</t>
        </is>
      </c>
      <c r="I17" s="16" t="inlineStr">
        <is>
          <t>양쪽·각성</t>
        </is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t="inlineStr">
        <is>
          <t>ATT</t>
        </is>
      </c>
      <c r="AE17">
        <f>IF($J17="",0,IF(INDEX($C17:$G17,$J17)="",0,$J17))</f>
        <v/>
      </c>
      <c r="AF17">
        <f>IF($K17="",0,IF(INDEX($C17:$G17,$K17)="",0,$K17))</f>
        <v/>
      </c>
      <c r="AG17">
        <f>IF($L17="",0,IF(INDEX($C17:$G17,$L17)="",0,$L17))</f>
        <v/>
      </c>
      <c r="AH17">
        <f>IF($M17="",0,IF(INDEX($C17:$G17,$M17)="",0,$M17))</f>
        <v/>
      </c>
      <c r="AI17">
        <f>IF($N17="",0,IF(INDEX($C17:$G17,$N17)="",0,$N17))</f>
        <v/>
      </c>
      <c r="AJ17">
        <f>IF($O17="",0,IF(INDEX($C17:$G17,$O17)="",0,$O17))</f>
        <v/>
      </c>
      <c r="AK17">
        <f>IF($P17="",0,IF(INDEX($C17:$G17,$P17)="",0,$P17))</f>
        <v/>
      </c>
      <c r="AL17">
        <f>IF($Q17="",0,IF(INDEX($C17:$G17,$Q17)="",0,$Q17))</f>
        <v/>
      </c>
      <c r="AM17">
        <f>IF($R17="",0,IF(INDEX($C17:$G17,$R17)="",0,$R17))</f>
        <v/>
      </c>
      <c r="AN17">
        <f>IF($S17="",0,IF(INDEX($C17:$G17,$S17)="",0,$S17))</f>
        <v/>
      </c>
      <c r="AO17">
        <f>IF($T17="",0,IF(INDEX($C17:$G17,$T17)="",0,$T17))</f>
        <v/>
      </c>
      <c r="AP17">
        <f>IF($U17="",0,IF(INDEX($C17:$G17,$U17)="",0,$U17))</f>
        <v/>
      </c>
      <c r="AQ17">
        <f>IF($V17="",0,IF(INDEX($C17:$G17,$V17)="",0,$V17))</f>
        <v/>
      </c>
      <c r="AR17">
        <f>IF($W17="",0,IF(INDEX($C17:$G17,$W17)="",0,$W17))</f>
        <v/>
      </c>
      <c r="AS17">
        <f>IF($X17="",0,IF(INDEX($C17:$G17,$X17)="",0,$X17))</f>
        <v/>
      </c>
      <c r="AT17">
        <f>IF($Y17="",0,IF(INDEX($C17:$G17,$Y17)="",0,$Y17))</f>
        <v/>
      </c>
      <c r="AU17">
        <f>IF($Z17="",0,IF(INDEX($C17:$G17,$Z17)="",0,$Z17))</f>
        <v/>
      </c>
      <c r="AV17">
        <f>IF($AA17="",0,IF(INDEX($C17:$G17,$AA17)="",0,$AA17))</f>
        <v/>
      </c>
      <c r="AW17">
        <f>IF($AB17="",0,IF(INDEX($C17:$G17,$AB17)="",0,$AB17))</f>
        <v/>
      </c>
      <c r="AX17">
        <f>IF($AC17="",0,IF(INDEX($C17:$G17,$AC17)="",0,$AC17))</f>
        <v/>
      </c>
      <c r="AY17" t="inlineStr">
        <is>
          <t>BI</t>
        </is>
      </c>
    </row>
    <row r="18" ht="42" customHeight="1">
      <c r="A18" s="12" t="inlineStr">
        <is>
          <t>재회</t>
        </is>
      </c>
      <c r="B18" s="13" t="inlineStr">
        <is>
          <t>[재회 접촉] 몸의 중심  ★앉은 뒤 이름을 부르고 만질 때</t>
        </is>
      </c>
      <c r="C18" s="14" t="inlineStr">
        <is>
          <t>몸을 얹거나 무릎에 올라감 · 기대어 떨어지지 않음</t>
        </is>
      </c>
      <c r="D18" s="14" t="inlineStr">
        <is>
          <t>몸이 닿을 만큼 앞으로 붙임</t>
        </is>
      </c>
      <c r="E18" s="14" t="inlineStr">
        <is>
          <t>앞으로 살짝 기울여 손을 받음</t>
        </is>
      </c>
      <c r="F18" s="14" t="inlineStr">
        <is>
          <t>선 자리를 지킴 · 몸을 앞으로 옮기지 않음</t>
        </is>
      </c>
      <c r="G18" s="14" t="inlineStr">
        <is>
          <t>뒤로 물러남 · 옆으로 피함 · 등을 돌림</t>
        </is>
      </c>
      <c r="H18" s="15" t="inlineStr">
        <is>
          <t>친밀·애착</t>
        </is>
      </c>
      <c r="I18" s="16" t="inlineStr">
        <is>
          <t>양쪽·애착</t>
        </is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t="inlineStr">
        <is>
          <t>ATT</t>
        </is>
      </c>
      <c r="AE18">
        <f>IF($J18="",0,IF(INDEX($C18:$G18,$J18)="",0,$J18))</f>
        <v/>
      </c>
      <c r="AF18">
        <f>IF($K18="",0,IF(INDEX($C18:$G18,$K18)="",0,$K18))</f>
        <v/>
      </c>
      <c r="AG18">
        <f>IF($L18="",0,IF(INDEX($C18:$G18,$L18)="",0,$L18))</f>
        <v/>
      </c>
      <c r="AH18">
        <f>IF($M18="",0,IF(INDEX($C18:$G18,$M18)="",0,$M18))</f>
        <v/>
      </c>
      <c r="AI18">
        <f>IF($N18="",0,IF(INDEX($C18:$G18,$N18)="",0,$N18))</f>
        <v/>
      </c>
      <c r="AJ18">
        <f>IF($O18="",0,IF(INDEX($C18:$G18,$O18)="",0,$O18))</f>
        <v/>
      </c>
      <c r="AK18">
        <f>IF($P18="",0,IF(INDEX($C18:$G18,$P18)="",0,$P18))</f>
        <v/>
      </c>
      <c r="AL18">
        <f>IF($Q18="",0,IF(INDEX($C18:$G18,$Q18)="",0,$Q18))</f>
        <v/>
      </c>
      <c r="AM18">
        <f>IF($R18="",0,IF(INDEX($C18:$G18,$R18)="",0,$R18))</f>
        <v/>
      </c>
      <c r="AN18">
        <f>IF($S18="",0,IF(INDEX($C18:$G18,$S18)="",0,$S18))</f>
        <v/>
      </c>
      <c r="AO18">
        <f>IF($T18="",0,IF(INDEX($C18:$G18,$T18)="",0,$T18))</f>
        <v/>
      </c>
      <c r="AP18">
        <f>IF($U18="",0,IF(INDEX($C18:$G18,$U18)="",0,$U18))</f>
        <v/>
      </c>
      <c r="AQ18">
        <f>IF($V18="",0,IF(INDEX($C18:$G18,$V18)="",0,$V18))</f>
        <v/>
      </c>
      <c r="AR18">
        <f>IF($W18="",0,IF(INDEX($C18:$G18,$W18)="",0,$W18))</f>
        <v/>
      </c>
      <c r="AS18">
        <f>IF($X18="",0,IF(INDEX($C18:$G18,$X18)="",0,$X18))</f>
        <v/>
      </c>
      <c r="AT18">
        <f>IF($Y18="",0,IF(INDEX($C18:$G18,$Y18)="",0,$Y18))</f>
        <v/>
      </c>
      <c r="AU18">
        <f>IF($Z18="",0,IF(INDEX($C18:$G18,$Z18)="",0,$Z18))</f>
        <v/>
      </c>
      <c r="AV18">
        <f>IF($AA18="",0,IF(INDEX($C18:$G18,$AA18)="",0,$AA18))</f>
        <v/>
      </c>
      <c r="AW18">
        <f>IF($AB18="",0,IF(INDEX($C18:$G18,$AB18)="",0,$AB18))</f>
        <v/>
      </c>
      <c r="AX18">
        <f>IF($AC18="",0,IF(INDEX($C18:$G18,$AC18)="",0,$AC18))</f>
        <v/>
      </c>
      <c r="AY18" t="inlineStr">
        <is>
          <t>BI</t>
        </is>
      </c>
    </row>
    <row r="19" ht="42" customHeight="1">
      <c r="A19" s="12" t="inlineStr">
        <is>
          <t>재회</t>
        </is>
      </c>
      <c r="B19" s="13" t="inlineStr">
        <is>
          <t>[재회 접촉] 꼬리  ★앉은 뒤 이름을 부르고 만질 때</t>
        </is>
      </c>
      <c r="C19" s="14" t="inlineStr">
        <is>
          <t>다리 사이로 말아 넣음</t>
        </is>
      </c>
      <c r="D19" s="14" t="inlineStr">
        <is>
          <t>아래로 늘어뜨린 채 거의 흔들지 않음</t>
        </is>
      </c>
      <c r="E19" s="14" t="inlineStr">
        <is>
          <t>등선 아래에서 부드럽게 흔듦</t>
        </is>
      </c>
      <c r="F19" s="14" t="inlineStr">
        <is>
          <t>등선 높이로 올려 크게 흔듦</t>
        </is>
      </c>
      <c r="G19" s="14" t="inlineStr">
        <is>
          <t>등선보다 높이 들고 빠르게 흔듦 · 온몸이 함께 흔들림</t>
        </is>
      </c>
      <c r="H19" s="15" t="inlineStr">
        <is>
          <t>친밀·애착</t>
        </is>
      </c>
      <c r="I19" s="16" t="inlineStr">
        <is>
          <t>양쪽·각성</t>
        </is>
      </c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t="inlineStr">
        <is>
          <t>ATT</t>
        </is>
      </c>
      <c r="AE19">
        <f>IF($J19="",0,IF(INDEX($C19:$G19,$J19)="",0,$J19))</f>
        <v/>
      </c>
      <c r="AF19">
        <f>IF($K19="",0,IF(INDEX($C19:$G19,$K19)="",0,$K19))</f>
        <v/>
      </c>
      <c r="AG19">
        <f>IF($L19="",0,IF(INDEX($C19:$G19,$L19)="",0,$L19))</f>
        <v/>
      </c>
      <c r="AH19">
        <f>IF($M19="",0,IF(INDEX($C19:$G19,$M19)="",0,$M19))</f>
        <v/>
      </c>
      <c r="AI19">
        <f>IF($N19="",0,IF(INDEX($C19:$G19,$N19)="",0,$N19))</f>
        <v/>
      </c>
      <c r="AJ19">
        <f>IF($O19="",0,IF(INDEX($C19:$G19,$O19)="",0,$O19))</f>
        <v/>
      </c>
      <c r="AK19">
        <f>IF($P19="",0,IF(INDEX($C19:$G19,$P19)="",0,$P19))</f>
        <v/>
      </c>
      <c r="AL19">
        <f>IF($Q19="",0,IF(INDEX($C19:$G19,$Q19)="",0,$Q19))</f>
        <v/>
      </c>
      <c r="AM19">
        <f>IF($R19="",0,IF(INDEX($C19:$G19,$R19)="",0,$R19))</f>
        <v/>
      </c>
      <c r="AN19">
        <f>IF($S19="",0,IF(INDEX($C19:$G19,$S19)="",0,$S19))</f>
        <v/>
      </c>
      <c r="AO19">
        <f>IF($T19="",0,IF(INDEX($C19:$G19,$T19)="",0,$T19))</f>
        <v/>
      </c>
      <c r="AP19">
        <f>IF($U19="",0,IF(INDEX($C19:$G19,$U19)="",0,$U19))</f>
        <v/>
      </c>
      <c r="AQ19">
        <f>IF($V19="",0,IF(INDEX($C19:$G19,$V19)="",0,$V19))</f>
        <v/>
      </c>
      <c r="AR19">
        <f>IF($W19="",0,IF(INDEX($C19:$G19,$W19)="",0,$W19))</f>
        <v/>
      </c>
      <c r="AS19">
        <f>IF($X19="",0,IF(INDEX($C19:$G19,$X19)="",0,$X19))</f>
        <v/>
      </c>
      <c r="AT19">
        <f>IF($Y19="",0,IF(INDEX($C19:$G19,$Y19)="",0,$Y19))</f>
        <v/>
      </c>
      <c r="AU19">
        <f>IF($Z19="",0,IF(INDEX($C19:$G19,$Z19)="",0,$Z19))</f>
        <v/>
      </c>
      <c r="AV19">
        <f>IF($AA19="",0,IF(INDEX($C19:$G19,$AA19)="",0,$AA19))</f>
        <v/>
      </c>
      <c r="AW19">
        <f>IF($AB19="",0,IF(INDEX($C19:$G19,$AB19)="",0,$AB19))</f>
        <v/>
      </c>
      <c r="AX19">
        <f>IF($AC19="",0,IF(INDEX($C19:$G19,$AC19)="",0,$AC19))</f>
        <v/>
      </c>
      <c r="AY19" t="inlineStr">
        <is>
          <t>BI</t>
        </is>
      </c>
    </row>
    <row r="20" ht="42" customHeight="1">
      <c r="A20" s="12" t="inlineStr">
        <is>
          <t>재회</t>
        </is>
      </c>
      <c r="B20" s="13" t="inlineStr">
        <is>
          <t>[재회] 접근의 일관성  ※횟수 · 점수가 아닙니다</t>
        </is>
      </c>
      <c r="C20" s="14" t="inlineStr">
        <is>
          <t>재회에서 다음이 몇 번 나왔는지 셉니다 — 다가오다 멈춤 · 다가오면서 고개를 돌림 · 보호자를 지나쳐 감 · 다가오다 돌아섬 · 그 자리에서 굳음. 하나라도 있으면 애착 유형이 「일관되지 않음」이 됩니다.</t>
        </is>
      </c>
      <c r="D20" s="14" t="n"/>
      <c r="E20" s="14" t="n"/>
      <c r="F20" s="14" t="n"/>
      <c r="G20" s="14" t="n"/>
      <c r="H20" s="15" t="inlineStr">
        <is>
          <t>— 참고 · 애착 유형 판정용</t>
        </is>
      </c>
      <c r="I20" s="16" t="inlineStr">
        <is>
          <t>참고</t>
        </is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 ht="42" customHeight="1">
      <c r="A21" s="28" t="inlineStr">
        <is>
          <t>무시</t>
        </is>
      </c>
      <c r="B21" s="29" t="inlineStr">
        <is>
          <t>[무시] 접촉 개시 — 먼저 다가가는가  ※만져 준 뒤 반응을 끊었을 때</t>
        </is>
      </c>
      <c r="C21" s="30" t="inlineStr">
        <is>
          <t>무릎에 올라감 · 몸을 얹고 떨어지지 않음</t>
        </is>
      </c>
      <c r="D21" s="30" t="inlineStr">
        <is>
          <t>몸이 닿는 거리로 붙어 있음</t>
        </is>
      </c>
      <c r="E21" s="30" t="inlineStr">
        <is>
          <t>주변 1 m 안에 있으며 가끔 확인</t>
        </is>
      </c>
      <c r="F21" s="30" t="inlineStr">
        <is>
          <t>떨어져 있고 가끔만 쳐다봄</t>
        </is>
      </c>
      <c r="G21" s="30" t="inlineStr">
        <is>
          <t>한 번도 쳐다보지 않음 · 혼자 다님</t>
        </is>
      </c>
      <c r="H21" s="31" t="inlineStr">
        <is>
          <t>친밀·애착</t>
        </is>
      </c>
      <c r="I21" s="32" t="inlineStr">
        <is>
          <t>양쪽·애착</t>
        </is>
      </c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t="inlineStr">
        <is>
          <t>ATT</t>
        </is>
      </c>
      <c r="AE21">
        <f>IF($J21="",0,IF(INDEX($C21:$G21,$J21)="",0,$J21))</f>
        <v/>
      </c>
      <c r="AF21">
        <f>IF($K21="",0,IF(INDEX($C21:$G21,$K21)="",0,$K21))</f>
        <v/>
      </c>
      <c r="AG21">
        <f>IF($L21="",0,IF(INDEX($C21:$G21,$L21)="",0,$L21))</f>
        <v/>
      </c>
      <c r="AH21">
        <f>IF($M21="",0,IF(INDEX($C21:$G21,$M21)="",0,$M21))</f>
        <v/>
      </c>
      <c r="AI21">
        <f>IF($N21="",0,IF(INDEX($C21:$G21,$N21)="",0,$N21))</f>
        <v/>
      </c>
      <c r="AJ21">
        <f>IF($O21="",0,IF(INDEX($C21:$G21,$O21)="",0,$O21))</f>
        <v/>
      </c>
      <c r="AK21">
        <f>IF($P21="",0,IF(INDEX($C21:$G21,$P21)="",0,$P21))</f>
        <v/>
      </c>
      <c r="AL21">
        <f>IF($Q21="",0,IF(INDEX($C21:$G21,$Q21)="",0,$Q21))</f>
        <v/>
      </c>
      <c r="AM21">
        <f>IF($R21="",0,IF(INDEX($C21:$G21,$R21)="",0,$R21))</f>
        <v/>
      </c>
      <c r="AN21">
        <f>IF($S21="",0,IF(INDEX($C21:$G21,$S21)="",0,$S21))</f>
        <v/>
      </c>
      <c r="AO21">
        <f>IF($T21="",0,IF(INDEX($C21:$G21,$T21)="",0,$T21))</f>
        <v/>
      </c>
      <c r="AP21">
        <f>IF($U21="",0,IF(INDEX($C21:$G21,$U21)="",0,$U21))</f>
        <v/>
      </c>
      <c r="AQ21">
        <f>IF($V21="",0,IF(INDEX($C21:$G21,$V21)="",0,$V21))</f>
        <v/>
      </c>
      <c r="AR21">
        <f>IF($W21="",0,IF(INDEX($C21:$G21,$W21)="",0,$W21))</f>
        <v/>
      </c>
      <c r="AS21">
        <f>IF($X21="",0,IF(INDEX($C21:$G21,$X21)="",0,$X21))</f>
        <v/>
      </c>
      <c r="AT21">
        <f>IF($Y21="",0,IF(INDEX($C21:$G21,$Y21)="",0,$Y21))</f>
        <v/>
      </c>
      <c r="AU21">
        <f>IF($Z21="",0,IF(INDEX($C21:$G21,$Z21)="",0,$Z21))</f>
        <v/>
      </c>
      <c r="AV21">
        <f>IF($AA21="",0,IF(INDEX($C21:$G21,$AA21)="",0,$AA21))</f>
        <v/>
      </c>
      <c r="AW21">
        <f>IF($AB21="",0,IF(INDEX($C21:$G21,$AB21)="",0,$AB21))</f>
        <v/>
      </c>
      <c r="AX21">
        <f>IF($AC21="",0,IF(INDEX($C21:$G21,$AC21)="",0,$AC21))</f>
        <v/>
      </c>
      <c r="AY21" t="inlineStr">
        <is>
          <t>BI</t>
        </is>
      </c>
    </row>
    <row r="22" ht="42" customHeight="1">
      <c r="A22" s="12" t="inlineStr">
        <is>
          <t>무시</t>
        </is>
      </c>
      <c r="B22" s="13" t="inlineStr">
        <is>
          <t>[무시] 각성  ※기준 때와 비교하면 「적응」이 나옵니다</t>
        </is>
      </c>
      <c r="C22" s="14" t="inlineStr">
        <is>
          <t>얼어붙어 움직이지 않음</t>
        </is>
      </c>
      <c r="D22" s="14" t="inlineStr">
        <is>
          <t>웅크리고 거의 움직이지 않음</t>
        </is>
      </c>
      <c r="E22" s="14" t="inlineStr">
        <is>
          <t>편안히 앉거나 서서 둘러봄</t>
        </is>
      </c>
      <c r="F22" s="14" t="inlineStr">
        <is>
          <t>계속 움직임 · 자리를 못 잡음</t>
        </is>
      </c>
      <c r="G22" s="14" t="inlineStr">
        <is>
          <t>한시도 가만있지 못함 · 심하게 안절부절</t>
        </is>
      </c>
      <c r="H22" s="15" t="inlineStr">
        <is>
          <t>친밀·애착</t>
        </is>
      </c>
      <c r="I22" s="16" t="inlineStr">
        <is>
          <t>양쪽·각성</t>
        </is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t="inlineStr">
        <is>
          <t>ATT</t>
        </is>
      </c>
      <c r="AE22">
        <f>IF($J22="",0,IF(INDEX($C22:$G22,$J22)="",0,$J22))</f>
        <v/>
      </c>
      <c r="AF22">
        <f>IF($K22="",0,IF(INDEX($C22:$G22,$K22)="",0,$K22))</f>
        <v/>
      </c>
      <c r="AG22">
        <f>IF($L22="",0,IF(INDEX($C22:$G22,$L22)="",0,$L22))</f>
        <v/>
      </c>
      <c r="AH22">
        <f>IF($M22="",0,IF(INDEX($C22:$G22,$M22)="",0,$M22))</f>
        <v/>
      </c>
      <c r="AI22">
        <f>IF($N22="",0,IF(INDEX($C22:$G22,$N22)="",0,$N22))</f>
        <v/>
      </c>
      <c r="AJ22">
        <f>IF($O22="",0,IF(INDEX($C22:$G22,$O22)="",0,$O22))</f>
        <v/>
      </c>
      <c r="AK22">
        <f>IF($P22="",0,IF(INDEX($C22:$G22,$P22)="",0,$P22))</f>
        <v/>
      </c>
      <c r="AL22">
        <f>IF($Q22="",0,IF(INDEX($C22:$G22,$Q22)="",0,$Q22))</f>
        <v/>
      </c>
      <c r="AM22">
        <f>IF($R22="",0,IF(INDEX($C22:$G22,$R22)="",0,$R22))</f>
        <v/>
      </c>
      <c r="AN22">
        <f>IF($S22="",0,IF(INDEX($C22:$G22,$S22)="",0,$S22))</f>
        <v/>
      </c>
      <c r="AO22">
        <f>IF($T22="",0,IF(INDEX($C22:$G22,$T22)="",0,$T22))</f>
        <v/>
      </c>
      <c r="AP22">
        <f>IF($U22="",0,IF(INDEX($C22:$G22,$U22)="",0,$U22))</f>
        <v/>
      </c>
      <c r="AQ22">
        <f>IF($V22="",0,IF(INDEX($C22:$G22,$V22)="",0,$V22))</f>
        <v/>
      </c>
      <c r="AR22">
        <f>IF($W22="",0,IF(INDEX($C22:$G22,$W22)="",0,$W22))</f>
        <v/>
      </c>
      <c r="AS22">
        <f>IF($X22="",0,IF(INDEX($C22:$G22,$X22)="",0,$X22))</f>
        <v/>
      </c>
      <c r="AT22">
        <f>IF($Y22="",0,IF(INDEX($C22:$G22,$Y22)="",0,$Y22))</f>
        <v/>
      </c>
      <c r="AU22">
        <f>IF($Z22="",0,IF(INDEX($C22:$G22,$Z22)="",0,$Z22))</f>
        <v/>
      </c>
      <c r="AV22">
        <f>IF($AA22="",0,IF(INDEX($C22:$G22,$AA22)="",0,$AA22))</f>
        <v/>
      </c>
      <c r="AW22">
        <f>IF($AB22="",0,IF(INDEX($C22:$G22,$AB22)="",0,$AB22))</f>
        <v/>
      </c>
      <c r="AX22">
        <f>IF($AC22="",0,IF(INDEX($C22:$G22,$AC22)="",0,$AC22))</f>
        <v/>
      </c>
      <c r="AY22" t="inlineStr">
        <is>
          <t>BI</t>
        </is>
      </c>
    </row>
    <row r="23" ht="42" customHeight="1">
      <c r="A23" s="22" t="inlineStr">
        <is>
          <t>걷기</t>
        </is>
      </c>
      <c r="B23" s="23" t="inlineStr">
        <is>
          <t>[걷기] 거리 유지</t>
        </is>
      </c>
      <c r="C23" s="24" t="inlineStr">
        <is>
          <t>보호자 발에 걸릴 만큼 붙어 다님</t>
        </is>
      </c>
      <c r="D23" s="24" t="inlineStr">
        <is>
          <t>계속 몸이 닿을 거리로 따라다님</t>
        </is>
      </c>
      <c r="E23" s="24" t="inlineStr">
        <is>
          <t>1~2 m 간격을 유지</t>
        </is>
      </c>
      <c r="F23" s="24" t="inlineStr">
        <is>
          <t>3 m 이상 벌어짐</t>
        </is>
      </c>
      <c r="G23" s="24" t="inlineStr">
        <is>
          <t>평가 구역을 벗어남 · 보호자를 두고 감</t>
        </is>
      </c>
      <c r="H23" s="25" t="inlineStr">
        <is>
          <t>행동 동조</t>
        </is>
      </c>
      <c r="I23" s="26" t="inlineStr">
        <is>
          <t>양쪽·거리</t>
        </is>
      </c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t="inlineStr">
        <is>
          <t>SYN</t>
        </is>
      </c>
      <c r="AE23">
        <f>IF($J23="",0,IF(INDEX($C23:$G23,$J23)="",0,$J23))</f>
        <v/>
      </c>
      <c r="AF23">
        <f>IF($K23="",0,IF(INDEX($C23:$G23,$K23)="",0,$K23))</f>
        <v/>
      </c>
      <c r="AG23">
        <f>IF($L23="",0,IF(INDEX($C23:$G23,$L23)="",0,$L23))</f>
        <v/>
      </c>
      <c r="AH23">
        <f>IF($M23="",0,IF(INDEX($C23:$G23,$M23)="",0,$M23))</f>
        <v/>
      </c>
      <c r="AI23">
        <f>IF($N23="",0,IF(INDEX($C23:$G23,$N23)="",0,$N23))</f>
        <v/>
      </c>
      <c r="AJ23">
        <f>IF($O23="",0,IF(INDEX($C23:$G23,$O23)="",0,$O23))</f>
        <v/>
      </c>
      <c r="AK23">
        <f>IF($P23="",0,IF(INDEX($C23:$G23,$P23)="",0,$P23))</f>
        <v/>
      </c>
      <c r="AL23">
        <f>IF($Q23="",0,IF(INDEX($C23:$G23,$Q23)="",0,$Q23))</f>
        <v/>
      </c>
      <c r="AM23">
        <f>IF($R23="",0,IF(INDEX($C23:$G23,$R23)="",0,$R23))</f>
        <v/>
      </c>
      <c r="AN23">
        <f>IF($S23="",0,IF(INDEX($C23:$G23,$S23)="",0,$S23))</f>
        <v/>
      </c>
      <c r="AO23">
        <f>IF($T23="",0,IF(INDEX($C23:$G23,$T23)="",0,$T23))</f>
        <v/>
      </c>
      <c r="AP23">
        <f>IF($U23="",0,IF(INDEX($C23:$G23,$U23)="",0,$U23))</f>
        <v/>
      </c>
      <c r="AQ23">
        <f>IF($V23="",0,IF(INDEX($C23:$G23,$V23)="",0,$V23))</f>
        <v/>
      </c>
      <c r="AR23">
        <f>IF($W23="",0,IF(INDEX($C23:$G23,$W23)="",0,$W23))</f>
        <v/>
      </c>
      <c r="AS23">
        <f>IF($X23="",0,IF(INDEX($C23:$G23,$X23)="",0,$X23))</f>
        <v/>
      </c>
      <c r="AT23">
        <f>IF($Y23="",0,IF(INDEX($C23:$G23,$Y23)="",0,$Y23))</f>
        <v/>
      </c>
      <c r="AU23">
        <f>IF($Z23="",0,IF(INDEX($C23:$G23,$Z23)="",0,$Z23))</f>
        <v/>
      </c>
      <c r="AV23">
        <f>IF($AA23="",0,IF(INDEX($C23:$G23,$AA23)="",0,$AA23))</f>
        <v/>
      </c>
      <c r="AW23">
        <f>IF($AB23="",0,IF(INDEX($C23:$G23,$AB23)="",0,$AB23))</f>
        <v/>
      </c>
      <c r="AX23">
        <f>IF($AC23="",0,IF(INDEX($C23:$G23,$AC23)="",0,$AC23))</f>
        <v/>
      </c>
      <c r="AY23" t="inlineStr">
        <is>
          <t>BI</t>
        </is>
      </c>
    </row>
    <row r="24" ht="42" customHeight="1">
      <c r="A24" s="22" t="inlineStr">
        <is>
          <t>걷기</t>
        </is>
      </c>
      <c r="B24" s="23" t="inlineStr">
        <is>
          <t>[걷기] 보호자 확인 ※시선</t>
        </is>
      </c>
      <c r="C24" s="24" t="inlineStr">
        <is>
          <t>계속 올려다봄 · 앞을 보지 않음</t>
        </is>
      </c>
      <c r="D24" s="24" t="inlineStr">
        <is>
          <t>자주 올려다보며 걸음</t>
        </is>
      </c>
      <c r="E24" s="24" t="inlineStr">
        <is>
          <t>이동 중 여러 번 확인하고 다시 앞을 봄</t>
        </is>
      </c>
      <c r="F24" s="24" t="inlineStr">
        <is>
          <t>한두 번 힐끗</t>
        </is>
      </c>
      <c r="G24" s="24" t="inlineStr">
        <is>
          <t>한 번도 쳐다보지 않음</t>
        </is>
      </c>
      <c r="H24" s="25" t="inlineStr">
        <is>
          <t>행동 동조</t>
        </is>
      </c>
      <c r="I24" s="26" t="inlineStr">
        <is>
          <t>양쪽·거리</t>
        </is>
      </c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t="inlineStr">
        <is>
          <t>SYN</t>
        </is>
      </c>
      <c r="AE24">
        <f>IF($J24="",0,IF(INDEX($C24:$G24,$J24)="",0,$J24))</f>
        <v/>
      </c>
      <c r="AF24">
        <f>IF($K24="",0,IF(INDEX($C24:$G24,$K24)="",0,$K24))</f>
        <v/>
      </c>
      <c r="AG24">
        <f>IF($L24="",0,IF(INDEX($C24:$G24,$L24)="",0,$L24))</f>
        <v/>
      </c>
      <c r="AH24">
        <f>IF($M24="",0,IF(INDEX($C24:$G24,$M24)="",0,$M24))</f>
        <v/>
      </c>
      <c r="AI24">
        <f>IF($N24="",0,IF(INDEX($C24:$G24,$N24)="",0,$N24))</f>
        <v/>
      </c>
      <c r="AJ24">
        <f>IF($O24="",0,IF(INDEX($C24:$G24,$O24)="",0,$O24))</f>
        <v/>
      </c>
      <c r="AK24">
        <f>IF($P24="",0,IF(INDEX($C24:$G24,$P24)="",0,$P24))</f>
        <v/>
      </c>
      <c r="AL24">
        <f>IF($Q24="",0,IF(INDEX($C24:$G24,$Q24)="",0,$Q24))</f>
        <v/>
      </c>
      <c r="AM24">
        <f>IF($R24="",0,IF(INDEX($C24:$G24,$R24)="",0,$R24))</f>
        <v/>
      </c>
      <c r="AN24">
        <f>IF($S24="",0,IF(INDEX($C24:$G24,$S24)="",0,$S24))</f>
        <v/>
      </c>
      <c r="AO24">
        <f>IF($T24="",0,IF(INDEX($C24:$G24,$T24)="",0,$T24))</f>
        <v/>
      </c>
      <c r="AP24">
        <f>IF($U24="",0,IF(INDEX($C24:$G24,$U24)="",0,$U24))</f>
        <v/>
      </c>
      <c r="AQ24">
        <f>IF($V24="",0,IF(INDEX($C24:$G24,$V24)="",0,$V24))</f>
        <v/>
      </c>
      <c r="AR24">
        <f>IF($W24="",0,IF(INDEX($C24:$G24,$W24)="",0,$W24))</f>
        <v/>
      </c>
      <c r="AS24">
        <f>IF($X24="",0,IF(INDEX($C24:$G24,$X24)="",0,$X24))</f>
        <v/>
      </c>
      <c r="AT24">
        <f>IF($Y24="",0,IF(INDEX($C24:$G24,$Y24)="",0,$Y24))</f>
        <v/>
      </c>
      <c r="AU24">
        <f>IF($Z24="",0,IF(INDEX($C24:$G24,$Z24)="",0,$Z24))</f>
        <v/>
      </c>
      <c r="AV24">
        <f>IF($AA24="",0,IF(INDEX($C24:$G24,$AA24)="",0,$AA24))</f>
        <v/>
      </c>
      <c r="AW24">
        <f>IF($AB24="",0,IF(INDEX($C24:$G24,$AB24)="",0,$AB24))</f>
        <v/>
      </c>
      <c r="AX24">
        <f>IF($AC24="",0,IF(INDEX($C24:$G24,$AC24)="",0,$AC24))</f>
        <v/>
      </c>
      <c r="AY24" t="inlineStr">
        <is>
          <t>BI</t>
        </is>
      </c>
    </row>
    <row r="25" ht="42" customHeight="1">
      <c r="A25" s="22" t="inlineStr">
        <is>
          <t>걷기</t>
        </is>
      </c>
      <c r="B25" s="23" t="inlineStr">
        <is>
          <t>[걷기] 동조 국면 수  ※0~6 · 점수가 아닙니다</t>
        </is>
      </c>
      <c r="C25" s="24" t="inlineStr">
        <is>
          <t>보호자가 움직이거나 멈춘 6국면(이동 3 · 정지 3) 중, 개가 3초 안에 같은 상태가 된 횟수를 셉니다.</t>
        </is>
      </c>
      <c r="D25" s="27" t="n"/>
      <c r="E25" s="27" t="n"/>
      <c r="F25" s="27" t="n"/>
      <c r="G25" s="27" t="n"/>
      <c r="H25" s="25" t="inlineStr">
        <is>
          <t>— 참고 (영역 집계 제외)</t>
        </is>
      </c>
      <c r="I25" s="26" t="inlineStr">
        <is>
          <t>참고</t>
        </is>
      </c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 ht="24" customHeight="1">
      <c r="A26" s="22" t="inlineStr">
        <is>
          <t>걷기</t>
        </is>
      </c>
      <c r="B26" s="23" t="inlineStr">
        <is>
          <t>[걷기] 동조율  ※자동 계산 · 입력하지 마세요</t>
        </is>
      </c>
      <c r="C26" s="24" t="inlineStr">
        <is>
          <t>동조 국면 수 ÷ 6. 시행 유효성이 3점이면 「무효」로 표시됩니다.</t>
        </is>
      </c>
      <c r="D26" s="27" t="n"/>
      <c r="E26" s="27" t="n"/>
      <c r="F26" s="27" t="n"/>
      <c r="G26" s="27" t="n"/>
      <c r="H26" s="25" t="inlineStr">
        <is>
          <t>— 참고 (영역 집계 제외)</t>
        </is>
      </c>
      <c r="I26" s="26" t="inlineStr">
        <is>
          <t>참고</t>
        </is>
      </c>
      <c r="J26" s="33">
        <f>IF(J25="","",IF('3_보호자행동'!J13=3,"무효",J25/6))</f>
        <v/>
      </c>
      <c r="K26" s="33">
        <f>IF(K25="","",IF('3_보호자행동'!K13=3,"무효",K25/6))</f>
        <v/>
      </c>
      <c r="L26" s="33">
        <f>IF(L25="","",IF('3_보호자행동'!L13=3,"무효",L25/6))</f>
        <v/>
      </c>
      <c r="M26" s="33">
        <f>IF(M25="","",IF('3_보호자행동'!M13=3,"무효",M25/6))</f>
        <v/>
      </c>
      <c r="N26" s="33">
        <f>IF(N25="","",IF('3_보호자행동'!N13=3,"무효",N25/6))</f>
        <v/>
      </c>
      <c r="O26" s="33">
        <f>IF(O25="","",IF('3_보호자행동'!O13=3,"무효",O25/6))</f>
        <v/>
      </c>
      <c r="P26" s="33">
        <f>IF(P25="","",IF('3_보호자행동'!P13=3,"무효",P25/6))</f>
        <v/>
      </c>
      <c r="Q26" s="33">
        <f>IF(Q25="","",IF('3_보호자행동'!Q13=3,"무효",Q25/6))</f>
        <v/>
      </c>
      <c r="R26" s="33">
        <f>IF(R25="","",IF('3_보호자행동'!R13=3,"무효",R25/6))</f>
        <v/>
      </c>
      <c r="S26" s="33">
        <f>IF(S25="","",IF('3_보호자행동'!S13=3,"무효",S25/6))</f>
        <v/>
      </c>
      <c r="T26" s="33">
        <f>IF(T25="","",IF('3_보호자행동'!T13=3,"무효",T25/6))</f>
        <v/>
      </c>
      <c r="U26" s="33">
        <f>IF(U25="","",IF('3_보호자행동'!U13=3,"무효",U25/6))</f>
        <v/>
      </c>
      <c r="V26" s="33">
        <f>IF(V25="","",IF('3_보호자행동'!V13=3,"무효",V25/6))</f>
        <v/>
      </c>
      <c r="W26" s="33">
        <f>IF(W25="","",IF('3_보호자행동'!W13=3,"무효",W25/6))</f>
        <v/>
      </c>
      <c r="X26" s="33">
        <f>IF(X25="","",IF('3_보호자행동'!X13=3,"무효",X25/6))</f>
        <v/>
      </c>
      <c r="Y26" s="33">
        <f>IF(Y25="","",IF('3_보호자행동'!Y13=3,"무효",Y25/6))</f>
        <v/>
      </c>
      <c r="Z26" s="33">
        <f>IF(Z25="","",IF('3_보호자행동'!Z13=3,"무효",Z25/6))</f>
        <v/>
      </c>
      <c r="AA26" s="33">
        <f>IF(AA25="","",IF('3_보호자행동'!AA13=3,"무효",AA25/6))</f>
        <v/>
      </c>
      <c r="AB26" s="33">
        <f>IF(AB25="","",IF('3_보호자행동'!AB13=3,"무효",AB25/6))</f>
        <v/>
      </c>
      <c r="AC26" s="33">
        <f>IF(AC25="","",IF('3_보호자행동'!AC13=3,"무효",AC25/6))</f>
        <v/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s="6" t="inlineStr">
        <is>
          <t>퇴장</t>
        </is>
      </c>
      <c r="B27" s="7" t="inlineStr">
        <is>
          <t>[퇴장] 방 문 통과 — 나가는 쪽으로 가는가</t>
        </is>
      </c>
      <c r="C27" s="8" t="inlineStr">
        <is>
          <t>나가지 않으려 버팀</t>
        </is>
      </c>
      <c r="D27" s="8" t="inlineStr">
        <is>
          <t>리드줄을 당겨야 나감</t>
        </is>
      </c>
      <c r="E27" s="8" t="inlineStr">
        <is>
          <t>보호자를 따라 자연스럽게 나감</t>
        </is>
      </c>
      <c r="F27" s="8" t="inlineStr">
        <is>
          <t>앞질러 나감</t>
        </is>
      </c>
      <c r="G27" s="8" t="inlineStr">
        <is>
          <t>문 쪽으로 끌고 감</t>
        </is>
      </c>
      <c r="H27" s="9" t="inlineStr">
        <is>
          <t>퇴장 — 환경 적응</t>
        </is>
      </c>
      <c r="I27" s="10" t="inlineStr">
        <is>
          <t>양쪽·각성</t>
        </is>
      </c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t="inlineStr">
        <is>
          <t>EXIT</t>
        </is>
      </c>
      <c r="AE27">
        <f>IF($J27="",0,IF(INDEX($C27:$G27,$J27)="",0,$J27))</f>
        <v/>
      </c>
      <c r="AF27">
        <f>IF($K27="",0,IF(INDEX($C27:$G27,$K27)="",0,$K27))</f>
        <v/>
      </c>
      <c r="AG27">
        <f>IF($L27="",0,IF(INDEX($C27:$G27,$L27)="",0,$L27))</f>
        <v/>
      </c>
      <c r="AH27">
        <f>IF($M27="",0,IF(INDEX($C27:$G27,$M27)="",0,$M27))</f>
        <v/>
      </c>
      <c r="AI27">
        <f>IF($N27="",0,IF(INDEX($C27:$G27,$N27)="",0,$N27))</f>
        <v/>
      </c>
      <c r="AJ27">
        <f>IF($O27="",0,IF(INDEX($C27:$G27,$O27)="",0,$O27))</f>
        <v/>
      </c>
      <c r="AK27">
        <f>IF($P27="",0,IF(INDEX($C27:$G27,$P27)="",0,$P27))</f>
        <v/>
      </c>
      <c r="AL27">
        <f>IF($Q27="",0,IF(INDEX($C27:$G27,$Q27)="",0,$Q27))</f>
        <v/>
      </c>
      <c r="AM27">
        <f>IF($R27="",0,IF(INDEX($C27:$G27,$R27)="",0,$R27))</f>
        <v/>
      </c>
      <c r="AN27">
        <f>IF($S27="",0,IF(INDEX($C27:$G27,$S27)="",0,$S27))</f>
        <v/>
      </c>
      <c r="AO27">
        <f>IF($T27="",0,IF(INDEX($C27:$G27,$T27)="",0,$T27))</f>
        <v/>
      </c>
      <c r="AP27">
        <f>IF($U27="",0,IF(INDEX($C27:$G27,$U27)="",0,$U27))</f>
        <v/>
      </c>
      <c r="AQ27">
        <f>IF($V27="",0,IF(INDEX($C27:$G27,$V27)="",0,$V27))</f>
        <v/>
      </c>
      <c r="AR27">
        <f>IF($W27="",0,IF(INDEX($C27:$G27,$W27)="",0,$W27))</f>
        <v/>
      </c>
      <c r="AS27">
        <f>IF($X27="",0,IF(INDEX($C27:$G27,$X27)="",0,$X27))</f>
        <v/>
      </c>
      <c r="AT27">
        <f>IF($Y27="",0,IF(INDEX($C27:$G27,$Y27)="",0,$Y27))</f>
        <v/>
      </c>
      <c r="AU27">
        <f>IF($Z27="",0,IF(INDEX($C27:$G27,$Z27)="",0,$Z27))</f>
        <v/>
      </c>
      <c r="AV27">
        <f>IF($AA27="",0,IF(INDEX($C27:$G27,$AA27)="",0,$AA27))</f>
        <v/>
      </c>
      <c r="AW27">
        <f>IF($AB27="",0,IF(INDEX($C27:$G27,$AB27)="",0,$AB27))</f>
        <v/>
      </c>
      <c r="AX27">
        <f>IF($AC27="",0,IF(INDEX($C27:$G27,$AC27)="",0,$AC27))</f>
        <v/>
      </c>
      <c r="AY27" t="inlineStr">
        <is>
          <t>BI</t>
        </is>
      </c>
    </row>
    <row r="28">
      <c r="A28" s="6" t="inlineStr">
        <is>
          <t>퇴장</t>
        </is>
      </c>
      <c r="B28" s="7" t="inlineStr">
        <is>
          <t>[퇴장] 냄새 — 나가면서 코를 쓰는가</t>
        </is>
      </c>
      <c r="C28" s="27" t="n"/>
      <c r="D28" s="27" t="n"/>
      <c r="E28" s="8" t="inlineStr">
        <is>
          <t>맡음 — 바닥이나 물체에 코를 댐</t>
        </is>
      </c>
      <c r="F28" s="27" t="n"/>
      <c r="G28" s="8" t="inlineStr">
        <is>
          <t>안 맡음</t>
        </is>
      </c>
      <c r="H28" s="9" t="inlineStr">
        <is>
          <t>— 참고 · 입장↔퇴장 비교용</t>
        </is>
      </c>
      <c r="I28" s="10" t="inlineStr">
        <is>
          <t>참고</t>
        </is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30">
      <c r="A30" s="4" t="n"/>
    </row>
  </sheetData>
  <dataValidations count="2">
    <dataValidation sqref="J5:AC25" showDropDown="0" showInputMessage="0" showErrorMessage="0" allowBlank="1" type="whole">
      <formula1>1</formula1>
      <formula2>5</formula2>
    </dataValidation>
    <dataValidation sqref="J22:AC22" showDropDown="0" showInputMessage="0" showErrorMessage="0" allowBlank="1" type="whole">
      <formula1>0</formula1>
      <formula2>6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6"/>
  <sheetViews>
    <sheetView tabSelected="1"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6.5"/>
  <cols>
    <col width="8" customWidth="1" min="1" max="1"/>
    <col width="44" customWidth="1" min="2" max="2"/>
    <col width="26" customWidth="1" min="3" max="7"/>
    <col width="22" customWidth="1" min="8" max="8"/>
    <col width="10" customWidth="1" min="9" max="9"/>
    <col width="5" customWidth="1" min="10" max="29"/>
  </cols>
  <sheetData>
    <row r="1" ht="20.25" customHeight="1">
      <c r="A1" s="1" t="inlineStr">
        <is>
          <t>보호자행동</t>
        </is>
      </c>
    </row>
    <row r="2">
      <c r="A2" s="4" t="inlineStr">
        <is>
          <t>보호자가 개를 대하는 방식. 구간을 나누지 않고 전 구간을 통틀어 한 번만 적습니다. 1·2 = 방임(무심·놓아둠), 4·5 = 과함(과잉통제·과잉반응).</t>
        </is>
      </c>
    </row>
    <row r="3">
      <c r="A3" s="4" t="inlineStr">
        <is>
          <t>J열부터 오른쪽으로 1번~20번 강아지 칸입니다. 각 칸에 1~5 중 하나를 넣습니다.  ★ 3점이 안정이고 1과 5, 2와 4가 서로 대치됩니다.  축이 넷입니다 — 「애착」 1 과잉↔5 없음 / 「우호」 1 경계↔5 과한 우호 / 「사회화」 1 회피↔5 살피지 않음 / 「각성」 1 위축↔5 흥분. I열에 적어 두었습니다.  회색 칸은 해당 단계가 없으며, 그 번호를 넣으면 무효 처리됩니다.</t>
        </is>
      </c>
    </row>
    <row r="4">
      <c r="A4" s="5" t="inlineStr">
        <is>
          <t>구간</t>
        </is>
      </c>
      <c r="B4" s="5" t="inlineStr">
        <is>
          <t>관찰 항목</t>
        </is>
      </c>
      <c r="C4" s="5" t="inlineStr">
        <is>
          <t>1</t>
        </is>
      </c>
      <c r="D4" s="5" t="inlineStr">
        <is>
          <t>2</t>
        </is>
      </c>
      <c r="E4" s="5" t="inlineStr">
        <is>
          <t>3</t>
        </is>
      </c>
      <c r="F4" s="5" t="inlineStr">
        <is>
          <t>4</t>
        </is>
      </c>
      <c r="G4" s="5" t="inlineStr">
        <is>
          <t>5</t>
        </is>
      </c>
      <c r="H4" s="5" t="inlineStr">
        <is>
          <t>영역</t>
        </is>
      </c>
      <c r="I4" s="5" t="inlineStr">
        <is>
          <t>척도·축</t>
        </is>
      </c>
      <c r="J4" s="5" t="inlineStr">
        <is>
          <t>1번</t>
        </is>
      </c>
      <c r="K4" s="5" t="inlineStr">
        <is>
          <t>2번</t>
        </is>
      </c>
      <c r="L4" s="5" t="inlineStr">
        <is>
          <t>3번</t>
        </is>
      </c>
      <c r="M4" s="5" t="inlineStr">
        <is>
          <t>4번</t>
        </is>
      </c>
      <c r="N4" s="5" t="inlineStr">
        <is>
          <t>5번</t>
        </is>
      </c>
      <c r="O4" s="5" t="inlineStr">
        <is>
          <t>6번</t>
        </is>
      </c>
      <c r="P4" s="5" t="inlineStr">
        <is>
          <t>7번</t>
        </is>
      </c>
      <c r="Q4" s="5" t="inlineStr">
        <is>
          <t>8번</t>
        </is>
      </c>
      <c r="R4" s="5" t="inlineStr">
        <is>
          <t>9번</t>
        </is>
      </c>
      <c r="S4" s="5" t="inlineStr">
        <is>
          <t>10번</t>
        </is>
      </c>
      <c r="T4" s="5" t="inlineStr">
        <is>
          <t>11번</t>
        </is>
      </c>
      <c r="U4" s="5" t="inlineStr">
        <is>
          <t>12번</t>
        </is>
      </c>
      <c r="V4" s="5" t="inlineStr">
        <is>
          <t>13번</t>
        </is>
      </c>
      <c r="W4" s="5" t="inlineStr">
        <is>
          <t>14번</t>
        </is>
      </c>
      <c r="X4" s="5" t="inlineStr">
        <is>
          <t>15번</t>
        </is>
      </c>
      <c r="Y4" s="5" t="inlineStr">
        <is>
          <t>16번</t>
        </is>
      </c>
      <c r="Z4" s="5" t="inlineStr">
        <is>
          <t>17번</t>
        </is>
      </c>
      <c r="AA4" s="5" t="inlineStr">
        <is>
          <t>18번</t>
        </is>
      </c>
      <c r="AB4" s="5" t="inlineStr">
        <is>
          <t>19번</t>
        </is>
      </c>
      <c r="AC4" s="5" t="inlineStr">
        <is>
          <t>20번</t>
        </is>
      </c>
      <c r="AD4" s="4" t="inlineStr">
        <is>
          <t>영역코드</t>
        </is>
      </c>
      <c r="AY4" s="4" t="inlineStr">
        <is>
          <t>척도</t>
        </is>
      </c>
    </row>
    <row r="5" ht="42" customHeight="1">
      <c r="A5" s="28" t="inlineStr">
        <is>
          <t>전 구간</t>
        </is>
      </c>
      <c r="B5" s="29" t="inlineStr">
        <is>
          <t>목소리 톤  ※입장 · 기준 10초 · 재회 · 퇴장에서 봅니다</t>
        </is>
      </c>
      <c r="C5" s="30" t="inlineStr">
        <is>
          <t>거의 말이 없음 · 반응 없음</t>
        </is>
      </c>
      <c r="D5" s="30" t="inlineStr">
        <is>
          <t>드물게 짧게만 말함</t>
        </is>
      </c>
      <c r="E5" s="30" t="inlineStr">
        <is>
          <t>평이하고 낮은 톤</t>
        </is>
      </c>
      <c r="F5" s="30" t="inlineStr">
        <is>
          <t>높고 빠름</t>
        </is>
      </c>
      <c r="G5" s="30" t="inlineStr">
        <is>
          <t>커지거나 날카로움 · 꾸짖음</t>
        </is>
      </c>
      <c r="H5" s="31" t="inlineStr">
        <is>
          <t>교육태도</t>
        </is>
      </c>
      <c r="I5" s="32" t="inlineStr">
        <is>
          <t>양쪽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t="inlineStr">
        <is>
          <t>EDU</t>
        </is>
      </c>
      <c r="AE5">
        <f>IF($J5="",0,IF(INDEX($C5:$G5,$J5)="",0,$J5))</f>
        <v/>
      </c>
      <c r="AF5">
        <f>IF($K5="",0,IF(INDEX($C5:$G5,$K5)="",0,$K5))</f>
        <v/>
      </c>
      <c r="AG5">
        <f>IF($L5="",0,IF(INDEX($C5:$G5,$L5)="",0,$L5))</f>
        <v/>
      </c>
      <c r="AH5">
        <f>IF($M5="",0,IF(INDEX($C5:$G5,$M5)="",0,$M5))</f>
        <v/>
      </c>
      <c r="AI5">
        <f>IF($N5="",0,IF(INDEX($C5:$G5,$N5)="",0,$N5))</f>
        <v/>
      </c>
      <c r="AJ5">
        <f>IF($O5="",0,IF(INDEX($C5:$G5,$O5)="",0,$O5))</f>
        <v/>
      </c>
      <c r="AK5">
        <f>IF($P5="",0,IF(INDEX($C5:$G5,$P5)="",0,$P5))</f>
        <v/>
      </c>
      <c r="AL5">
        <f>IF($Q5="",0,IF(INDEX($C5:$G5,$Q5)="",0,$Q5))</f>
        <v/>
      </c>
      <c r="AM5">
        <f>IF($R5="",0,IF(INDEX($C5:$G5,$R5)="",0,$R5))</f>
        <v/>
      </c>
      <c r="AN5">
        <f>IF($S5="",0,IF(INDEX($C5:$G5,$S5)="",0,$S5))</f>
        <v/>
      </c>
      <c r="AO5">
        <f>IF($T5="",0,IF(INDEX($C5:$G5,$T5)="",0,$T5))</f>
        <v/>
      </c>
      <c r="AP5">
        <f>IF($U5="",0,IF(INDEX($C5:$G5,$U5)="",0,$U5))</f>
        <v/>
      </c>
      <c r="AQ5">
        <f>IF($V5="",0,IF(INDEX($C5:$G5,$V5)="",0,$V5))</f>
        <v/>
      </c>
      <c r="AR5">
        <f>IF($W5="",0,IF(INDEX($C5:$G5,$W5)="",0,$W5))</f>
        <v/>
      </c>
      <c r="AS5">
        <f>IF($X5="",0,IF(INDEX($C5:$G5,$X5)="",0,$X5))</f>
        <v/>
      </c>
      <c r="AT5">
        <f>IF($Y5="",0,IF(INDEX($C5:$G5,$Y5)="",0,$Y5))</f>
        <v/>
      </c>
      <c r="AU5">
        <f>IF($Z5="",0,IF(INDEX($C5:$G5,$Z5)="",0,$Z5))</f>
        <v/>
      </c>
      <c r="AV5">
        <f>IF($AA5="",0,IF(INDEX($C5:$G5,$AA5)="",0,$AA5))</f>
        <v/>
      </c>
      <c r="AW5">
        <f>IF($AB5="",0,IF(INDEX($C5:$G5,$AB5)="",0,$AB5))</f>
        <v/>
      </c>
      <c r="AX5">
        <f>IF($AC5="",0,IF(INDEX($C5:$G5,$AC5)="",0,$AC5))</f>
        <v/>
      </c>
      <c r="AY5" t="inlineStr">
        <is>
          <t>BI</t>
        </is>
      </c>
    </row>
    <row r="6" ht="42" customHeight="1">
      <c r="A6" s="28" t="inlineStr">
        <is>
          <t>전 구간</t>
        </is>
      </c>
      <c r="B6" s="29" t="inlineStr">
        <is>
          <t>리드줄  ※입장·퇴장에서만 보입니다</t>
        </is>
      </c>
      <c r="C6" s="30" t="inlineStr">
        <is>
          <t>방치 — 개가 시야 밖으로 가도 무반응</t>
        </is>
      </c>
      <c r="D6" s="30" t="inlineStr">
        <is>
          <t>줄을 늘어뜨린 채 신경 쓰지 않음</t>
        </is>
      </c>
      <c r="E6" s="30" t="inlineStr">
        <is>
          <t>느슨함 (U자 유지)</t>
        </is>
      </c>
      <c r="F6" s="30" t="inlineStr">
        <is>
          <t>가끔 당김</t>
        </is>
      </c>
      <c r="G6" s="30" t="inlineStr">
        <is>
          <t>지속적으로 당김</t>
        </is>
      </c>
      <c r="H6" s="31" t="inlineStr">
        <is>
          <t>교육태도</t>
        </is>
      </c>
      <c r="I6" s="32" t="inlineStr">
        <is>
          <t>양쪽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t="inlineStr">
        <is>
          <t>EDU</t>
        </is>
      </c>
      <c r="AE6">
        <f>IF($J6="",0,IF(INDEX($C6:$G6,$J6)="",0,$J6))</f>
        <v/>
      </c>
      <c r="AF6">
        <f>IF($K6="",0,IF(INDEX($C6:$G6,$K6)="",0,$K6))</f>
        <v/>
      </c>
      <c r="AG6">
        <f>IF($L6="",0,IF(INDEX($C6:$G6,$L6)="",0,$L6))</f>
        <v/>
      </c>
      <c r="AH6">
        <f>IF($M6="",0,IF(INDEX($C6:$G6,$M6)="",0,$M6))</f>
        <v/>
      </c>
      <c r="AI6">
        <f>IF($N6="",0,IF(INDEX($C6:$G6,$N6)="",0,$N6))</f>
        <v/>
      </c>
      <c r="AJ6">
        <f>IF($O6="",0,IF(INDEX($C6:$G6,$O6)="",0,$O6))</f>
        <v/>
      </c>
      <c r="AK6">
        <f>IF($P6="",0,IF(INDEX($C6:$G6,$P6)="",0,$P6))</f>
        <v/>
      </c>
      <c r="AL6">
        <f>IF($Q6="",0,IF(INDEX($C6:$G6,$Q6)="",0,$Q6))</f>
        <v/>
      </c>
      <c r="AM6">
        <f>IF($R6="",0,IF(INDEX($C6:$G6,$R6)="",0,$R6))</f>
        <v/>
      </c>
      <c r="AN6">
        <f>IF($S6="",0,IF(INDEX($C6:$G6,$S6)="",0,$S6))</f>
        <v/>
      </c>
      <c r="AO6">
        <f>IF($T6="",0,IF(INDEX($C6:$G6,$T6)="",0,$T6))</f>
        <v/>
      </c>
      <c r="AP6">
        <f>IF($U6="",0,IF(INDEX($C6:$G6,$U6)="",0,$U6))</f>
        <v/>
      </c>
      <c r="AQ6">
        <f>IF($V6="",0,IF(INDEX($C6:$G6,$V6)="",0,$V6))</f>
        <v/>
      </c>
      <c r="AR6">
        <f>IF($W6="",0,IF(INDEX($C6:$G6,$W6)="",0,$W6))</f>
        <v/>
      </c>
      <c r="AS6">
        <f>IF($X6="",0,IF(INDEX($C6:$G6,$X6)="",0,$X6))</f>
        <v/>
      </c>
      <c r="AT6">
        <f>IF($Y6="",0,IF(INDEX($C6:$G6,$Y6)="",0,$Y6))</f>
        <v/>
      </c>
      <c r="AU6">
        <f>IF($Z6="",0,IF(INDEX($C6:$G6,$Z6)="",0,$Z6))</f>
        <v/>
      </c>
      <c r="AV6">
        <f>IF($AA6="",0,IF(INDEX($C6:$G6,$AA6)="",0,$AA6))</f>
        <v/>
      </c>
      <c r="AW6">
        <f>IF($AB6="",0,IF(INDEX($C6:$G6,$AB6)="",0,$AB6))</f>
        <v/>
      </c>
      <c r="AX6">
        <f>IF($AC6="",0,IF(INDEX($C6:$G6,$AC6)="",0,$AC6))</f>
        <v/>
      </c>
      <c r="AY6" t="inlineStr">
        <is>
          <t>BI</t>
        </is>
      </c>
    </row>
    <row r="7" ht="42" customHeight="1">
      <c r="A7" s="28" t="inlineStr">
        <is>
          <t>전 구간</t>
        </is>
      </c>
      <c r="B7" s="29" t="inlineStr">
        <is>
          <t>지시·말 반복  ※입장 · 기준 10초 · 재회 · 퇴장에서 봅니다</t>
        </is>
      </c>
      <c r="C7" s="30" t="inlineStr">
        <is>
          <t>개를 놓침 · 말도 안 함 (방치)</t>
        </is>
      </c>
      <c r="D7" s="30" t="inlineStr">
        <is>
          <t>말을 걸지 않고 지켜보기만 함</t>
        </is>
      </c>
      <c r="E7" s="30" t="inlineStr">
        <is>
          <t>1회만 말하고 기다림</t>
        </is>
      </c>
      <c r="F7" s="30" t="inlineStr">
        <is>
          <t>2~3회 반복</t>
        </is>
      </c>
      <c r="G7" s="30" t="inlineStr">
        <is>
          <t>4회 이상 · 지시어 뒤섞임 · 쉼 없이 연발</t>
        </is>
      </c>
      <c r="H7" s="31" t="inlineStr">
        <is>
          <t>교육태도</t>
        </is>
      </c>
      <c r="I7" s="32" t="inlineStr">
        <is>
          <t>양쪽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t="inlineStr">
        <is>
          <t>EDU</t>
        </is>
      </c>
      <c r="AE7">
        <f>IF($J7="",0,IF(INDEX($C7:$G7,$J7)="",0,$J7))</f>
        <v/>
      </c>
      <c r="AF7">
        <f>IF($K7="",0,IF(INDEX($C7:$G7,$K7)="",0,$K7))</f>
        <v/>
      </c>
      <c r="AG7">
        <f>IF($L7="",0,IF(INDEX($C7:$G7,$L7)="",0,$L7))</f>
        <v/>
      </c>
      <c r="AH7">
        <f>IF($M7="",0,IF(INDEX($C7:$G7,$M7)="",0,$M7))</f>
        <v/>
      </c>
      <c r="AI7">
        <f>IF($N7="",0,IF(INDEX($C7:$G7,$N7)="",0,$N7))</f>
        <v/>
      </c>
      <c r="AJ7">
        <f>IF($O7="",0,IF(INDEX($C7:$G7,$O7)="",0,$O7))</f>
        <v/>
      </c>
      <c r="AK7">
        <f>IF($P7="",0,IF(INDEX($C7:$G7,$P7)="",0,$P7))</f>
        <v/>
      </c>
      <c r="AL7">
        <f>IF($Q7="",0,IF(INDEX($C7:$G7,$Q7)="",0,$Q7))</f>
        <v/>
      </c>
      <c r="AM7">
        <f>IF($R7="",0,IF(INDEX($C7:$G7,$R7)="",0,$R7))</f>
        <v/>
      </c>
      <c r="AN7">
        <f>IF($S7="",0,IF(INDEX($C7:$G7,$S7)="",0,$S7))</f>
        <v/>
      </c>
      <c r="AO7">
        <f>IF($T7="",0,IF(INDEX($C7:$G7,$T7)="",0,$T7))</f>
        <v/>
      </c>
      <c r="AP7">
        <f>IF($U7="",0,IF(INDEX($C7:$G7,$U7)="",0,$U7))</f>
        <v/>
      </c>
      <c r="AQ7">
        <f>IF($V7="",0,IF(INDEX($C7:$G7,$V7)="",0,$V7))</f>
        <v/>
      </c>
      <c r="AR7">
        <f>IF($W7="",0,IF(INDEX($C7:$G7,$W7)="",0,$W7))</f>
        <v/>
      </c>
      <c r="AS7">
        <f>IF($X7="",0,IF(INDEX($C7:$G7,$X7)="",0,$X7))</f>
        <v/>
      </c>
      <c r="AT7">
        <f>IF($Y7="",0,IF(INDEX($C7:$G7,$Y7)="",0,$Y7))</f>
        <v/>
      </c>
      <c r="AU7">
        <f>IF($Z7="",0,IF(INDEX($C7:$G7,$Z7)="",0,$Z7))</f>
        <v/>
      </c>
      <c r="AV7">
        <f>IF($AA7="",0,IF(INDEX($C7:$G7,$AA7)="",0,$AA7))</f>
        <v/>
      </c>
      <c r="AW7">
        <f>IF($AB7="",0,IF(INDEX($C7:$G7,$AB7)="",0,$AB7))</f>
        <v/>
      </c>
      <c r="AX7">
        <f>IF($AC7="",0,IF(INDEX($C7:$G7,$AC7)="",0,$AC7))</f>
        <v/>
      </c>
      <c r="AY7" t="inlineStr">
        <is>
          <t>BI</t>
        </is>
      </c>
    </row>
    <row r="8" ht="42" customHeight="1">
      <c r="A8" s="28" t="inlineStr">
        <is>
          <t>전 구간</t>
        </is>
      </c>
      <c r="B8" s="29" t="inlineStr">
        <is>
          <t>시선 — 개를 보려 하는가  ※무시 15초와 걷기는 빼고 봅니다 — 안 보는 것이 지시입니다</t>
        </is>
      </c>
      <c r="C8" s="27" t="n"/>
      <c r="D8" s="27" t="n"/>
      <c r="E8" s="30" t="inlineStr">
        <is>
          <t>개를 보고 있음</t>
        </is>
      </c>
      <c r="F8" s="30" t="inlineStr">
        <is>
          <t>가끔 다른 곳을 봄</t>
        </is>
      </c>
      <c r="G8" s="30" t="inlineStr">
        <is>
          <t>개를 거의 보지 않음</t>
        </is>
      </c>
      <c r="H8" s="31" t="inlineStr">
        <is>
          <t>교육태도</t>
        </is>
      </c>
      <c r="I8" s="32" t="inlineStr">
        <is>
          <t>한쪽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t="inlineStr">
        <is>
          <t>EDU</t>
        </is>
      </c>
      <c r="AE8">
        <f>IF($J8="",0,IF(INDEX($C8:$G8,$J8)="",0,$J8))</f>
        <v/>
      </c>
      <c r="AF8">
        <f>IF($K8="",0,IF(INDEX($C8:$G8,$K8)="",0,$K8))</f>
        <v/>
      </c>
      <c r="AG8">
        <f>IF($L8="",0,IF(INDEX($C8:$G8,$L8)="",0,$L8))</f>
        <v/>
      </c>
      <c r="AH8">
        <f>IF($M8="",0,IF(INDEX($C8:$G8,$M8)="",0,$M8))</f>
        <v/>
      </c>
      <c r="AI8">
        <f>IF($N8="",0,IF(INDEX($C8:$G8,$N8)="",0,$N8))</f>
        <v/>
      </c>
      <c r="AJ8">
        <f>IF($O8="",0,IF(INDEX($C8:$G8,$O8)="",0,$O8))</f>
        <v/>
      </c>
      <c r="AK8">
        <f>IF($P8="",0,IF(INDEX($C8:$G8,$P8)="",0,$P8))</f>
        <v/>
      </c>
      <c r="AL8">
        <f>IF($Q8="",0,IF(INDEX($C8:$G8,$Q8)="",0,$Q8))</f>
        <v/>
      </c>
      <c r="AM8">
        <f>IF($R8="",0,IF(INDEX($C8:$G8,$R8)="",0,$R8))</f>
        <v/>
      </c>
      <c r="AN8">
        <f>IF($S8="",0,IF(INDEX($C8:$G8,$S8)="",0,$S8))</f>
        <v/>
      </c>
      <c r="AO8">
        <f>IF($T8="",0,IF(INDEX($C8:$G8,$T8)="",0,$T8))</f>
        <v/>
      </c>
      <c r="AP8">
        <f>IF($U8="",0,IF(INDEX($C8:$G8,$U8)="",0,$U8))</f>
        <v/>
      </c>
      <c r="AQ8">
        <f>IF($V8="",0,IF(INDEX($C8:$G8,$V8)="",0,$V8))</f>
        <v/>
      </c>
      <c r="AR8">
        <f>IF($W8="",0,IF(INDEX($C8:$G8,$W8)="",0,$W8))</f>
        <v/>
      </c>
      <c r="AS8">
        <f>IF($X8="",0,IF(INDEX($C8:$G8,$X8)="",0,$X8))</f>
        <v/>
      </c>
      <c r="AT8">
        <f>IF($Y8="",0,IF(INDEX($C8:$G8,$Y8)="",0,$Y8))</f>
        <v/>
      </c>
      <c r="AU8">
        <f>IF($Z8="",0,IF(INDEX($C8:$G8,$Z8)="",0,$Z8))</f>
        <v/>
      </c>
      <c r="AV8">
        <f>IF($AA8="",0,IF(INDEX($C8:$G8,$AA8)="",0,$AA8))</f>
        <v/>
      </c>
      <c r="AW8">
        <f>IF($AB8="",0,IF(INDEX($C8:$G8,$AB8)="",0,$AB8))</f>
        <v/>
      </c>
      <c r="AX8">
        <f>IF($AC8="",0,IF(INDEX($C8:$G8,$AC8)="",0,$AC8))</f>
        <v/>
      </c>
      <c r="AY8" t="inlineStr">
        <is>
          <t>ONE</t>
        </is>
      </c>
    </row>
    <row r="9" ht="42" customHeight="1">
      <c r="A9" s="28" t="inlineStr">
        <is>
          <t>전 구간</t>
        </is>
      </c>
      <c r="B9" s="29" t="inlineStr">
        <is>
          <t>유도 방식  ※개가 안 가려 할 때 · 입장과 퇴장</t>
        </is>
      </c>
      <c r="C9" s="30" t="inlineStr">
        <is>
          <t>개를 두고 먼저 감 · 그냥 끌려오게 둠</t>
        </is>
      </c>
      <c r="D9" s="30" t="inlineStr">
        <is>
          <t>아무 말 없이 기다리기만 함</t>
        </is>
      </c>
      <c r="E9" s="30" t="inlineStr">
        <is>
          <t>기다려주고 부드럽게 격려 · 먹이나 장난감으로 유도</t>
        </is>
      </c>
      <c r="F9" s="30" t="inlineStr">
        <is>
          <t>가볍게 재촉 · 리드줄 살짝 당김 · 큰 소리로 재촉</t>
        </is>
      </c>
      <c r="G9" s="30" t="inlineStr">
        <is>
          <t>리드줄 확 잡아챔 · 몸으로 밀어 넣음 · 안아서 옮김</t>
        </is>
      </c>
      <c r="H9" s="31" t="inlineStr">
        <is>
          <t>교육태도</t>
        </is>
      </c>
      <c r="I9" s="32" t="inlineStr">
        <is>
          <t>양쪽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t="inlineStr">
        <is>
          <t>EDU</t>
        </is>
      </c>
      <c r="AE9">
        <f>IF($J9="",0,IF(INDEX($C9:$G9,$J9)="",0,$J9))</f>
        <v/>
      </c>
      <c r="AF9">
        <f>IF($K9="",0,IF(INDEX($C9:$G9,$K9)="",0,$K9))</f>
        <v/>
      </c>
      <c r="AG9">
        <f>IF($L9="",0,IF(INDEX($C9:$G9,$L9)="",0,$L9))</f>
        <v/>
      </c>
      <c r="AH9">
        <f>IF($M9="",0,IF(INDEX($C9:$G9,$M9)="",0,$M9))</f>
        <v/>
      </c>
      <c r="AI9">
        <f>IF($N9="",0,IF(INDEX($C9:$G9,$N9)="",0,$N9))</f>
        <v/>
      </c>
      <c r="AJ9">
        <f>IF($O9="",0,IF(INDEX($C9:$G9,$O9)="",0,$O9))</f>
        <v/>
      </c>
      <c r="AK9">
        <f>IF($P9="",0,IF(INDEX($C9:$G9,$P9)="",0,$P9))</f>
        <v/>
      </c>
      <c r="AL9">
        <f>IF($Q9="",0,IF(INDEX($C9:$G9,$Q9)="",0,$Q9))</f>
        <v/>
      </c>
      <c r="AM9">
        <f>IF($R9="",0,IF(INDEX($C9:$G9,$R9)="",0,$R9))</f>
        <v/>
      </c>
      <c r="AN9">
        <f>IF($S9="",0,IF(INDEX($C9:$G9,$S9)="",0,$S9))</f>
        <v/>
      </c>
      <c r="AO9">
        <f>IF($T9="",0,IF(INDEX($C9:$G9,$T9)="",0,$T9))</f>
        <v/>
      </c>
      <c r="AP9">
        <f>IF($U9="",0,IF(INDEX($C9:$G9,$U9)="",0,$U9))</f>
        <v/>
      </c>
      <c r="AQ9">
        <f>IF($V9="",0,IF(INDEX($C9:$G9,$V9)="",0,$V9))</f>
        <v/>
      </c>
      <c r="AR9">
        <f>IF($W9="",0,IF(INDEX($C9:$G9,$W9)="",0,$W9))</f>
        <v/>
      </c>
      <c r="AS9">
        <f>IF($X9="",0,IF(INDEX($C9:$G9,$X9)="",0,$X9))</f>
        <v/>
      </c>
      <c r="AT9">
        <f>IF($Y9="",0,IF(INDEX($C9:$G9,$Y9)="",0,$Y9))</f>
        <v/>
      </c>
      <c r="AU9">
        <f>IF($Z9="",0,IF(INDEX($C9:$G9,$Z9)="",0,$Z9))</f>
        <v/>
      </c>
      <c r="AV9">
        <f>IF($AA9="",0,IF(INDEX($C9:$G9,$AA9)="",0,$AA9))</f>
        <v/>
      </c>
      <c r="AW9">
        <f>IF($AB9="",0,IF(INDEX($C9:$G9,$AB9)="",0,$AB9))</f>
        <v/>
      </c>
      <c r="AX9">
        <f>IF($AC9="",0,IF(INDEX($C9:$G9,$AC9)="",0,$AC9))</f>
        <v/>
      </c>
      <c r="AY9" t="inlineStr">
        <is>
          <t>BI</t>
        </is>
      </c>
    </row>
    <row r="10" ht="42" customHeight="1">
      <c r="A10" s="12" t="inlineStr">
        <is>
          <t>혼자</t>
        </is>
      </c>
      <c r="B10" s="13" t="inlineStr">
        <is>
          <t>[분리] 나갈 때  ※참고 · 개 행동 해석용</t>
        </is>
      </c>
      <c r="C10" s="14" t="inlineStr">
        <is>
          <t>개를 보지도 않고 그냥 나감</t>
        </is>
      </c>
      <c r="D10" s="14" t="inlineStr">
        <is>
          <t>몰래 급히 나감</t>
        </is>
      </c>
      <c r="E10" s="14" t="inlineStr">
        <is>
          <t>차분히 나감</t>
        </is>
      </c>
      <c r="F10" s="14" t="inlineStr">
        <is>
          <t>과하게 인사하고 나감</t>
        </is>
      </c>
      <c r="G10" s="14" t="inlineStr">
        <is>
          <t>달래다 못 나감 · 여러 번 되돌아옴</t>
        </is>
      </c>
      <c r="H10" s="15" t="inlineStr">
        <is>
          <t>— 참고 (영역 집계 제외)</t>
        </is>
      </c>
      <c r="I10" s="16" t="inlineStr">
        <is>
          <t>참고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 ht="42" customHeight="1">
      <c r="A11" s="12" t="inlineStr">
        <is>
          <t>재회</t>
        </is>
      </c>
      <c r="B11" s="13" t="inlineStr">
        <is>
          <t>[재회] 들어올 때  ※의자에 앉은 뒤 · 참고</t>
        </is>
      </c>
      <c r="C11" s="14" t="inlineStr">
        <is>
          <t>피하고 개가 뛰어오르면 밀어냄 · 통제 지시만 함</t>
        </is>
      </c>
      <c r="D11" s="14" t="inlineStr">
        <is>
          <t>수동적으로 인사를 받기만 함</t>
        </is>
      </c>
      <c r="E11" s="14" t="inlineStr">
        <is>
          <t>적극적으로 인사하고 친근한 톤으로 말함</t>
        </is>
      </c>
      <c r="F11" s="14" t="inlineStr">
        <is>
          <t>웃으며 들뜬 목소리로 인사</t>
        </is>
      </c>
      <c r="G11" s="14" t="inlineStr">
        <is>
          <t>크게 호들갑 · 개를 흥분시킴</t>
        </is>
      </c>
      <c r="H11" s="15" t="inlineStr">
        <is>
          <t>— 참고 (영역 집계 제외)</t>
        </is>
      </c>
      <c r="I11" s="16" t="inlineStr">
        <is>
          <t>참고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 ht="24" customHeight="1">
      <c r="A12" s="22" t="inlineStr">
        <is>
          <t>무시</t>
        </is>
      </c>
      <c r="B12" s="23" t="inlineStr">
        <is>
          <t>[무시] 지시 준수  ※참고 · 조건 준수 확인</t>
        </is>
      </c>
      <c r="C12" s="24" t="inlineStr">
        <is>
          <t>15초 동안 말 · 시선 · 접촉 없음 — 유효</t>
        </is>
      </c>
      <c r="D12" s="24" t="inlineStr">
        <is>
          <t>한 번 보거나 말함 — 유효(주의)</t>
        </is>
      </c>
      <c r="E12" s="24" t="inlineStr">
        <is>
          <t>두 번 이상 · 만짐 — 이 시행의 무시 항목 무효</t>
        </is>
      </c>
      <c r="F12" s="27" t="n"/>
      <c r="G12" s="27" t="n"/>
      <c r="H12" s="25" t="inlineStr">
        <is>
          <t>— 참고 (영역 집계 제외)</t>
        </is>
      </c>
      <c r="I12" s="26" t="inlineStr">
        <is>
          <t>참고</t>
        </is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 ht="24" customHeight="1">
      <c r="A13" s="22" t="inlineStr">
        <is>
          <t>걷기</t>
        </is>
      </c>
      <c r="B13" s="23" t="inlineStr">
        <is>
          <t>[걷기] 시행 유효성  ※참고 · 조건 준수 확인</t>
        </is>
      </c>
      <c r="C13" s="24" t="inlineStr">
        <is>
          <t>30초 동안 말·손짓 없음 — 유효</t>
        </is>
      </c>
      <c r="D13" s="24" t="inlineStr">
        <is>
          <t>한 번 부르거나 손짓함 — 유효(주의)</t>
        </is>
      </c>
      <c r="E13" s="24" t="inlineStr">
        <is>
          <t>두 번 이상 — 이 시행의 걷기 항목과 동조율 무효</t>
        </is>
      </c>
      <c r="F13" s="27" t="n"/>
      <c r="G13" s="27" t="n"/>
      <c r="H13" s="25" t="inlineStr">
        <is>
          <t>— 참고 (영역 집계 제외)</t>
        </is>
      </c>
      <c r="I13" s="26" t="inlineStr">
        <is>
          <t>참고</t>
        </is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4" t="inlineStr">
        <is>
          <t>※ 3점이 안정입니다. 축이 넷입니다 — 애착(1 과잉↔5 없음) · 우호(1 경계↔5 과한 우호) · 사회화(1 회피↔5 살피지 않음) · 각성(1 위축↔5 흥분). 「한쪽」 항목은 1·2가 비어 있습니다.</t>
        </is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</sheetData>
  <dataValidations count="1">
    <dataValidation sqref="J5:AC12" showDropDown="0" showInputMessage="0" showErrorMessage="0" allowBlank="1" type="whole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6" customWidth="1" min="1" max="1"/>
    <col width="14" customWidth="1" min="2" max="2"/>
    <col width="16" customWidth="1" min="3" max="3"/>
    <col width="9" customWidth="1" min="4" max="26"/>
    <col width="32" customWidth="1" min="27" max="27"/>
  </cols>
  <sheetData>
    <row r="1" ht="20.25" customHeight="1">
      <c r="A1" s="1" t="inlineStr">
        <is>
          <t>20마리 결과 한눈에 보기</t>
        </is>
      </c>
    </row>
    <row r="2">
      <c r="A2" s="4" t="inlineStr">
        <is>
          <t>기운 = 3점(안정)에서 어느 쪽으로 치우쳤나.  폭 = 3에서 가장 멀리 간 거리 (0~2).  정도 = 「한쪽」 항목의 평균.  친밀·애착과 사회성—사람은 기운 대신 유형이 나옵니다.  적응·회복·낯선 진정 = 3(안정)에서 떨어진 거리가 얼마나 줄었나. 양수면 안정 쪽으로 왔고, 음수면 위축이든 흥분이든 더 멀어진 것입니다.  총점은 만들지 않습니다.</t>
        </is>
      </c>
    </row>
    <row r="4">
      <c r="A4" s="44" t="inlineStr">
        <is>
          <t>번호</t>
        </is>
      </c>
      <c r="B4" s="44" t="inlineStr">
        <is>
          <t>반려견 이름</t>
        </is>
      </c>
      <c r="C4" s="44" t="inlineStr">
        <is>
          <t>견종 · 나이</t>
        </is>
      </c>
      <c r="D4" s="44" t="inlineStr">
        <is>
          <t>교육태도</t>
        </is>
      </c>
      <c r="E4" s="46" t="n"/>
      <c r="F4" s="47" t="n"/>
      <c r="G4" s="44" t="inlineStr">
        <is>
          <t>사회성 — 환경</t>
        </is>
      </c>
      <c r="H4" s="46" t="n"/>
      <c r="I4" s="47" t="n"/>
      <c r="J4" s="44" t="inlineStr">
        <is>
          <t>사회성 — 사람</t>
        </is>
      </c>
      <c r="K4" s="46" t="n"/>
      <c r="L4" s="47" t="n"/>
      <c r="M4" s="44" t="inlineStr">
        <is>
          <t>친밀·애착</t>
        </is>
      </c>
      <c r="N4" s="46" t="n"/>
      <c r="O4" s="47" t="n"/>
      <c r="P4" s="44" t="inlineStr">
        <is>
          <t>행동 동조</t>
        </is>
      </c>
      <c r="Q4" s="46" t="n"/>
      <c r="R4" s="47" t="n"/>
      <c r="S4" s="44" t="inlineStr">
        <is>
          <t>퇴장 — 환경 적응</t>
        </is>
      </c>
      <c r="T4" s="46" t="n"/>
      <c r="U4" s="47" t="n"/>
      <c r="V4" s="44" t="inlineStr">
        <is>
          <t>적응</t>
        </is>
      </c>
      <c r="W4" s="44" t="inlineStr">
        <is>
          <t>회복</t>
        </is>
      </c>
      <c r="X4" s="44" t="inlineStr">
        <is>
          <t>낯선 진정</t>
        </is>
      </c>
      <c r="Y4" s="44" t="inlineStr">
        <is>
          <t>기준선</t>
        </is>
      </c>
      <c r="Z4" s="44" t="inlineStr">
        <is>
          <t>걷기 동조율</t>
        </is>
      </c>
      <c r="AA4" s="44" t="inlineStr">
        <is>
          <t>메모 · 주요 이슈</t>
        </is>
      </c>
    </row>
    <row r="5" ht="27" customHeight="1">
      <c r="A5" s="45" t="n"/>
      <c r="B5" s="45" t="n"/>
      <c r="C5" s="45" t="n"/>
      <c r="D5" s="44" t="inlineStr">
        <is>
          <t>기운</t>
        </is>
      </c>
      <c r="E5" s="44" t="inlineStr">
        <is>
          <t>폭</t>
        </is>
      </c>
      <c r="F5" s="44" t="inlineStr">
        <is>
          <t>정도</t>
        </is>
      </c>
      <c r="G5" s="44" t="inlineStr">
        <is>
          <t>기운</t>
        </is>
      </c>
      <c r="H5" s="44" t="inlineStr">
        <is>
          <t>폭</t>
        </is>
      </c>
      <c r="I5" s="44" t="inlineStr">
        <is>
          <t>정도</t>
        </is>
      </c>
      <c r="J5" s="44" t="inlineStr">
        <is>
          <t>유형</t>
        </is>
      </c>
      <c r="K5" s="44" t="inlineStr">
        <is>
          <t>폭</t>
        </is>
      </c>
      <c r="L5" s="44" t="inlineStr">
        <is>
          <t>정도</t>
        </is>
      </c>
      <c r="M5" s="44" t="inlineStr">
        <is>
          <t>유형</t>
        </is>
      </c>
      <c r="N5" s="44" t="inlineStr">
        <is>
          <t>폭</t>
        </is>
      </c>
      <c r="O5" s="44" t="inlineStr">
        <is>
          <t>정도</t>
        </is>
      </c>
      <c r="P5" s="44" t="inlineStr">
        <is>
          <t>기운</t>
        </is>
      </c>
      <c r="Q5" s="44" t="inlineStr">
        <is>
          <t>폭</t>
        </is>
      </c>
      <c r="R5" s="44" t="inlineStr">
        <is>
          <t>정도</t>
        </is>
      </c>
      <c r="S5" s="44" t="inlineStr">
        <is>
          <t>기운</t>
        </is>
      </c>
      <c r="T5" s="44" t="inlineStr">
        <is>
          <t>폭</t>
        </is>
      </c>
      <c r="U5" s="44" t="inlineStr">
        <is>
          <t>정도</t>
        </is>
      </c>
      <c r="V5" s="44" t="inlineStr">
        <is>
          <t>|기준−3|−|무시−3|</t>
        </is>
      </c>
      <c r="W5" s="44" t="inlineStr">
        <is>
          <t>|혼자−3|−|재회−3|</t>
        </is>
      </c>
      <c r="X5" s="44" t="inlineStr">
        <is>
          <t>|혼자−3|−|낯선−3|</t>
        </is>
      </c>
      <c r="Y5" s="44" t="inlineStr">
        <is>
          <t>기준 각성</t>
        </is>
      </c>
      <c r="Z5" s="45" t="n"/>
      <c r="AA5" s="45" t="n"/>
    </row>
    <row r="6">
      <c r="A6" s="39" t="n">
        <v>1</v>
      </c>
      <c r="B6" s="39" t="n"/>
      <c r="C6" s="39" t="n"/>
      <c r="D6" s="48">
        <f>IF((COUNTIFS('1_바디시그널'!$AD$5:$AD$13,"EDU",'1_바디시그널'!$AY$5:$AY$13,"BI",'1_바디시그널'!$AE$5:$AE$13,"&gt;=1")+COUNTIFS('2_개행동'!$AD$5:$AD$28,"EDU",'2_개행동'!$AY$5:$AY$28,"BI",'2_개행동'!$AE$5:$AE$28,"&gt;=1")+COUNTIFS('3_보호자행동'!$AD$5:$AD$15,"EDU",'3_보호자행동'!$AY$5:$AY$15,"BI",'3_보호자행동'!$AE$5:$AE$15,"&gt;=1"))=0,"",ROUND((SUMIFS('1_바디시그널'!$AE$5:$AE$13,'1_바디시그널'!$AD$5:$AD$13,"EDU",'1_바디시그널'!$AY$5:$AY$13,"BI",'1_바디시그널'!$AE$5:$AE$13,"&gt;=1")+SUMIFS('2_개행동'!$AE$5:$AE$28,'2_개행동'!$AD$5:$AD$28,"EDU",'2_개행동'!$AY$5:$AY$28,"BI",'2_개행동'!$AE$5:$AE$28,"&gt;=1")+SUMIFS('3_보호자행동'!$AE$5:$AE$15,'3_보호자행동'!$AD$5:$AD$15,"EDU",'3_보호자행동'!$AY$5:$AY$15,"BI",'3_보호자행동'!$AE$5:$AE$15,"&gt;=1"))/(COUNTIFS('1_바디시그널'!$AD$5:$AD$13,"EDU",'1_바디시그널'!$AY$5:$AY$13,"BI",'1_바디시그널'!$AE$5:$AE$13,"&gt;=1")+COUNTIFS('2_개행동'!$AD$5:$AD$28,"EDU",'2_개행동'!$AY$5:$AY$28,"BI",'2_개행동'!$AE$5:$AE$28,"&gt;=1")+COUNTIFS('3_보호자행동'!$AD$5:$AD$15,"EDU",'3_보호자행동'!$AY$5:$AY$15,"BI",'3_보호자행동'!$AE$5:$AE$15,"&gt;=1"))-3,2))</f>
        <v/>
      </c>
      <c r="E6" s="39">
        <f>IF((COUNTIFS('1_바디시그널'!$AD$5:$AD$13,"EDU",'1_바디시그널'!$AE$5:$AE$13,"&gt;=1")+COUNTIFS('2_개행동'!$AD$5:$AD$28,"EDU",'2_개행동'!$AE$5:$AE$28,"&gt;=1")+COUNTIFS('3_보호자행동'!$AD$5:$AD$15,"EDU",'3_보호자행동'!$AE$5:$AE$15,"&gt;=1"))=0,"",MAX(MAX(SUMPRODUCT(MAX(('1_바디시그널'!$AD$5:$AD$13="EDU")*('1_바디시그널'!$AE$5:$AE$13-3))),SUMPRODUCT(MAX(('2_개행동'!$AD$5:$AD$28="EDU")*('2_개행동'!$AE$5:$AE$28-3))),SUMPRODUCT(MAX(('3_보호자행동'!$AD$5:$AD$15="EDU")*('3_보호자행동'!$AE$5:$AE$15-3)))),MAX(SUMPRODUCT(MAX(('1_바디시그널'!$AD$5:$AD$13="EDU")*('1_바디시그널'!$AE$5:$AE$13&gt;=1)*(3-'1_바디시그널'!$AE$5:$AE$13))),SUMPRODUCT(MAX(('2_개행동'!$AD$5:$AD$28="EDU")*('2_개행동'!$AE$5:$AE$28&gt;=1)*(3-'2_개행동'!$AE$5:$AE$28))),SUMPRODUCT(MAX(('3_보호자행동'!$AD$5:$AD$15="EDU")*('3_보호자행동'!$AE$5:$AE$15&gt;=1)*(3-'3_보호자행동'!$AE$5:$AE$15))))))</f>
        <v/>
      </c>
      <c r="F6" s="39">
        <f>IF((COUNTIFS('1_바디시그널'!$AD$5:$AD$13,"EDU",'1_바디시그널'!$AY$5:$AY$13,"ONE",'1_바디시그널'!$AE$5:$AE$13,"&gt;=1")+COUNTIFS('2_개행동'!$AD$5:$AD$28,"EDU",'2_개행동'!$AY$5:$AY$28,"ONE",'2_개행동'!$AE$5:$AE$28,"&gt;=1")+COUNTIFS('3_보호자행동'!$AD$5:$AD$15,"EDU",'3_보호자행동'!$AY$5:$AY$15,"ONE",'3_보호자행동'!$AE$5:$AE$15,"&gt;=1"))=0,"",ROUND((SUMIFS('1_바디시그널'!$AE$5:$AE$13,'1_바디시그널'!$AD$5:$AD$13,"EDU",'1_바디시그널'!$AY$5:$AY$13,"ONE",'1_바디시그널'!$AE$5:$AE$13,"&gt;=1")+SUMIFS('2_개행동'!$AE$5:$AE$28,'2_개행동'!$AD$5:$AD$28,"EDU",'2_개행동'!$AY$5:$AY$28,"ONE",'2_개행동'!$AE$5:$AE$28,"&gt;=1")+SUMIFS('3_보호자행동'!$AE$5:$AE$15,'3_보호자행동'!$AD$5:$AD$15,"EDU",'3_보호자행동'!$AY$5:$AY$15,"ONE",'3_보호자행동'!$AE$5:$AE$15,"&gt;=1"))/(COUNTIFS('1_바디시그널'!$AD$5:$AD$13,"EDU",'1_바디시그널'!$AY$5:$AY$13,"ONE",'1_바디시그널'!$AE$5:$AE$13,"&gt;=1")+COUNTIFS('2_개행동'!$AD$5:$AD$28,"EDU",'2_개행동'!$AY$5:$AY$28,"ONE",'2_개행동'!$AE$5:$AE$28,"&gt;=1")+COUNTIFS('3_보호자행동'!$AD$5:$AD$15,"EDU",'3_보호자행동'!$AY$5:$AY$15,"ONE",'3_보호자행동'!$AE$5:$AE$15,"&gt;=1")),2))</f>
        <v/>
      </c>
      <c r="G6" s="48">
        <f>IF((COUNTIFS('1_바디시그널'!$AD$5:$AD$13,"SOC_E",'1_바디시그널'!$AY$5:$AY$13,"BI",'1_바디시그널'!$AE$5:$AE$13,"&gt;=1")+COUNTIFS('2_개행동'!$AD$5:$AD$28,"SOC_E",'2_개행동'!$AY$5:$AY$28,"BI",'2_개행동'!$AE$5:$AE$28,"&gt;=1")+COUNTIFS('3_보호자행동'!$AD$5:$AD$15,"SOC_E",'3_보호자행동'!$AY$5:$AY$15,"BI",'3_보호자행동'!$AE$5:$AE$15,"&gt;=1"))=0,"",ROUND((SUMIFS('1_바디시그널'!$AE$5:$AE$13,'1_바디시그널'!$AD$5:$AD$13,"SOC_E",'1_바디시그널'!$AY$5:$AY$13,"BI",'1_바디시그널'!$AE$5:$AE$13,"&gt;=1")+SUMIFS('2_개행동'!$AE$5:$AE$28,'2_개행동'!$AD$5:$AD$28,"SOC_E",'2_개행동'!$AY$5:$AY$28,"BI",'2_개행동'!$AE$5:$AE$28,"&gt;=1")+SUMIFS('3_보호자행동'!$AE$5:$AE$15,'3_보호자행동'!$AD$5:$AD$15,"SOC_E",'3_보호자행동'!$AY$5:$AY$15,"BI",'3_보호자행동'!$AE$5:$AE$15,"&gt;=1"))/(COUNTIFS('1_바디시그널'!$AD$5:$AD$13,"SOC_E",'1_바디시그널'!$AY$5:$AY$13,"BI",'1_바디시그널'!$AE$5:$AE$13,"&gt;=1")+COUNTIFS('2_개행동'!$AD$5:$AD$28,"SOC_E",'2_개행동'!$AY$5:$AY$28,"BI",'2_개행동'!$AE$5:$AE$28,"&gt;=1")+COUNTIFS('3_보호자행동'!$AD$5:$AD$15,"SOC_E",'3_보호자행동'!$AY$5:$AY$15,"BI",'3_보호자행동'!$AE$5:$AE$15,"&gt;=1"))-3,2))</f>
        <v/>
      </c>
      <c r="H6" s="39">
        <f>IF((COUNTIFS('1_바디시그널'!$AD$5:$AD$13,"SOC_E",'1_바디시그널'!$AE$5:$AE$13,"&gt;=1")+COUNTIFS('2_개행동'!$AD$5:$AD$28,"SOC_E",'2_개행동'!$AE$5:$AE$28,"&gt;=1")+COUNTIFS('3_보호자행동'!$AD$5:$AD$15,"SOC_E",'3_보호자행동'!$AE$5:$AE$15,"&gt;=1"))=0,"",MAX(MAX(SUMPRODUCT(MAX(('1_바디시그널'!$AD$5:$AD$13="SOC_E")*('1_바디시그널'!$AE$5:$AE$13-3))),SUMPRODUCT(MAX(('2_개행동'!$AD$5:$AD$28="SOC_E")*('2_개행동'!$AE$5:$AE$28-3))),SUMPRODUCT(MAX(('3_보호자행동'!$AD$5:$AD$15="SOC_E")*('3_보호자행동'!$AE$5:$AE$15-3)))),MAX(SUMPRODUCT(MAX(('1_바디시그널'!$AD$5:$AD$13="SOC_E")*('1_바디시그널'!$AE$5:$AE$13&gt;=1)*(3-'1_바디시그널'!$AE$5:$AE$13))),SUMPRODUCT(MAX(('2_개행동'!$AD$5:$AD$28="SOC_E")*('2_개행동'!$AE$5:$AE$28&gt;=1)*(3-'2_개행동'!$AE$5:$AE$28))),SUMPRODUCT(MAX(('3_보호자행동'!$AD$5:$AD$15="SOC_E")*('3_보호자행동'!$AE$5:$AE$15&gt;=1)*(3-'3_보호자행동'!$AE$5:$AE$15))))))</f>
        <v/>
      </c>
      <c r="I6" s="39">
        <f>IF((COUNTIFS('1_바디시그널'!$AD$5:$AD$13,"SOC_E",'1_바디시그널'!$AY$5:$AY$13,"ONE",'1_바디시그널'!$AE$5:$AE$13,"&gt;=1")+COUNTIFS('2_개행동'!$AD$5:$AD$28,"SOC_E",'2_개행동'!$AY$5:$AY$28,"ONE",'2_개행동'!$AE$5:$AE$28,"&gt;=1")+COUNTIFS('3_보호자행동'!$AD$5:$AD$15,"SOC_E",'3_보호자행동'!$AY$5:$AY$15,"ONE",'3_보호자행동'!$AE$5:$AE$15,"&gt;=1"))=0,"",ROUND((SUMIFS('1_바디시그널'!$AE$5:$AE$13,'1_바디시그널'!$AD$5:$AD$13,"SOC_E",'1_바디시그널'!$AY$5:$AY$13,"ONE",'1_바디시그널'!$AE$5:$AE$13,"&gt;=1")+SUMIFS('2_개행동'!$AE$5:$AE$28,'2_개행동'!$AD$5:$AD$28,"SOC_E",'2_개행동'!$AY$5:$AY$28,"ONE",'2_개행동'!$AE$5:$AE$28,"&gt;=1")+SUMIFS('3_보호자행동'!$AE$5:$AE$15,'3_보호자행동'!$AD$5:$AD$15,"SOC_E",'3_보호자행동'!$AY$5:$AY$15,"ONE",'3_보호자행동'!$AE$5:$AE$15,"&gt;=1"))/(COUNTIFS('1_바디시그널'!$AD$5:$AD$13,"SOC_E",'1_바디시그널'!$AY$5:$AY$13,"ONE",'1_바디시그널'!$AE$5:$AE$13,"&gt;=1")+COUNTIFS('2_개행동'!$AD$5:$AD$28,"SOC_E",'2_개행동'!$AY$5:$AY$28,"ONE",'2_개행동'!$AE$5:$AE$28,"&gt;=1")+COUNTIFS('3_보호자행동'!$AD$5:$AD$15,"SOC_E",'3_보호자행동'!$AY$5:$AY$15,"ONE",'3_보호자행동'!$AE$5:$AE$15,"&gt;=1")),2))</f>
        <v/>
      </c>
      <c r="J6" s="39">
        <f>IF(OR('2_개행동'!$J$13="",'2_개행동'!$J$14=""),"",IF('2_개행동'!$J$13&gt;=3,IF(ABS('2_개행동'!$J$14-3)&lt;=1,"편안·우호","우호·들뜸"),IF(ABS('2_개행동'!$J$14-3)&lt;=1,"담담·거리둠","경계·긴장")))</f>
        <v/>
      </c>
      <c r="K6" s="39">
        <f>IF((COUNTIFS('1_바디시그널'!$AD$5:$AD$13,"SOC_H",'1_바디시그널'!$AE$5:$AE$13,"&gt;=1")+COUNTIFS('2_개행동'!$AD$5:$AD$28,"SOC_H",'2_개행동'!$AE$5:$AE$28,"&gt;=1")+COUNTIFS('3_보호자행동'!$AD$5:$AD$15,"SOC_H",'3_보호자행동'!$AE$5:$AE$15,"&gt;=1"))=0,"",MAX(MAX(SUMPRODUCT(MAX(('1_바디시그널'!$AD$5:$AD$13="SOC_H")*('1_바디시그널'!$AE$5:$AE$13-3))),SUMPRODUCT(MAX(('2_개행동'!$AD$5:$AD$28="SOC_H")*('2_개행동'!$AE$5:$AE$28-3))),SUMPRODUCT(MAX(('3_보호자행동'!$AD$5:$AD$15="SOC_H")*('3_보호자행동'!$AE$5:$AE$15-3)))),MAX(SUMPRODUCT(MAX(('1_바디시그널'!$AD$5:$AD$13="SOC_H")*('1_바디시그널'!$AE$5:$AE$13&gt;=1)*(3-'1_바디시그널'!$AE$5:$AE$13))),SUMPRODUCT(MAX(('2_개행동'!$AD$5:$AD$28="SOC_H")*('2_개행동'!$AE$5:$AE$28&gt;=1)*(3-'2_개행동'!$AE$5:$AE$28))),SUMPRODUCT(MAX(('3_보호자행동'!$AD$5:$AD$15="SOC_H")*('3_보호자행동'!$AE$5:$AE$15&gt;=1)*(3-'3_보호자행동'!$AE$5:$AE$15))))))</f>
        <v/>
      </c>
      <c r="L6" s="39">
        <f>IF((COUNTIFS('1_바디시그널'!$AD$5:$AD$13,"SOC_H",'1_바디시그널'!$AY$5:$AY$13,"ONE",'1_바디시그널'!$AE$5:$AE$13,"&gt;=1")+COUNTIFS('2_개행동'!$AD$5:$AD$28,"SOC_H",'2_개행동'!$AY$5:$AY$28,"ONE",'2_개행동'!$AE$5:$AE$28,"&gt;=1")+COUNTIFS('3_보호자행동'!$AD$5:$AD$15,"SOC_H",'3_보호자행동'!$AY$5:$AY$15,"ONE",'3_보호자행동'!$AE$5:$AE$15,"&gt;=1"))=0,"",ROUND((SUMIFS('1_바디시그널'!$AE$5:$AE$13,'1_바디시그널'!$AD$5:$AD$13,"SOC_H",'1_바디시그널'!$AY$5:$AY$13,"ONE",'1_바디시그널'!$AE$5:$AE$13,"&gt;=1")+SUMIFS('2_개행동'!$AE$5:$AE$28,'2_개행동'!$AD$5:$AD$28,"SOC_H",'2_개행동'!$AY$5:$AY$28,"ONE",'2_개행동'!$AE$5:$AE$28,"&gt;=1")+SUMIFS('3_보호자행동'!$AE$5:$AE$15,'3_보호자행동'!$AD$5:$AD$15,"SOC_H",'3_보호자행동'!$AY$5:$AY$15,"ONE",'3_보호자행동'!$AE$5:$AE$15,"&gt;=1"))/(COUNTIFS('1_바디시그널'!$AD$5:$AD$13,"SOC_H",'1_바디시그널'!$AY$5:$AY$13,"ONE",'1_바디시그널'!$AE$5:$AE$13,"&gt;=1")+COUNTIFS('2_개행동'!$AD$5:$AD$28,"SOC_H",'2_개행동'!$AY$5:$AY$28,"ONE",'2_개행동'!$AE$5:$AE$28,"&gt;=1")+COUNTIFS('3_보호자행동'!$AD$5:$AD$15,"SOC_H",'3_보호자행동'!$AY$5:$AY$15,"ONE",'3_보호자행동'!$AE$5:$AE$15,"&gt;=1")),2))</f>
        <v/>
      </c>
      <c r="M6" s="39">
        <f>IF(OR('2_개행동'!$J$21="",'2_개행동'!$J$9="",'2_개행동'!$J$16="",'2_개행동'!$J$17="",'2_개행동'!$J$18=""),"",IF(N('2_개행동'!$J$20)&gt;=1,"일관되지 않음",IF(AVERAGE('2_개행동'!$J$21,'2_개행동'!$J$9,'2_개행동'!$J$16,'2_개행동'!$J$18)&lt;=3.5,IF(ABS('2_개행동'!$J$17-3)&lt;=1,"안정","불안"),IF(ABS('2_개행동'!$J$17-3)&lt;=1,"거리 둠","일관되지 않음"))))</f>
        <v/>
      </c>
      <c r="N6" s="39">
        <f>IF((COUNTIFS('1_바디시그널'!$AD$5:$AD$13,"ATT",'1_바디시그널'!$AE$5:$AE$13,"&gt;=1")+COUNTIFS('2_개행동'!$AD$5:$AD$28,"ATT",'2_개행동'!$AE$5:$AE$28,"&gt;=1")+COUNTIFS('3_보호자행동'!$AD$5:$AD$15,"ATT",'3_보호자행동'!$AE$5:$AE$15,"&gt;=1"))=0,"",MAX(MAX(SUMPRODUCT(MAX(('1_바디시그널'!$AD$5:$AD$13="ATT")*('1_바디시그널'!$AE$5:$AE$13-3))),SUMPRODUCT(MAX(('2_개행동'!$AD$5:$AD$28="ATT")*('2_개행동'!$AE$5:$AE$28-3))),SUMPRODUCT(MAX(('3_보호자행동'!$AD$5:$AD$15="ATT")*('3_보호자행동'!$AE$5:$AE$15-3)))),MAX(SUMPRODUCT(MAX(('1_바디시그널'!$AD$5:$AD$13="ATT")*('1_바디시그널'!$AE$5:$AE$13&gt;=1)*(3-'1_바디시그널'!$AE$5:$AE$13))),SUMPRODUCT(MAX(('2_개행동'!$AD$5:$AD$28="ATT")*('2_개행동'!$AE$5:$AE$28&gt;=1)*(3-'2_개행동'!$AE$5:$AE$28))),SUMPRODUCT(MAX(('3_보호자행동'!$AD$5:$AD$15="ATT")*('3_보호자행동'!$AE$5:$AE$15&gt;=1)*(3-'3_보호자행동'!$AE$5:$AE$15))))))</f>
        <v/>
      </c>
      <c r="O6" s="39">
        <f>IF((COUNTIFS('1_바디시그널'!$AD$5:$AD$13,"ATT",'1_바디시그널'!$AY$5:$AY$13,"ONE",'1_바디시그널'!$AE$5:$AE$13,"&gt;=1")+COUNTIFS('2_개행동'!$AD$5:$AD$28,"ATT",'2_개행동'!$AY$5:$AY$28,"ONE",'2_개행동'!$AE$5:$AE$28,"&gt;=1")+COUNTIFS('3_보호자행동'!$AD$5:$AD$15,"ATT",'3_보호자행동'!$AY$5:$AY$15,"ONE",'3_보호자행동'!$AE$5:$AE$15,"&gt;=1"))=0,"",ROUND((SUMIFS('1_바디시그널'!$AE$5:$AE$13,'1_바디시그널'!$AD$5:$AD$13,"ATT",'1_바디시그널'!$AY$5:$AY$13,"ONE",'1_바디시그널'!$AE$5:$AE$13,"&gt;=1")+SUMIFS('2_개행동'!$AE$5:$AE$28,'2_개행동'!$AD$5:$AD$28,"ATT",'2_개행동'!$AY$5:$AY$28,"ONE",'2_개행동'!$AE$5:$AE$28,"&gt;=1")+SUMIFS('3_보호자행동'!$AE$5:$AE$15,'3_보호자행동'!$AD$5:$AD$15,"ATT",'3_보호자행동'!$AY$5:$AY$15,"ONE",'3_보호자행동'!$AE$5:$AE$15,"&gt;=1"))/(COUNTIFS('1_바디시그널'!$AD$5:$AD$13,"ATT",'1_바디시그널'!$AY$5:$AY$13,"ONE",'1_바디시그널'!$AE$5:$AE$13,"&gt;=1")+COUNTIFS('2_개행동'!$AD$5:$AD$28,"ATT",'2_개행동'!$AY$5:$AY$28,"ONE",'2_개행동'!$AE$5:$AE$28,"&gt;=1")+COUNTIFS('3_보호자행동'!$AD$5:$AD$15,"ATT",'3_보호자행동'!$AY$5:$AY$15,"ONE",'3_보호자행동'!$AE$5:$AE$15,"&gt;=1")),2))</f>
        <v/>
      </c>
      <c r="P6" s="48">
        <f>IF((COUNTIFS('1_바디시그널'!$AD$5:$AD$13,"SYN",'1_바디시그널'!$AY$5:$AY$13,"BI",'1_바디시그널'!$AE$5:$AE$13,"&gt;=1")+COUNTIFS('2_개행동'!$AD$5:$AD$28,"SYN",'2_개행동'!$AY$5:$AY$28,"BI",'2_개행동'!$AE$5:$AE$28,"&gt;=1")+COUNTIFS('3_보호자행동'!$AD$5:$AD$15,"SYN",'3_보호자행동'!$AY$5:$AY$15,"BI",'3_보호자행동'!$AE$5:$AE$15,"&gt;=1"))=0,"",ROUND((SUMIFS('1_바디시그널'!$AE$5:$AE$13,'1_바디시그널'!$AD$5:$AD$13,"SYN",'1_바디시그널'!$AY$5:$AY$13,"BI",'1_바디시그널'!$AE$5:$AE$13,"&gt;=1")+SUMIFS('2_개행동'!$AE$5:$AE$28,'2_개행동'!$AD$5:$AD$28,"SYN",'2_개행동'!$AY$5:$AY$28,"BI",'2_개행동'!$AE$5:$AE$28,"&gt;=1")+SUMIFS('3_보호자행동'!$AE$5:$AE$15,'3_보호자행동'!$AD$5:$AD$15,"SYN",'3_보호자행동'!$AY$5:$AY$15,"BI",'3_보호자행동'!$AE$5:$AE$15,"&gt;=1"))/(COUNTIFS('1_바디시그널'!$AD$5:$AD$13,"SYN",'1_바디시그널'!$AY$5:$AY$13,"BI",'1_바디시그널'!$AE$5:$AE$13,"&gt;=1")+COUNTIFS('2_개행동'!$AD$5:$AD$28,"SYN",'2_개행동'!$AY$5:$AY$28,"BI",'2_개행동'!$AE$5:$AE$28,"&gt;=1")+COUNTIFS('3_보호자행동'!$AD$5:$AD$15,"SYN",'3_보호자행동'!$AY$5:$AY$15,"BI",'3_보호자행동'!$AE$5:$AE$15,"&gt;=1"))-3,2))</f>
        <v/>
      </c>
      <c r="Q6" s="39">
        <f>IF((COUNTIFS('1_바디시그널'!$AD$5:$AD$13,"SYN",'1_바디시그널'!$AE$5:$AE$13,"&gt;=1")+COUNTIFS('2_개행동'!$AD$5:$AD$28,"SYN",'2_개행동'!$AE$5:$AE$28,"&gt;=1")+COUNTIFS('3_보호자행동'!$AD$5:$AD$15,"SYN",'3_보호자행동'!$AE$5:$AE$15,"&gt;=1"))=0,"",MAX(MAX(SUMPRODUCT(MAX(('1_바디시그널'!$AD$5:$AD$13="SYN")*('1_바디시그널'!$AE$5:$AE$13-3))),SUMPRODUCT(MAX(('2_개행동'!$AD$5:$AD$28="SYN")*('2_개행동'!$AE$5:$AE$28-3))),SUMPRODUCT(MAX(('3_보호자행동'!$AD$5:$AD$15="SYN")*('3_보호자행동'!$AE$5:$AE$15-3)))),MAX(SUMPRODUCT(MAX(('1_바디시그널'!$AD$5:$AD$13="SYN")*('1_바디시그널'!$AE$5:$AE$13&gt;=1)*(3-'1_바디시그널'!$AE$5:$AE$13))),SUMPRODUCT(MAX(('2_개행동'!$AD$5:$AD$28="SYN")*('2_개행동'!$AE$5:$AE$28&gt;=1)*(3-'2_개행동'!$AE$5:$AE$28))),SUMPRODUCT(MAX(('3_보호자행동'!$AD$5:$AD$15="SYN")*('3_보호자행동'!$AE$5:$AE$15&gt;=1)*(3-'3_보호자행동'!$AE$5:$AE$15))))))</f>
        <v/>
      </c>
      <c r="R6" s="39">
        <f>IF((COUNTIFS('1_바디시그널'!$AD$5:$AD$13,"SYN",'1_바디시그널'!$AY$5:$AY$13,"ONE",'1_바디시그널'!$AE$5:$AE$13,"&gt;=1")+COUNTIFS('2_개행동'!$AD$5:$AD$28,"SYN",'2_개행동'!$AY$5:$AY$28,"ONE",'2_개행동'!$AE$5:$AE$28,"&gt;=1")+COUNTIFS('3_보호자행동'!$AD$5:$AD$15,"SYN",'3_보호자행동'!$AY$5:$AY$15,"ONE",'3_보호자행동'!$AE$5:$AE$15,"&gt;=1"))=0,"",ROUND((SUMIFS('1_바디시그널'!$AE$5:$AE$13,'1_바디시그널'!$AD$5:$AD$13,"SYN",'1_바디시그널'!$AY$5:$AY$13,"ONE",'1_바디시그널'!$AE$5:$AE$13,"&gt;=1")+SUMIFS('2_개행동'!$AE$5:$AE$28,'2_개행동'!$AD$5:$AD$28,"SYN",'2_개행동'!$AY$5:$AY$28,"ONE",'2_개행동'!$AE$5:$AE$28,"&gt;=1")+SUMIFS('3_보호자행동'!$AE$5:$AE$15,'3_보호자행동'!$AD$5:$AD$15,"SYN",'3_보호자행동'!$AY$5:$AY$15,"ONE",'3_보호자행동'!$AE$5:$AE$15,"&gt;=1"))/(COUNTIFS('1_바디시그널'!$AD$5:$AD$13,"SYN",'1_바디시그널'!$AY$5:$AY$13,"ONE",'1_바디시그널'!$AE$5:$AE$13,"&gt;=1")+COUNTIFS('2_개행동'!$AD$5:$AD$28,"SYN",'2_개행동'!$AY$5:$AY$28,"ONE",'2_개행동'!$AE$5:$AE$28,"&gt;=1")+COUNTIFS('3_보호자행동'!$AD$5:$AD$15,"SYN",'3_보호자행동'!$AY$5:$AY$15,"ONE",'3_보호자행동'!$AE$5:$AE$15,"&gt;=1")),2))</f>
        <v/>
      </c>
      <c r="S6" s="48">
        <f>IF((COUNTIFS('1_바디시그널'!$AD$5:$AD$13,"EXIT",'1_바디시그널'!$AY$5:$AY$13,"BI",'1_바디시그널'!$AE$5:$AE$13,"&gt;=1")+COUNTIFS('2_개행동'!$AD$5:$AD$28,"EXIT",'2_개행동'!$AY$5:$AY$28,"BI",'2_개행동'!$AE$5:$AE$28,"&gt;=1")+COUNTIFS('3_보호자행동'!$AD$5:$AD$15,"EXIT",'3_보호자행동'!$AY$5:$AY$15,"BI",'3_보호자행동'!$AE$5:$AE$15,"&gt;=1"))=0,"",ROUND((SUMIFS('1_바디시그널'!$AE$5:$AE$13,'1_바디시그널'!$AD$5:$AD$13,"EXIT",'1_바디시그널'!$AY$5:$AY$13,"BI",'1_바디시그널'!$AE$5:$AE$13,"&gt;=1")+SUMIFS('2_개행동'!$AE$5:$AE$28,'2_개행동'!$AD$5:$AD$28,"EXIT",'2_개행동'!$AY$5:$AY$28,"BI",'2_개행동'!$AE$5:$AE$28,"&gt;=1")+SUMIFS('3_보호자행동'!$AE$5:$AE$15,'3_보호자행동'!$AD$5:$AD$15,"EXIT",'3_보호자행동'!$AY$5:$AY$15,"BI",'3_보호자행동'!$AE$5:$AE$15,"&gt;=1"))/(COUNTIFS('1_바디시그널'!$AD$5:$AD$13,"EXIT",'1_바디시그널'!$AY$5:$AY$13,"BI",'1_바디시그널'!$AE$5:$AE$13,"&gt;=1")+COUNTIFS('2_개행동'!$AD$5:$AD$28,"EXIT",'2_개행동'!$AY$5:$AY$28,"BI",'2_개행동'!$AE$5:$AE$28,"&gt;=1")+COUNTIFS('3_보호자행동'!$AD$5:$AD$15,"EXIT",'3_보호자행동'!$AY$5:$AY$15,"BI",'3_보호자행동'!$AE$5:$AE$15,"&gt;=1"))-3,2))</f>
        <v/>
      </c>
      <c r="T6" s="39">
        <f>IF((COUNTIFS('1_바디시그널'!$AD$5:$AD$13,"EXIT",'1_바디시그널'!$AE$5:$AE$13,"&gt;=1")+COUNTIFS('2_개행동'!$AD$5:$AD$28,"EXIT",'2_개행동'!$AE$5:$AE$28,"&gt;=1")+COUNTIFS('3_보호자행동'!$AD$5:$AD$15,"EXIT",'3_보호자행동'!$AE$5:$AE$15,"&gt;=1"))=0,"",MAX(MAX(SUMPRODUCT(MAX(('1_바디시그널'!$AD$5:$AD$13="EXIT")*('1_바디시그널'!$AE$5:$AE$13-3))),SUMPRODUCT(MAX(('2_개행동'!$AD$5:$AD$28="EXIT")*('2_개행동'!$AE$5:$AE$28-3))),SUMPRODUCT(MAX(('3_보호자행동'!$AD$5:$AD$15="EXIT")*('3_보호자행동'!$AE$5:$AE$15-3)))),MAX(SUMPRODUCT(MAX(('1_바디시그널'!$AD$5:$AD$13="EXIT")*('1_바디시그널'!$AE$5:$AE$13&gt;=1)*(3-'1_바디시그널'!$AE$5:$AE$13))),SUMPRODUCT(MAX(('2_개행동'!$AD$5:$AD$28="EXIT")*('2_개행동'!$AE$5:$AE$28&gt;=1)*(3-'2_개행동'!$AE$5:$AE$28))),SUMPRODUCT(MAX(('3_보호자행동'!$AD$5:$AD$15="EXIT")*('3_보호자행동'!$AE$5:$AE$15&gt;=1)*(3-'3_보호자행동'!$AE$5:$AE$15))))))</f>
        <v/>
      </c>
      <c r="U6" s="39">
        <f>IF((COUNTIFS('1_바디시그널'!$AD$5:$AD$13,"EXIT",'1_바디시그널'!$AY$5:$AY$13,"ONE",'1_바디시그널'!$AE$5:$AE$13,"&gt;=1")+COUNTIFS('2_개행동'!$AD$5:$AD$28,"EXIT",'2_개행동'!$AY$5:$AY$28,"ONE",'2_개행동'!$AE$5:$AE$28,"&gt;=1")+COUNTIFS('3_보호자행동'!$AD$5:$AD$15,"EXIT",'3_보호자행동'!$AY$5:$AY$15,"ONE",'3_보호자행동'!$AE$5:$AE$15,"&gt;=1"))=0,"",ROUND((SUMIFS('1_바디시그널'!$AE$5:$AE$13,'1_바디시그널'!$AD$5:$AD$13,"EXIT",'1_바디시그널'!$AY$5:$AY$13,"ONE",'1_바디시그널'!$AE$5:$AE$13,"&gt;=1")+SUMIFS('2_개행동'!$AE$5:$AE$28,'2_개행동'!$AD$5:$AD$28,"EXIT",'2_개행동'!$AY$5:$AY$28,"ONE",'2_개행동'!$AE$5:$AE$28,"&gt;=1")+SUMIFS('3_보호자행동'!$AE$5:$AE$15,'3_보호자행동'!$AD$5:$AD$15,"EXIT",'3_보호자행동'!$AY$5:$AY$15,"ONE",'3_보호자행동'!$AE$5:$AE$15,"&gt;=1"))/(COUNTIFS('1_바디시그널'!$AD$5:$AD$13,"EXIT",'1_바디시그널'!$AY$5:$AY$13,"ONE",'1_바디시그널'!$AE$5:$AE$13,"&gt;=1")+COUNTIFS('2_개행동'!$AD$5:$AD$28,"EXIT",'2_개행동'!$AY$5:$AY$28,"ONE",'2_개행동'!$AE$5:$AE$28,"&gt;=1")+COUNTIFS('3_보호자행동'!$AD$5:$AD$15,"EXIT",'3_보호자행동'!$AY$5:$AY$15,"ONE",'3_보호자행동'!$AE$5:$AE$15,"&gt;=1")),2))</f>
        <v/>
      </c>
      <c r="V6" s="49">
        <f>IF(OR('2_개행동'!$J$8="",'2_개행동'!$J$22=""),"",ABS('2_개행동'!$J$8-3)-ABS('2_개행동'!$J$22-3))</f>
        <v/>
      </c>
      <c r="W6" s="49">
        <f>IF(OR('2_개행동'!$J$10="",'2_개행동'!$J$17=""),"",ABS('2_개행동'!$J$10-3)-ABS('2_개행동'!$J$17-3))</f>
        <v/>
      </c>
      <c r="X6" s="49">
        <f>IF(OR('2_개행동'!$J$10="",'2_개행동'!$J$14=""),"",ABS('2_개행동'!$J$10-3)-ABS('2_개행동'!$J$14-3))</f>
        <v/>
      </c>
      <c r="Y6" s="39">
        <f>IF('2_개행동'!$J$8="","",'2_개행동'!$J$8)</f>
        <v/>
      </c>
      <c r="Z6" s="40">
        <f>IF('2_개행동'!$J$25="","",IF('3_보호자행동'!$J$13=3,"무효",'2_개행동'!$J$25/6))</f>
        <v/>
      </c>
      <c r="AA6" s="35" t="n"/>
    </row>
    <row r="7">
      <c r="A7" s="39" t="n">
        <v>2</v>
      </c>
      <c r="B7" s="39" t="n"/>
      <c r="C7" s="39" t="n"/>
      <c r="D7" s="48">
        <f>IF((COUNTIFS('1_바디시그널'!$AD$5:$AD$13,"EDU",'1_바디시그널'!$AY$5:$AY$13,"BI",'1_바디시그널'!$AF$5:$AF$13,"&gt;=1")+COUNTIFS('2_개행동'!$AD$5:$AD$28,"EDU",'2_개행동'!$AY$5:$AY$28,"BI",'2_개행동'!$AF$5:$AF$28,"&gt;=1")+COUNTIFS('3_보호자행동'!$AD$5:$AD$15,"EDU",'3_보호자행동'!$AY$5:$AY$15,"BI",'3_보호자행동'!$AF$5:$AF$15,"&gt;=1"))=0,"",ROUND((SUMIFS('1_바디시그널'!$AF$5:$AF$13,'1_바디시그널'!$AD$5:$AD$13,"EDU",'1_바디시그널'!$AY$5:$AY$13,"BI",'1_바디시그널'!$AF$5:$AF$13,"&gt;=1")+SUMIFS('2_개행동'!$AF$5:$AF$28,'2_개행동'!$AD$5:$AD$28,"EDU",'2_개행동'!$AY$5:$AY$28,"BI",'2_개행동'!$AF$5:$AF$28,"&gt;=1")+SUMIFS('3_보호자행동'!$AF$5:$AF$15,'3_보호자행동'!$AD$5:$AD$15,"EDU",'3_보호자행동'!$AY$5:$AY$15,"BI",'3_보호자행동'!$AF$5:$AF$15,"&gt;=1"))/(COUNTIFS('1_바디시그널'!$AD$5:$AD$13,"EDU",'1_바디시그널'!$AY$5:$AY$13,"BI",'1_바디시그널'!$AF$5:$AF$13,"&gt;=1")+COUNTIFS('2_개행동'!$AD$5:$AD$28,"EDU",'2_개행동'!$AY$5:$AY$28,"BI",'2_개행동'!$AF$5:$AF$28,"&gt;=1")+COUNTIFS('3_보호자행동'!$AD$5:$AD$15,"EDU",'3_보호자행동'!$AY$5:$AY$15,"BI",'3_보호자행동'!$AF$5:$AF$15,"&gt;=1"))-3,2))</f>
        <v/>
      </c>
      <c r="E7" s="39">
        <f>IF((COUNTIFS('1_바디시그널'!$AD$5:$AD$13,"EDU",'1_바디시그널'!$AF$5:$AF$13,"&gt;=1")+COUNTIFS('2_개행동'!$AD$5:$AD$28,"EDU",'2_개행동'!$AF$5:$AF$28,"&gt;=1")+COUNTIFS('3_보호자행동'!$AD$5:$AD$15,"EDU",'3_보호자행동'!$AF$5:$AF$15,"&gt;=1"))=0,"",MAX(MAX(SUMPRODUCT(MAX(('1_바디시그널'!$AD$5:$AD$13="EDU")*('1_바디시그널'!$AF$5:$AF$13-3))),SUMPRODUCT(MAX(('2_개행동'!$AD$5:$AD$28="EDU")*('2_개행동'!$AF$5:$AF$28-3))),SUMPRODUCT(MAX(('3_보호자행동'!$AD$5:$AD$15="EDU")*('3_보호자행동'!$AF$5:$AF$15-3)))),MAX(SUMPRODUCT(MAX(('1_바디시그널'!$AD$5:$AD$13="EDU")*('1_바디시그널'!$AF$5:$AF$13&gt;=1)*(3-'1_바디시그널'!$AF$5:$AF$13))),SUMPRODUCT(MAX(('2_개행동'!$AD$5:$AD$28="EDU")*('2_개행동'!$AF$5:$AF$28&gt;=1)*(3-'2_개행동'!$AF$5:$AF$28))),SUMPRODUCT(MAX(('3_보호자행동'!$AD$5:$AD$15="EDU")*('3_보호자행동'!$AF$5:$AF$15&gt;=1)*(3-'3_보호자행동'!$AF$5:$AF$15))))))</f>
        <v/>
      </c>
      <c r="F7" s="39">
        <f>IF((COUNTIFS('1_바디시그널'!$AD$5:$AD$13,"EDU",'1_바디시그널'!$AY$5:$AY$13,"ONE",'1_바디시그널'!$AF$5:$AF$13,"&gt;=1")+COUNTIFS('2_개행동'!$AD$5:$AD$28,"EDU",'2_개행동'!$AY$5:$AY$28,"ONE",'2_개행동'!$AF$5:$AF$28,"&gt;=1")+COUNTIFS('3_보호자행동'!$AD$5:$AD$15,"EDU",'3_보호자행동'!$AY$5:$AY$15,"ONE",'3_보호자행동'!$AF$5:$AF$15,"&gt;=1"))=0,"",ROUND((SUMIFS('1_바디시그널'!$AF$5:$AF$13,'1_바디시그널'!$AD$5:$AD$13,"EDU",'1_바디시그널'!$AY$5:$AY$13,"ONE",'1_바디시그널'!$AF$5:$AF$13,"&gt;=1")+SUMIFS('2_개행동'!$AF$5:$AF$28,'2_개행동'!$AD$5:$AD$28,"EDU",'2_개행동'!$AY$5:$AY$28,"ONE",'2_개행동'!$AF$5:$AF$28,"&gt;=1")+SUMIFS('3_보호자행동'!$AF$5:$AF$15,'3_보호자행동'!$AD$5:$AD$15,"EDU",'3_보호자행동'!$AY$5:$AY$15,"ONE",'3_보호자행동'!$AF$5:$AF$15,"&gt;=1"))/(COUNTIFS('1_바디시그널'!$AD$5:$AD$13,"EDU",'1_바디시그널'!$AY$5:$AY$13,"ONE",'1_바디시그널'!$AF$5:$AF$13,"&gt;=1")+COUNTIFS('2_개행동'!$AD$5:$AD$28,"EDU",'2_개행동'!$AY$5:$AY$28,"ONE",'2_개행동'!$AF$5:$AF$28,"&gt;=1")+COUNTIFS('3_보호자행동'!$AD$5:$AD$15,"EDU",'3_보호자행동'!$AY$5:$AY$15,"ONE",'3_보호자행동'!$AF$5:$AF$15,"&gt;=1")),2))</f>
        <v/>
      </c>
      <c r="G7" s="48">
        <f>IF((COUNTIFS('1_바디시그널'!$AD$5:$AD$13,"SOC_E",'1_바디시그널'!$AY$5:$AY$13,"BI",'1_바디시그널'!$AF$5:$AF$13,"&gt;=1")+COUNTIFS('2_개행동'!$AD$5:$AD$28,"SOC_E",'2_개행동'!$AY$5:$AY$28,"BI",'2_개행동'!$AF$5:$AF$28,"&gt;=1")+COUNTIFS('3_보호자행동'!$AD$5:$AD$15,"SOC_E",'3_보호자행동'!$AY$5:$AY$15,"BI",'3_보호자행동'!$AF$5:$AF$15,"&gt;=1"))=0,"",ROUND((SUMIFS('1_바디시그널'!$AF$5:$AF$13,'1_바디시그널'!$AD$5:$AD$13,"SOC_E",'1_바디시그널'!$AY$5:$AY$13,"BI",'1_바디시그널'!$AF$5:$AF$13,"&gt;=1")+SUMIFS('2_개행동'!$AF$5:$AF$28,'2_개행동'!$AD$5:$AD$28,"SOC_E",'2_개행동'!$AY$5:$AY$28,"BI",'2_개행동'!$AF$5:$AF$28,"&gt;=1")+SUMIFS('3_보호자행동'!$AF$5:$AF$15,'3_보호자행동'!$AD$5:$AD$15,"SOC_E",'3_보호자행동'!$AY$5:$AY$15,"BI",'3_보호자행동'!$AF$5:$AF$15,"&gt;=1"))/(COUNTIFS('1_바디시그널'!$AD$5:$AD$13,"SOC_E",'1_바디시그널'!$AY$5:$AY$13,"BI",'1_바디시그널'!$AF$5:$AF$13,"&gt;=1")+COUNTIFS('2_개행동'!$AD$5:$AD$28,"SOC_E",'2_개행동'!$AY$5:$AY$28,"BI",'2_개행동'!$AF$5:$AF$28,"&gt;=1")+COUNTIFS('3_보호자행동'!$AD$5:$AD$15,"SOC_E",'3_보호자행동'!$AY$5:$AY$15,"BI",'3_보호자행동'!$AF$5:$AF$15,"&gt;=1"))-3,2))</f>
        <v/>
      </c>
      <c r="H7" s="39">
        <f>IF((COUNTIFS('1_바디시그널'!$AD$5:$AD$13,"SOC_E",'1_바디시그널'!$AF$5:$AF$13,"&gt;=1")+COUNTIFS('2_개행동'!$AD$5:$AD$28,"SOC_E",'2_개행동'!$AF$5:$AF$28,"&gt;=1")+COUNTIFS('3_보호자행동'!$AD$5:$AD$15,"SOC_E",'3_보호자행동'!$AF$5:$AF$15,"&gt;=1"))=0,"",MAX(MAX(SUMPRODUCT(MAX(('1_바디시그널'!$AD$5:$AD$13="SOC_E")*('1_바디시그널'!$AF$5:$AF$13-3))),SUMPRODUCT(MAX(('2_개행동'!$AD$5:$AD$28="SOC_E")*('2_개행동'!$AF$5:$AF$28-3))),SUMPRODUCT(MAX(('3_보호자행동'!$AD$5:$AD$15="SOC_E")*('3_보호자행동'!$AF$5:$AF$15-3)))),MAX(SUMPRODUCT(MAX(('1_바디시그널'!$AD$5:$AD$13="SOC_E")*('1_바디시그널'!$AF$5:$AF$13&gt;=1)*(3-'1_바디시그널'!$AF$5:$AF$13))),SUMPRODUCT(MAX(('2_개행동'!$AD$5:$AD$28="SOC_E")*('2_개행동'!$AF$5:$AF$28&gt;=1)*(3-'2_개행동'!$AF$5:$AF$28))),SUMPRODUCT(MAX(('3_보호자행동'!$AD$5:$AD$15="SOC_E")*('3_보호자행동'!$AF$5:$AF$15&gt;=1)*(3-'3_보호자행동'!$AF$5:$AF$15))))))</f>
        <v/>
      </c>
      <c r="I7" s="39">
        <f>IF((COUNTIFS('1_바디시그널'!$AD$5:$AD$13,"SOC_E",'1_바디시그널'!$AY$5:$AY$13,"ONE",'1_바디시그널'!$AF$5:$AF$13,"&gt;=1")+COUNTIFS('2_개행동'!$AD$5:$AD$28,"SOC_E",'2_개행동'!$AY$5:$AY$28,"ONE",'2_개행동'!$AF$5:$AF$28,"&gt;=1")+COUNTIFS('3_보호자행동'!$AD$5:$AD$15,"SOC_E",'3_보호자행동'!$AY$5:$AY$15,"ONE",'3_보호자행동'!$AF$5:$AF$15,"&gt;=1"))=0,"",ROUND((SUMIFS('1_바디시그널'!$AF$5:$AF$13,'1_바디시그널'!$AD$5:$AD$13,"SOC_E",'1_바디시그널'!$AY$5:$AY$13,"ONE",'1_바디시그널'!$AF$5:$AF$13,"&gt;=1")+SUMIFS('2_개행동'!$AF$5:$AF$28,'2_개행동'!$AD$5:$AD$28,"SOC_E",'2_개행동'!$AY$5:$AY$28,"ONE",'2_개행동'!$AF$5:$AF$28,"&gt;=1")+SUMIFS('3_보호자행동'!$AF$5:$AF$15,'3_보호자행동'!$AD$5:$AD$15,"SOC_E",'3_보호자행동'!$AY$5:$AY$15,"ONE",'3_보호자행동'!$AF$5:$AF$15,"&gt;=1"))/(COUNTIFS('1_바디시그널'!$AD$5:$AD$13,"SOC_E",'1_바디시그널'!$AY$5:$AY$13,"ONE",'1_바디시그널'!$AF$5:$AF$13,"&gt;=1")+COUNTIFS('2_개행동'!$AD$5:$AD$28,"SOC_E",'2_개행동'!$AY$5:$AY$28,"ONE",'2_개행동'!$AF$5:$AF$28,"&gt;=1")+COUNTIFS('3_보호자행동'!$AD$5:$AD$15,"SOC_E",'3_보호자행동'!$AY$5:$AY$15,"ONE",'3_보호자행동'!$AF$5:$AF$15,"&gt;=1")),2))</f>
        <v/>
      </c>
      <c r="J7" s="39">
        <f>IF(OR('2_개행동'!$K$13="",'2_개행동'!$K$14=""),"",IF('2_개행동'!$K$13&gt;=3,IF(ABS('2_개행동'!$K$14-3)&lt;=1,"편안·우호","우호·들뜸"),IF(ABS('2_개행동'!$K$14-3)&lt;=1,"담담·거리둠","경계·긴장")))</f>
        <v/>
      </c>
      <c r="K7" s="39">
        <f>IF((COUNTIFS('1_바디시그널'!$AD$5:$AD$13,"SOC_H",'1_바디시그널'!$AF$5:$AF$13,"&gt;=1")+COUNTIFS('2_개행동'!$AD$5:$AD$28,"SOC_H",'2_개행동'!$AF$5:$AF$28,"&gt;=1")+COUNTIFS('3_보호자행동'!$AD$5:$AD$15,"SOC_H",'3_보호자행동'!$AF$5:$AF$15,"&gt;=1"))=0,"",MAX(MAX(SUMPRODUCT(MAX(('1_바디시그널'!$AD$5:$AD$13="SOC_H")*('1_바디시그널'!$AF$5:$AF$13-3))),SUMPRODUCT(MAX(('2_개행동'!$AD$5:$AD$28="SOC_H")*('2_개행동'!$AF$5:$AF$28-3))),SUMPRODUCT(MAX(('3_보호자행동'!$AD$5:$AD$15="SOC_H")*('3_보호자행동'!$AF$5:$AF$15-3)))),MAX(SUMPRODUCT(MAX(('1_바디시그널'!$AD$5:$AD$13="SOC_H")*('1_바디시그널'!$AF$5:$AF$13&gt;=1)*(3-'1_바디시그널'!$AF$5:$AF$13))),SUMPRODUCT(MAX(('2_개행동'!$AD$5:$AD$28="SOC_H")*('2_개행동'!$AF$5:$AF$28&gt;=1)*(3-'2_개행동'!$AF$5:$AF$28))),SUMPRODUCT(MAX(('3_보호자행동'!$AD$5:$AD$15="SOC_H")*('3_보호자행동'!$AF$5:$AF$15&gt;=1)*(3-'3_보호자행동'!$AF$5:$AF$15))))))</f>
        <v/>
      </c>
      <c r="L7" s="39">
        <f>IF((COUNTIFS('1_바디시그널'!$AD$5:$AD$13,"SOC_H",'1_바디시그널'!$AY$5:$AY$13,"ONE",'1_바디시그널'!$AF$5:$AF$13,"&gt;=1")+COUNTIFS('2_개행동'!$AD$5:$AD$28,"SOC_H",'2_개행동'!$AY$5:$AY$28,"ONE",'2_개행동'!$AF$5:$AF$28,"&gt;=1")+COUNTIFS('3_보호자행동'!$AD$5:$AD$15,"SOC_H",'3_보호자행동'!$AY$5:$AY$15,"ONE",'3_보호자행동'!$AF$5:$AF$15,"&gt;=1"))=0,"",ROUND((SUMIFS('1_바디시그널'!$AF$5:$AF$13,'1_바디시그널'!$AD$5:$AD$13,"SOC_H",'1_바디시그널'!$AY$5:$AY$13,"ONE",'1_바디시그널'!$AF$5:$AF$13,"&gt;=1")+SUMIFS('2_개행동'!$AF$5:$AF$28,'2_개행동'!$AD$5:$AD$28,"SOC_H",'2_개행동'!$AY$5:$AY$28,"ONE",'2_개행동'!$AF$5:$AF$28,"&gt;=1")+SUMIFS('3_보호자행동'!$AF$5:$AF$15,'3_보호자행동'!$AD$5:$AD$15,"SOC_H",'3_보호자행동'!$AY$5:$AY$15,"ONE",'3_보호자행동'!$AF$5:$AF$15,"&gt;=1"))/(COUNTIFS('1_바디시그널'!$AD$5:$AD$13,"SOC_H",'1_바디시그널'!$AY$5:$AY$13,"ONE",'1_바디시그널'!$AF$5:$AF$13,"&gt;=1")+COUNTIFS('2_개행동'!$AD$5:$AD$28,"SOC_H",'2_개행동'!$AY$5:$AY$28,"ONE",'2_개행동'!$AF$5:$AF$28,"&gt;=1")+COUNTIFS('3_보호자행동'!$AD$5:$AD$15,"SOC_H",'3_보호자행동'!$AY$5:$AY$15,"ONE",'3_보호자행동'!$AF$5:$AF$15,"&gt;=1")),2))</f>
        <v/>
      </c>
      <c r="M7" s="39">
        <f>IF(OR('2_개행동'!$K$21="",'2_개행동'!$K$9="",'2_개행동'!$K$16="",'2_개행동'!$K$17=""),"",IF(N('2_개행동'!$K$20)&gt;=1,"일관되지 않음",IF(AVERAGE('2_개행동'!$K$21,'2_개행동'!$K$9,'2_개행동'!$K$16,'2_개행동'!$K$18)&lt;=3.5,IF(ABS('2_개행동'!$K$17-3)&lt;=1,"안정","불안"),IF(ABS('2_개행동'!$K$17-3)&lt;=1,"거리 둠","일관되지 않음"))))</f>
        <v/>
      </c>
      <c r="N7" s="39">
        <f>IF((COUNTIFS('1_바디시그널'!$AD$5:$AD$13,"ATT",'1_바디시그널'!$AF$5:$AF$13,"&gt;=1")+COUNTIFS('2_개행동'!$AD$5:$AD$28,"ATT",'2_개행동'!$AF$5:$AF$28,"&gt;=1")+COUNTIFS('3_보호자행동'!$AD$5:$AD$15,"ATT",'3_보호자행동'!$AF$5:$AF$15,"&gt;=1"))=0,"",MAX(MAX(SUMPRODUCT(MAX(('1_바디시그널'!$AD$5:$AD$13="ATT")*('1_바디시그널'!$AF$5:$AF$13-3))),SUMPRODUCT(MAX(('2_개행동'!$AD$5:$AD$28="ATT")*('2_개행동'!$AF$5:$AF$28-3))),SUMPRODUCT(MAX(('3_보호자행동'!$AD$5:$AD$15="ATT")*('3_보호자행동'!$AF$5:$AF$15-3)))),MAX(SUMPRODUCT(MAX(('1_바디시그널'!$AD$5:$AD$13="ATT")*('1_바디시그널'!$AF$5:$AF$13&gt;=1)*(3-'1_바디시그널'!$AF$5:$AF$13))),SUMPRODUCT(MAX(('2_개행동'!$AD$5:$AD$28="ATT")*('2_개행동'!$AF$5:$AF$28&gt;=1)*(3-'2_개행동'!$AF$5:$AF$28))),SUMPRODUCT(MAX(('3_보호자행동'!$AD$5:$AD$15="ATT")*('3_보호자행동'!$AF$5:$AF$15&gt;=1)*(3-'3_보호자행동'!$AF$5:$AF$15))))))</f>
        <v/>
      </c>
      <c r="O7" s="39">
        <f>IF((COUNTIFS('1_바디시그널'!$AD$5:$AD$13,"ATT",'1_바디시그널'!$AY$5:$AY$13,"ONE",'1_바디시그널'!$AF$5:$AF$13,"&gt;=1")+COUNTIFS('2_개행동'!$AD$5:$AD$28,"ATT",'2_개행동'!$AY$5:$AY$28,"ONE",'2_개행동'!$AF$5:$AF$28,"&gt;=1")+COUNTIFS('3_보호자행동'!$AD$5:$AD$15,"ATT",'3_보호자행동'!$AY$5:$AY$15,"ONE",'3_보호자행동'!$AF$5:$AF$15,"&gt;=1"))=0,"",ROUND((SUMIFS('1_바디시그널'!$AF$5:$AF$13,'1_바디시그널'!$AD$5:$AD$13,"ATT",'1_바디시그널'!$AY$5:$AY$13,"ONE",'1_바디시그널'!$AF$5:$AF$13,"&gt;=1")+SUMIFS('2_개행동'!$AF$5:$AF$28,'2_개행동'!$AD$5:$AD$28,"ATT",'2_개행동'!$AY$5:$AY$28,"ONE",'2_개행동'!$AF$5:$AF$28,"&gt;=1")+SUMIFS('3_보호자행동'!$AF$5:$AF$15,'3_보호자행동'!$AD$5:$AD$15,"ATT",'3_보호자행동'!$AY$5:$AY$15,"ONE",'3_보호자행동'!$AF$5:$AF$15,"&gt;=1"))/(COUNTIFS('1_바디시그널'!$AD$5:$AD$13,"ATT",'1_바디시그널'!$AY$5:$AY$13,"ONE",'1_바디시그널'!$AF$5:$AF$13,"&gt;=1")+COUNTIFS('2_개행동'!$AD$5:$AD$28,"ATT",'2_개행동'!$AY$5:$AY$28,"ONE",'2_개행동'!$AF$5:$AF$28,"&gt;=1")+COUNTIFS('3_보호자행동'!$AD$5:$AD$15,"ATT",'3_보호자행동'!$AY$5:$AY$15,"ONE",'3_보호자행동'!$AF$5:$AF$15,"&gt;=1")),2))</f>
        <v/>
      </c>
      <c r="P7" s="48">
        <f>IF((COUNTIFS('1_바디시그널'!$AD$5:$AD$13,"SYN",'1_바디시그널'!$AY$5:$AY$13,"BI",'1_바디시그널'!$AF$5:$AF$13,"&gt;=1")+COUNTIFS('2_개행동'!$AD$5:$AD$28,"SYN",'2_개행동'!$AY$5:$AY$28,"BI",'2_개행동'!$AF$5:$AF$28,"&gt;=1")+COUNTIFS('3_보호자행동'!$AD$5:$AD$15,"SYN",'3_보호자행동'!$AY$5:$AY$15,"BI",'3_보호자행동'!$AF$5:$AF$15,"&gt;=1"))=0,"",ROUND((SUMIFS('1_바디시그널'!$AF$5:$AF$13,'1_바디시그널'!$AD$5:$AD$13,"SYN",'1_바디시그널'!$AY$5:$AY$13,"BI",'1_바디시그널'!$AF$5:$AF$13,"&gt;=1")+SUMIFS('2_개행동'!$AF$5:$AF$28,'2_개행동'!$AD$5:$AD$28,"SYN",'2_개행동'!$AY$5:$AY$28,"BI",'2_개행동'!$AF$5:$AF$28,"&gt;=1")+SUMIFS('3_보호자행동'!$AF$5:$AF$15,'3_보호자행동'!$AD$5:$AD$15,"SYN",'3_보호자행동'!$AY$5:$AY$15,"BI",'3_보호자행동'!$AF$5:$AF$15,"&gt;=1"))/(COUNTIFS('1_바디시그널'!$AD$5:$AD$13,"SYN",'1_바디시그널'!$AY$5:$AY$13,"BI",'1_바디시그널'!$AF$5:$AF$13,"&gt;=1")+COUNTIFS('2_개행동'!$AD$5:$AD$28,"SYN",'2_개행동'!$AY$5:$AY$28,"BI",'2_개행동'!$AF$5:$AF$28,"&gt;=1")+COUNTIFS('3_보호자행동'!$AD$5:$AD$15,"SYN",'3_보호자행동'!$AY$5:$AY$15,"BI",'3_보호자행동'!$AF$5:$AF$15,"&gt;=1"))-3,2))</f>
        <v/>
      </c>
      <c r="Q7" s="39">
        <f>IF((COUNTIFS('1_바디시그널'!$AD$5:$AD$13,"SYN",'1_바디시그널'!$AF$5:$AF$13,"&gt;=1")+COUNTIFS('2_개행동'!$AD$5:$AD$28,"SYN",'2_개행동'!$AF$5:$AF$28,"&gt;=1")+COUNTIFS('3_보호자행동'!$AD$5:$AD$15,"SYN",'3_보호자행동'!$AF$5:$AF$15,"&gt;=1"))=0,"",MAX(MAX(SUMPRODUCT(MAX(('1_바디시그널'!$AD$5:$AD$13="SYN")*('1_바디시그널'!$AF$5:$AF$13-3))),SUMPRODUCT(MAX(('2_개행동'!$AD$5:$AD$28="SYN")*('2_개행동'!$AF$5:$AF$28-3))),SUMPRODUCT(MAX(('3_보호자행동'!$AD$5:$AD$15="SYN")*('3_보호자행동'!$AF$5:$AF$15-3)))),MAX(SUMPRODUCT(MAX(('1_바디시그널'!$AD$5:$AD$13="SYN")*('1_바디시그널'!$AF$5:$AF$13&gt;=1)*(3-'1_바디시그널'!$AF$5:$AF$13))),SUMPRODUCT(MAX(('2_개행동'!$AD$5:$AD$28="SYN")*('2_개행동'!$AF$5:$AF$28&gt;=1)*(3-'2_개행동'!$AF$5:$AF$28))),SUMPRODUCT(MAX(('3_보호자행동'!$AD$5:$AD$15="SYN")*('3_보호자행동'!$AF$5:$AF$15&gt;=1)*(3-'3_보호자행동'!$AF$5:$AF$15))))))</f>
        <v/>
      </c>
      <c r="R7" s="39">
        <f>IF((COUNTIFS('1_바디시그널'!$AD$5:$AD$13,"SYN",'1_바디시그널'!$AY$5:$AY$13,"ONE",'1_바디시그널'!$AF$5:$AF$13,"&gt;=1")+COUNTIFS('2_개행동'!$AD$5:$AD$28,"SYN",'2_개행동'!$AY$5:$AY$28,"ONE",'2_개행동'!$AF$5:$AF$28,"&gt;=1")+COUNTIFS('3_보호자행동'!$AD$5:$AD$15,"SYN",'3_보호자행동'!$AY$5:$AY$15,"ONE",'3_보호자행동'!$AF$5:$AF$15,"&gt;=1"))=0,"",ROUND((SUMIFS('1_바디시그널'!$AF$5:$AF$13,'1_바디시그널'!$AD$5:$AD$13,"SYN",'1_바디시그널'!$AY$5:$AY$13,"ONE",'1_바디시그널'!$AF$5:$AF$13,"&gt;=1")+SUMIFS('2_개행동'!$AF$5:$AF$28,'2_개행동'!$AD$5:$AD$28,"SYN",'2_개행동'!$AY$5:$AY$28,"ONE",'2_개행동'!$AF$5:$AF$28,"&gt;=1")+SUMIFS('3_보호자행동'!$AF$5:$AF$15,'3_보호자행동'!$AD$5:$AD$15,"SYN",'3_보호자행동'!$AY$5:$AY$15,"ONE",'3_보호자행동'!$AF$5:$AF$15,"&gt;=1"))/(COUNTIFS('1_바디시그널'!$AD$5:$AD$13,"SYN",'1_바디시그널'!$AY$5:$AY$13,"ONE",'1_바디시그널'!$AF$5:$AF$13,"&gt;=1")+COUNTIFS('2_개행동'!$AD$5:$AD$28,"SYN",'2_개행동'!$AY$5:$AY$28,"ONE",'2_개행동'!$AF$5:$AF$28,"&gt;=1")+COUNTIFS('3_보호자행동'!$AD$5:$AD$15,"SYN",'3_보호자행동'!$AY$5:$AY$15,"ONE",'3_보호자행동'!$AF$5:$AF$15,"&gt;=1")),2))</f>
        <v/>
      </c>
      <c r="S7" s="48">
        <f>IF((COUNTIFS('1_바디시그널'!$AD$5:$AD$13,"EXIT",'1_바디시그널'!$AY$5:$AY$13,"BI",'1_바디시그널'!$AF$5:$AF$13,"&gt;=1")+COUNTIFS('2_개행동'!$AD$5:$AD$28,"EXIT",'2_개행동'!$AY$5:$AY$28,"BI",'2_개행동'!$AF$5:$AF$28,"&gt;=1")+COUNTIFS('3_보호자행동'!$AD$5:$AD$15,"EXIT",'3_보호자행동'!$AY$5:$AY$15,"BI",'3_보호자행동'!$AF$5:$AF$15,"&gt;=1"))=0,"",ROUND((SUMIFS('1_바디시그널'!$AF$5:$AF$13,'1_바디시그널'!$AD$5:$AD$13,"EXIT",'1_바디시그널'!$AY$5:$AY$13,"BI",'1_바디시그널'!$AF$5:$AF$13,"&gt;=1")+SUMIFS('2_개행동'!$AF$5:$AF$28,'2_개행동'!$AD$5:$AD$28,"EXIT",'2_개행동'!$AY$5:$AY$28,"BI",'2_개행동'!$AF$5:$AF$28,"&gt;=1")+SUMIFS('3_보호자행동'!$AF$5:$AF$15,'3_보호자행동'!$AD$5:$AD$15,"EXIT",'3_보호자행동'!$AY$5:$AY$15,"BI",'3_보호자행동'!$AF$5:$AF$15,"&gt;=1"))/(COUNTIFS('1_바디시그널'!$AD$5:$AD$13,"EXIT",'1_바디시그널'!$AY$5:$AY$13,"BI",'1_바디시그널'!$AF$5:$AF$13,"&gt;=1")+COUNTIFS('2_개행동'!$AD$5:$AD$28,"EXIT",'2_개행동'!$AY$5:$AY$28,"BI",'2_개행동'!$AF$5:$AF$28,"&gt;=1")+COUNTIFS('3_보호자행동'!$AD$5:$AD$15,"EXIT",'3_보호자행동'!$AY$5:$AY$15,"BI",'3_보호자행동'!$AF$5:$AF$15,"&gt;=1"))-3,2))</f>
        <v/>
      </c>
      <c r="T7" s="39">
        <f>IF((COUNTIFS('1_바디시그널'!$AD$5:$AD$13,"EXIT",'1_바디시그널'!$AF$5:$AF$13,"&gt;=1")+COUNTIFS('2_개행동'!$AD$5:$AD$28,"EXIT",'2_개행동'!$AF$5:$AF$28,"&gt;=1")+COUNTIFS('3_보호자행동'!$AD$5:$AD$15,"EXIT",'3_보호자행동'!$AF$5:$AF$15,"&gt;=1"))=0,"",MAX(MAX(SUMPRODUCT(MAX(('1_바디시그널'!$AD$5:$AD$13="EXIT")*('1_바디시그널'!$AF$5:$AF$13-3))),SUMPRODUCT(MAX(('2_개행동'!$AD$5:$AD$28="EXIT")*('2_개행동'!$AF$5:$AF$28-3))),SUMPRODUCT(MAX(('3_보호자행동'!$AD$5:$AD$15="EXIT")*('3_보호자행동'!$AF$5:$AF$15-3)))),MAX(SUMPRODUCT(MAX(('1_바디시그널'!$AD$5:$AD$13="EXIT")*('1_바디시그널'!$AF$5:$AF$13&gt;=1)*(3-'1_바디시그널'!$AF$5:$AF$13))),SUMPRODUCT(MAX(('2_개행동'!$AD$5:$AD$28="EXIT")*('2_개행동'!$AF$5:$AF$28&gt;=1)*(3-'2_개행동'!$AF$5:$AF$28))),SUMPRODUCT(MAX(('3_보호자행동'!$AD$5:$AD$15="EXIT")*('3_보호자행동'!$AF$5:$AF$15&gt;=1)*(3-'3_보호자행동'!$AF$5:$AF$15))))))</f>
        <v/>
      </c>
      <c r="U7" s="39">
        <f>IF((COUNTIFS('1_바디시그널'!$AD$5:$AD$13,"EXIT",'1_바디시그널'!$AY$5:$AY$13,"ONE",'1_바디시그널'!$AF$5:$AF$13,"&gt;=1")+COUNTIFS('2_개행동'!$AD$5:$AD$28,"EXIT",'2_개행동'!$AY$5:$AY$28,"ONE",'2_개행동'!$AF$5:$AF$28,"&gt;=1")+COUNTIFS('3_보호자행동'!$AD$5:$AD$15,"EXIT",'3_보호자행동'!$AY$5:$AY$15,"ONE",'3_보호자행동'!$AF$5:$AF$15,"&gt;=1"))=0,"",ROUND((SUMIFS('1_바디시그널'!$AF$5:$AF$13,'1_바디시그널'!$AD$5:$AD$13,"EXIT",'1_바디시그널'!$AY$5:$AY$13,"ONE",'1_바디시그널'!$AF$5:$AF$13,"&gt;=1")+SUMIFS('2_개행동'!$AF$5:$AF$28,'2_개행동'!$AD$5:$AD$28,"EXIT",'2_개행동'!$AY$5:$AY$28,"ONE",'2_개행동'!$AF$5:$AF$28,"&gt;=1")+SUMIFS('3_보호자행동'!$AF$5:$AF$15,'3_보호자행동'!$AD$5:$AD$15,"EXIT",'3_보호자행동'!$AY$5:$AY$15,"ONE",'3_보호자행동'!$AF$5:$AF$15,"&gt;=1"))/(COUNTIFS('1_바디시그널'!$AD$5:$AD$13,"EXIT",'1_바디시그널'!$AY$5:$AY$13,"ONE",'1_바디시그널'!$AF$5:$AF$13,"&gt;=1")+COUNTIFS('2_개행동'!$AD$5:$AD$28,"EXIT",'2_개행동'!$AY$5:$AY$28,"ONE",'2_개행동'!$AF$5:$AF$28,"&gt;=1")+COUNTIFS('3_보호자행동'!$AD$5:$AD$15,"EXIT",'3_보호자행동'!$AY$5:$AY$15,"ONE",'3_보호자행동'!$AF$5:$AF$15,"&gt;=1")),2))</f>
        <v/>
      </c>
      <c r="V7" s="49">
        <f>IF(OR('2_개행동'!$K$8="",'2_개행동'!$K$22=""),"",ABS('2_개행동'!$K$8-3)-ABS('2_개행동'!$K$22-3))</f>
        <v/>
      </c>
      <c r="W7" s="49">
        <f>IF(OR('2_개행동'!$K$10="",'2_개행동'!$K$17=""),"",ABS('2_개행동'!$K$10-3)-ABS('2_개행동'!$K$17-3))</f>
        <v/>
      </c>
      <c r="X7" s="49">
        <f>IF(OR('2_개행동'!$K$10="",'2_개행동'!$K$14=""),"",ABS('2_개행동'!$K$10-3)-ABS('2_개행동'!$K$14-3))</f>
        <v/>
      </c>
      <c r="Y7" s="39">
        <f>IF('2_개행동'!$K$8="","",'2_개행동'!$K$8)</f>
        <v/>
      </c>
      <c r="Z7" s="40">
        <f>IF('2_개행동'!$K$25="","",IF('3_보호자행동'!$K$13=3,"무효",'2_개행동'!$K$25/6))</f>
        <v/>
      </c>
      <c r="AA7" s="35" t="n"/>
    </row>
    <row r="8">
      <c r="A8" s="39" t="n">
        <v>3</v>
      </c>
      <c r="B8" s="39" t="n"/>
      <c r="C8" s="39" t="n"/>
      <c r="D8" s="48">
        <f>IF((COUNTIFS('1_바디시그널'!$AD$5:$AD$13,"EDU",'1_바디시그널'!$AY$5:$AY$13,"BI",'1_바디시그널'!$AG$5:$AG$13,"&gt;=1")+COUNTIFS('2_개행동'!$AD$5:$AD$28,"EDU",'2_개행동'!$AY$5:$AY$28,"BI",'2_개행동'!$AG$5:$AG$28,"&gt;=1")+COUNTIFS('3_보호자행동'!$AD$5:$AD$15,"EDU",'3_보호자행동'!$AY$5:$AY$15,"BI",'3_보호자행동'!$AG$5:$AG$15,"&gt;=1"))=0,"",ROUND((SUMIFS('1_바디시그널'!$AG$5:$AG$13,'1_바디시그널'!$AD$5:$AD$13,"EDU",'1_바디시그널'!$AY$5:$AY$13,"BI",'1_바디시그널'!$AG$5:$AG$13,"&gt;=1")+SUMIFS('2_개행동'!$AG$5:$AG$28,'2_개행동'!$AD$5:$AD$28,"EDU",'2_개행동'!$AY$5:$AY$28,"BI",'2_개행동'!$AG$5:$AG$28,"&gt;=1")+SUMIFS('3_보호자행동'!$AG$5:$AG$15,'3_보호자행동'!$AD$5:$AD$15,"EDU",'3_보호자행동'!$AY$5:$AY$15,"BI",'3_보호자행동'!$AG$5:$AG$15,"&gt;=1"))/(COUNTIFS('1_바디시그널'!$AD$5:$AD$13,"EDU",'1_바디시그널'!$AY$5:$AY$13,"BI",'1_바디시그널'!$AG$5:$AG$13,"&gt;=1")+COUNTIFS('2_개행동'!$AD$5:$AD$28,"EDU",'2_개행동'!$AY$5:$AY$28,"BI",'2_개행동'!$AG$5:$AG$28,"&gt;=1")+COUNTIFS('3_보호자행동'!$AD$5:$AD$15,"EDU",'3_보호자행동'!$AY$5:$AY$15,"BI",'3_보호자행동'!$AG$5:$AG$15,"&gt;=1"))-3,2))</f>
        <v/>
      </c>
      <c r="E8" s="39">
        <f>IF((COUNTIFS('1_바디시그널'!$AD$5:$AD$13,"EDU",'1_바디시그널'!$AG$5:$AG$13,"&gt;=1")+COUNTIFS('2_개행동'!$AD$5:$AD$28,"EDU",'2_개행동'!$AG$5:$AG$28,"&gt;=1")+COUNTIFS('3_보호자행동'!$AD$5:$AD$15,"EDU",'3_보호자행동'!$AG$5:$AG$15,"&gt;=1"))=0,"",MAX(MAX(SUMPRODUCT(MAX(('1_바디시그널'!$AD$5:$AD$13="EDU")*('1_바디시그널'!$AG$5:$AG$13-3))),SUMPRODUCT(MAX(('2_개행동'!$AD$5:$AD$28="EDU")*('2_개행동'!$AG$5:$AG$28-3))),SUMPRODUCT(MAX(('3_보호자행동'!$AD$5:$AD$15="EDU")*('3_보호자행동'!$AG$5:$AG$15-3)))),MAX(SUMPRODUCT(MAX(('1_바디시그널'!$AD$5:$AD$13="EDU")*('1_바디시그널'!$AG$5:$AG$13&gt;=1)*(3-'1_바디시그널'!$AG$5:$AG$13))),SUMPRODUCT(MAX(('2_개행동'!$AD$5:$AD$28="EDU")*('2_개행동'!$AG$5:$AG$28&gt;=1)*(3-'2_개행동'!$AG$5:$AG$28))),SUMPRODUCT(MAX(('3_보호자행동'!$AD$5:$AD$15="EDU")*('3_보호자행동'!$AG$5:$AG$15&gt;=1)*(3-'3_보호자행동'!$AG$5:$AG$15))))))</f>
        <v/>
      </c>
      <c r="F8" s="39">
        <f>IF((COUNTIFS('1_바디시그널'!$AD$5:$AD$13,"EDU",'1_바디시그널'!$AY$5:$AY$13,"ONE",'1_바디시그널'!$AG$5:$AG$13,"&gt;=1")+COUNTIFS('2_개행동'!$AD$5:$AD$28,"EDU",'2_개행동'!$AY$5:$AY$28,"ONE",'2_개행동'!$AG$5:$AG$28,"&gt;=1")+COUNTIFS('3_보호자행동'!$AD$5:$AD$15,"EDU",'3_보호자행동'!$AY$5:$AY$15,"ONE",'3_보호자행동'!$AG$5:$AG$15,"&gt;=1"))=0,"",ROUND((SUMIFS('1_바디시그널'!$AG$5:$AG$13,'1_바디시그널'!$AD$5:$AD$13,"EDU",'1_바디시그널'!$AY$5:$AY$13,"ONE",'1_바디시그널'!$AG$5:$AG$13,"&gt;=1")+SUMIFS('2_개행동'!$AG$5:$AG$28,'2_개행동'!$AD$5:$AD$28,"EDU",'2_개행동'!$AY$5:$AY$28,"ONE",'2_개행동'!$AG$5:$AG$28,"&gt;=1")+SUMIFS('3_보호자행동'!$AG$5:$AG$15,'3_보호자행동'!$AD$5:$AD$15,"EDU",'3_보호자행동'!$AY$5:$AY$15,"ONE",'3_보호자행동'!$AG$5:$AG$15,"&gt;=1"))/(COUNTIFS('1_바디시그널'!$AD$5:$AD$13,"EDU",'1_바디시그널'!$AY$5:$AY$13,"ONE",'1_바디시그널'!$AG$5:$AG$13,"&gt;=1")+COUNTIFS('2_개행동'!$AD$5:$AD$28,"EDU",'2_개행동'!$AY$5:$AY$28,"ONE",'2_개행동'!$AG$5:$AG$28,"&gt;=1")+COUNTIFS('3_보호자행동'!$AD$5:$AD$15,"EDU",'3_보호자행동'!$AY$5:$AY$15,"ONE",'3_보호자행동'!$AG$5:$AG$15,"&gt;=1")),2))</f>
        <v/>
      </c>
      <c r="G8" s="48">
        <f>IF((COUNTIFS('1_바디시그널'!$AD$5:$AD$13,"SOC_E",'1_바디시그널'!$AY$5:$AY$13,"BI",'1_바디시그널'!$AG$5:$AG$13,"&gt;=1")+COUNTIFS('2_개행동'!$AD$5:$AD$28,"SOC_E",'2_개행동'!$AY$5:$AY$28,"BI",'2_개행동'!$AG$5:$AG$28,"&gt;=1")+COUNTIFS('3_보호자행동'!$AD$5:$AD$15,"SOC_E",'3_보호자행동'!$AY$5:$AY$15,"BI",'3_보호자행동'!$AG$5:$AG$15,"&gt;=1"))=0,"",ROUND((SUMIFS('1_바디시그널'!$AG$5:$AG$13,'1_바디시그널'!$AD$5:$AD$13,"SOC_E",'1_바디시그널'!$AY$5:$AY$13,"BI",'1_바디시그널'!$AG$5:$AG$13,"&gt;=1")+SUMIFS('2_개행동'!$AG$5:$AG$28,'2_개행동'!$AD$5:$AD$28,"SOC_E",'2_개행동'!$AY$5:$AY$28,"BI",'2_개행동'!$AG$5:$AG$28,"&gt;=1")+SUMIFS('3_보호자행동'!$AG$5:$AG$15,'3_보호자행동'!$AD$5:$AD$15,"SOC_E",'3_보호자행동'!$AY$5:$AY$15,"BI",'3_보호자행동'!$AG$5:$AG$15,"&gt;=1"))/(COUNTIFS('1_바디시그널'!$AD$5:$AD$13,"SOC_E",'1_바디시그널'!$AY$5:$AY$13,"BI",'1_바디시그널'!$AG$5:$AG$13,"&gt;=1")+COUNTIFS('2_개행동'!$AD$5:$AD$28,"SOC_E",'2_개행동'!$AY$5:$AY$28,"BI",'2_개행동'!$AG$5:$AG$28,"&gt;=1")+COUNTIFS('3_보호자행동'!$AD$5:$AD$15,"SOC_E",'3_보호자행동'!$AY$5:$AY$15,"BI",'3_보호자행동'!$AG$5:$AG$15,"&gt;=1"))-3,2))</f>
        <v/>
      </c>
      <c r="H8" s="39">
        <f>IF((COUNTIFS('1_바디시그널'!$AD$5:$AD$13,"SOC_E",'1_바디시그널'!$AG$5:$AG$13,"&gt;=1")+COUNTIFS('2_개행동'!$AD$5:$AD$28,"SOC_E",'2_개행동'!$AG$5:$AG$28,"&gt;=1")+COUNTIFS('3_보호자행동'!$AD$5:$AD$15,"SOC_E",'3_보호자행동'!$AG$5:$AG$15,"&gt;=1"))=0,"",MAX(MAX(SUMPRODUCT(MAX(('1_바디시그널'!$AD$5:$AD$13="SOC_E")*('1_바디시그널'!$AG$5:$AG$13-3))),SUMPRODUCT(MAX(('2_개행동'!$AD$5:$AD$28="SOC_E")*('2_개행동'!$AG$5:$AG$28-3))),SUMPRODUCT(MAX(('3_보호자행동'!$AD$5:$AD$15="SOC_E")*('3_보호자행동'!$AG$5:$AG$15-3)))),MAX(SUMPRODUCT(MAX(('1_바디시그널'!$AD$5:$AD$13="SOC_E")*('1_바디시그널'!$AG$5:$AG$13&gt;=1)*(3-'1_바디시그널'!$AG$5:$AG$13))),SUMPRODUCT(MAX(('2_개행동'!$AD$5:$AD$28="SOC_E")*('2_개행동'!$AG$5:$AG$28&gt;=1)*(3-'2_개행동'!$AG$5:$AG$28))),SUMPRODUCT(MAX(('3_보호자행동'!$AD$5:$AD$15="SOC_E")*('3_보호자행동'!$AG$5:$AG$15&gt;=1)*(3-'3_보호자행동'!$AG$5:$AG$15))))))</f>
        <v/>
      </c>
      <c r="I8" s="39">
        <f>IF((COUNTIFS('1_바디시그널'!$AD$5:$AD$13,"SOC_E",'1_바디시그널'!$AY$5:$AY$13,"ONE",'1_바디시그널'!$AG$5:$AG$13,"&gt;=1")+COUNTIFS('2_개행동'!$AD$5:$AD$28,"SOC_E",'2_개행동'!$AY$5:$AY$28,"ONE",'2_개행동'!$AG$5:$AG$28,"&gt;=1")+COUNTIFS('3_보호자행동'!$AD$5:$AD$15,"SOC_E",'3_보호자행동'!$AY$5:$AY$15,"ONE",'3_보호자행동'!$AG$5:$AG$15,"&gt;=1"))=0,"",ROUND((SUMIFS('1_바디시그널'!$AG$5:$AG$13,'1_바디시그널'!$AD$5:$AD$13,"SOC_E",'1_바디시그널'!$AY$5:$AY$13,"ONE",'1_바디시그널'!$AG$5:$AG$13,"&gt;=1")+SUMIFS('2_개행동'!$AG$5:$AG$28,'2_개행동'!$AD$5:$AD$28,"SOC_E",'2_개행동'!$AY$5:$AY$28,"ONE",'2_개행동'!$AG$5:$AG$28,"&gt;=1")+SUMIFS('3_보호자행동'!$AG$5:$AG$15,'3_보호자행동'!$AD$5:$AD$15,"SOC_E",'3_보호자행동'!$AY$5:$AY$15,"ONE",'3_보호자행동'!$AG$5:$AG$15,"&gt;=1"))/(COUNTIFS('1_바디시그널'!$AD$5:$AD$13,"SOC_E",'1_바디시그널'!$AY$5:$AY$13,"ONE",'1_바디시그널'!$AG$5:$AG$13,"&gt;=1")+COUNTIFS('2_개행동'!$AD$5:$AD$28,"SOC_E",'2_개행동'!$AY$5:$AY$28,"ONE",'2_개행동'!$AG$5:$AG$28,"&gt;=1")+COUNTIFS('3_보호자행동'!$AD$5:$AD$15,"SOC_E",'3_보호자행동'!$AY$5:$AY$15,"ONE",'3_보호자행동'!$AG$5:$AG$15,"&gt;=1")),2))</f>
        <v/>
      </c>
      <c r="J8" s="39">
        <f>IF(OR('2_개행동'!$L$13="",'2_개행동'!$L$14=""),"",IF('2_개행동'!$L$13&gt;=3,IF(ABS('2_개행동'!$L$14-3)&lt;=1,"편안·우호","우호·들뜸"),IF(ABS('2_개행동'!$L$14-3)&lt;=1,"담담·거리둠","경계·긴장")))</f>
        <v/>
      </c>
      <c r="K8" s="39">
        <f>IF((COUNTIFS('1_바디시그널'!$AD$5:$AD$13,"SOC_H",'1_바디시그널'!$AG$5:$AG$13,"&gt;=1")+COUNTIFS('2_개행동'!$AD$5:$AD$28,"SOC_H",'2_개행동'!$AG$5:$AG$28,"&gt;=1")+COUNTIFS('3_보호자행동'!$AD$5:$AD$15,"SOC_H",'3_보호자행동'!$AG$5:$AG$15,"&gt;=1"))=0,"",MAX(MAX(SUMPRODUCT(MAX(('1_바디시그널'!$AD$5:$AD$13="SOC_H")*('1_바디시그널'!$AG$5:$AG$13-3))),SUMPRODUCT(MAX(('2_개행동'!$AD$5:$AD$28="SOC_H")*('2_개행동'!$AG$5:$AG$28-3))),SUMPRODUCT(MAX(('3_보호자행동'!$AD$5:$AD$15="SOC_H")*('3_보호자행동'!$AG$5:$AG$15-3)))),MAX(SUMPRODUCT(MAX(('1_바디시그널'!$AD$5:$AD$13="SOC_H")*('1_바디시그널'!$AG$5:$AG$13&gt;=1)*(3-'1_바디시그널'!$AG$5:$AG$13))),SUMPRODUCT(MAX(('2_개행동'!$AD$5:$AD$28="SOC_H")*('2_개행동'!$AG$5:$AG$28&gt;=1)*(3-'2_개행동'!$AG$5:$AG$28))),SUMPRODUCT(MAX(('3_보호자행동'!$AD$5:$AD$15="SOC_H")*('3_보호자행동'!$AG$5:$AG$15&gt;=1)*(3-'3_보호자행동'!$AG$5:$AG$15))))))</f>
        <v/>
      </c>
      <c r="L8" s="39">
        <f>IF((COUNTIFS('1_바디시그널'!$AD$5:$AD$13,"SOC_H",'1_바디시그널'!$AY$5:$AY$13,"ONE",'1_바디시그널'!$AG$5:$AG$13,"&gt;=1")+COUNTIFS('2_개행동'!$AD$5:$AD$28,"SOC_H",'2_개행동'!$AY$5:$AY$28,"ONE",'2_개행동'!$AG$5:$AG$28,"&gt;=1")+COUNTIFS('3_보호자행동'!$AD$5:$AD$15,"SOC_H",'3_보호자행동'!$AY$5:$AY$15,"ONE",'3_보호자행동'!$AG$5:$AG$15,"&gt;=1"))=0,"",ROUND((SUMIFS('1_바디시그널'!$AG$5:$AG$13,'1_바디시그널'!$AD$5:$AD$13,"SOC_H",'1_바디시그널'!$AY$5:$AY$13,"ONE",'1_바디시그널'!$AG$5:$AG$13,"&gt;=1")+SUMIFS('2_개행동'!$AG$5:$AG$28,'2_개행동'!$AD$5:$AD$28,"SOC_H",'2_개행동'!$AY$5:$AY$28,"ONE",'2_개행동'!$AG$5:$AG$28,"&gt;=1")+SUMIFS('3_보호자행동'!$AG$5:$AG$15,'3_보호자행동'!$AD$5:$AD$15,"SOC_H",'3_보호자행동'!$AY$5:$AY$15,"ONE",'3_보호자행동'!$AG$5:$AG$15,"&gt;=1"))/(COUNTIFS('1_바디시그널'!$AD$5:$AD$13,"SOC_H",'1_바디시그널'!$AY$5:$AY$13,"ONE",'1_바디시그널'!$AG$5:$AG$13,"&gt;=1")+COUNTIFS('2_개행동'!$AD$5:$AD$28,"SOC_H",'2_개행동'!$AY$5:$AY$28,"ONE",'2_개행동'!$AG$5:$AG$28,"&gt;=1")+COUNTIFS('3_보호자행동'!$AD$5:$AD$15,"SOC_H",'3_보호자행동'!$AY$5:$AY$15,"ONE",'3_보호자행동'!$AG$5:$AG$15,"&gt;=1")),2))</f>
        <v/>
      </c>
      <c r="M8" s="39">
        <f>IF(OR('2_개행동'!$L$21="",'2_개행동'!$L$9="",'2_개행동'!$L$16="",'2_개행동'!$L$17=""),"",IF(N('2_개행동'!$L$20)&gt;=1,"일관되지 않음",IF(AVERAGE('2_개행동'!$L$21,'2_개행동'!$L$9,'2_개행동'!$L$16,'2_개행동'!$L$18)&lt;=3.5,IF(ABS('2_개행동'!$L$17-3)&lt;=1,"안정","불안"),IF(ABS('2_개행동'!$L$17-3)&lt;=1,"거리 둠","일관되지 않음"))))</f>
        <v/>
      </c>
      <c r="N8" s="39">
        <f>IF((COUNTIFS('1_바디시그널'!$AD$5:$AD$13,"ATT",'1_바디시그널'!$AG$5:$AG$13,"&gt;=1")+COUNTIFS('2_개행동'!$AD$5:$AD$28,"ATT",'2_개행동'!$AG$5:$AG$28,"&gt;=1")+COUNTIFS('3_보호자행동'!$AD$5:$AD$15,"ATT",'3_보호자행동'!$AG$5:$AG$15,"&gt;=1"))=0,"",MAX(MAX(SUMPRODUCT(MAX(('1_바디시그널'!$AD$5:$AD$13="ATT")*('1_바디시그널'!$AG$5:$AG$13-3))),SUMPRODUCT(MAX(('2_개행동'!$AD$5:$AD$28="ATT")*('2_개행동'!$AG$5:$AG$28-3))),SUMPRODUCT(MAX(('3_보호자행동'!$AD$5:$AD$15="ATT")*('3_보호자행동'!$AG$5:$AG$15-3)))),MAX(SUMPRODUCT(MAX(('1_바디시그널'!$AD$5:$AD$13="ATT")*('1_바디시그널'!$AG$5:$AG$13&gt;=1)*(3-'1_바디시그널'!$AG$5:$AG$13))),SUMPRODUCT(MAX(('2_개행동'!$AD$5:$AD$28="ATT")*('2_개행동'!$AG$5:$AG$28&gt;=1)*(3-'2_개행동'!$AG$5:$AG$28))),SUMPRODUCT(MAX(('3_보호자행동'!$AD$5:$AD$15="ATT")*('3_보호자행동'!$AG$5:$AG$15&gt;=1)*(3-'3_보호자행동'!$AG$5:$AG$15))))))</f>
        <v/>
      </c>
      <c r="O8" s="39">
        <f>IF((COUNTIFS('1_바디시그널'!$AD$5:$AD$13,"ATT",'1_바디시그널'!$AY$5:$AY$13,"ONE",'1_바디시그널'!$AG$5:$AG$13,"&gt;=1")+COUNTIFS('2_개행동'!$AD$5:$AD$28,"ATT",'2_개행동'!$AY$5:$AY$28,"ONE",'2_개행동'!$AG$5:$AG$28,"&gt;=1")+COUNTIFS('3_보호자행동'!$AD$5:$AD$15,"ATT",'3_보호자행동'!$AY$5:$AY$15,"ONE",'3_보호자행동'!$AG$5:$AG$15,"&gt;=1"))=0,"",ROUND((SUMIFS('1_바디시그널'!$AG$5:$AG$13,'1_바디시그널'!$AD$5:$AD$13,"ATT",'1_바디시그널'!$AY$5:$AY$13,"ONE",'1_바디시그널'!$AG$5:$AG$13,"&gt;=1")+SUMIFS('2_개행동'!$AG$5:$AG$28,'2_개행동'!$AD$5:$AD$28,"ATT",'2_개행동'!$AY$5:$AY$28,"ONE",'2_개행동'!$AG$5:$AG$28,"&gt;=1")+SUMIFS('3_보호자행동'!$AG$5:$AG$15,'3_보호자행동'!$AD$5:$AD$15,"ATT",'3_보호자행동'!$AY$5:$AY$15,"ONE",'3_보호자행동'!$AG$5:$AG$15,"&gt;=1"))/(COUNTIFS('1_바디시그널'!$AD$5:$AD$13,"ATT",'1_바디시그널'!$AY$5:$AY$13,"ONE",'1_바디시그널'!$AG$5:$AG$13,"&gt;=1")+COUNTIFS('2_개행동'!$AD$5:$AD$28,"ATT",'2_개행동'!$AY$5:$AY$28,"ONE",'2_개행동'!$AG$5:$AG$28,"&gt;=1")+COUNTIFS('3_보호자행동'!$AD$5:$AD$15,"ATT",'3_보호자행동'!$AY$5:$AY$15,"ONE",'3_보호자행동'!$AG$5:$AG$15,"&gt;=1")),2))</f>
        <v/>
      </c>
      <c r="P8" s="48">
        <f>IF((COUNTIFS('1_바디시그널'!$AD$5:$AD$13,"SYN",'1_바디시그널'!$AY$5:$AY$13,"BI",'1_바디시그널'!$AG$5:$AG$13,"&gt;=1")+COUNTIFS('2_개행동'!$AD$5:$AD$28,"SYN",'2_개행동'!$AY$5:$AY$28,"BI",'2_개행동'!$AG$5:$AG$28,"&gt;=1")+COUNTIFS('3_보호자행동'!$AD$5:$AD$15,"SYN",'3_보호자행동'!$AY$5:$AY$15,"BI",'3_보호자행동'!$AG$5:$AG$15,"&gt;=1"))=0,"",ROUND((SUMIFS('1_바디시그널'!$AG$5:$AG$13,'1_바디시그널'!$AD$5:$AD$13,"SYN",'1_바디시그널'!$AY$5:$AY$13,"BI",'1_바디시그널'!$AG$5:$AG$13,"&gt;=1")+SUMIFS('2_개행동'!$AG$5:$AG$28,'2_개행동'!$AD$5:$AD$28,"SYN",'2_개행동'!$AY$5:$AY$28,"BI",'2_개행동'!$AG$5:$AG$28,"&gt;=1")+SUMIFS('3_보호자행동'!$AG$5:$AG$15,'3_보호자행동'!$AD$5:$AD$15,"SYN",'3_보호자행동'!$AY$5:$AY$15,"BI",'3_보호자행동'!$AG$5:$AG$15,"&gt;=1"))/(COUNTIFS('1_바디시그널'!$AD$5:$AD$13,"SYN",'1_바디시그널'!$AY$5:$AY$13,"BI",'1_바디시그널'!$AG$5:$AG$13,"&gt;=1")+COUNTIFS('2_개행동'!$AD$5:$AD$28,"SYN",'2_개행동'!$AY$5:$AY$28,"BI",'2_개행동'!$AG$5:$AG$28,"&gt;=1")+COUNTIFS('3_보호자행동'!$AD$5:$AD$15,"SYN",'3_보호자행동'!$AY$5:$AY$15,"BI",'3_보호자행동'!$AG$5:$AG$15,"&gt;=1"))-3,2))</f>
        <v/>
      </c>
      <c r="Q8" s="39">
        <f>IF((COUNTIFS('1_바디시그널'!$AD$5:$AD$13,"SYN",'1_바디시그널'!$AG$5:$AG$13,"&gt;=1")+COUNTIFS('2_개행동'!$AD$5:$AD$28,"SYN",'2_개행동'!$AG$5:$AG$28,"&gt;=1")+COUNTIFS('3_보호자행동'!$AD$5:$AD$15,"SYN",'3_보호자행동'!$AG$5:$AG$15,"&gt;=1"))=0,"",MAX(MAX(SUMPRODUCT(MAX(('1_바디시그널'!$AD$5:$AD$13="SYN")*('1_바디시그널'!$AG$5:$AG$13-3))),SUMPRODUCT(MAX(('2_개행동'!$AD$5:$AD$28="SYN")*('2_개행동'!$AG$5:$AG$28-3))),SUMPRODUCT(MAX(('3_보호자행동'!$AD$5:$AD$15="SYN")*('3_보호자행동'!$AG$5:$AG$15-3)))),MAX(SUMPRODUCT(MAX(('1_바디시그널'!$AD$5:$AD$13="SYN")*('1_바디시그널'!$AG$5:$AG$13&gt;=1)*(3-'1_바디시그널'!$AG$5:$AG$13))),SUMPRODUCT(MAX(('2_개행동'!$AD$5:$AD$28="SYN")*('2_개행동'!$AG$5:$AG$28&gt;=1)*(3-'2_개행동'!$AG$5:$AG$28))),SUMPRODUCT(MAX(('3_보호자행동'!$AD$5:$AD$15="SYN")*('3_보호자행동'!$AG$5:$AG$15&gt;=1)*(3-'3_보호자행동'!$AG$5:$AG$15))))))</f>
        <v/>
      </c>
      <c r="R8" s="39">
        <f>IF((COUNTIFS('1_바디시그널'!$AD$5:$AD$13,"SYN",'1_바디시그널'!$AY$5:$AY$13,"ONE",'1_바디시그널'!$AG$5:$AG$13,"&gt;=1")+COUNTIFS('2_개행동'!$AD$5:$AD$28,"SYN",'2_개행동'!$AY$5:$AY$28,"ONE",'2_개행동'!$AG$5:$AG$28,"&gt;=1")+COUNTIFS('3_보호자행동'!$AD$5:$AD$15,"SYN",'3_보호자행동'!$AY$5:$AY$15,"ONE",'3_보호자행동'!$AG$5:$AG$15,"&gt;=1"))=0,"",ROUND((SUMIFS('1_바디시그널'!$AG$5:$AG$13,'1_바디시그널'!$AD$5:$AD$13,"SYN",'1_바디시그널'!$AY$5:$AY$13,"ONE",'1_바디시그널'!$AG$5:$AG$13,"&gt;=1")+SUMIFS('2_개행동'!$AG$5:$AG$28,'2_개행동'!$AD$5:$AD$28,"SYN",'2_개행동'!$AY$5:$AY$28,"ONE",'2_개행동'!$AG$5:$AG$28,"&gt;=1")+SUMIFS('3_보호자행동'!$AG$5:$AG$15,'3_보호자행동'!$AD$5:$AD$15,"SYN",'3_보호자행동'!$AY$5:$AY$15,"ONE",'3_보호자행동'!$AG$5:$AG$15,"&gt;=1"))/(COUNTIFS('1_바디시그널'!$AD$5:$AD$13,"SYN",'1_바디시그널'!$AY$5:$AY$13,"ONE",'1_바디시그널'!$AG$5:$AG$13,"&gt;=1")+COUNTIFS('2_개행동'!$AD$5:$AD$28,"SYN",'2_개행동'!$AY$5:$AY$28,"ONE",'2_개행동'!$AG$5:$AG$28,"&gt;=1")+COUNTIFS('3_보호자행동'!$AD$5:$AD$15,"SYN",'3_보호자행동'!$AY$5:$AY$15,"ONE",'3_보호자행동'!$AG$5:$AG$15,"&gt;=1")),2))</f>
        <v/>
      </c>
      <c r="S8" s="48">
        <f>IF((COUNTIFS('1_바디시그널'!$AD$5:$AD$13,"EXIT",'1_바디시그널'!$AY$5:$AY$13,"BI",'1_바디시그널'!$AG$5:$AG$13,"&gt;=1")+COUNTIFS('2_개행동'!$AD$5:$AD$28,"EXIT",'2_개행동'!$AY$5:$AY$28,"BI",'2_개행동'!$AG$5:$AG$28,"&gt;=1")+COUNTIFS('3_보호자행동'!$AD$5:$AD$15,"EXIT",'3_보호자행동'!$AY$5:$AY$15,"BI",'3_보호자행동'!$AG$5:$AG$15,"&gt;=1"))=0,"",ROUND((SUMIFS('1_바디시그널'!$AG$5:$AG$13,'1_바디시그널'!$AD$5:$AD$13,"EXIT",'1_바디시그널'!$AY$5:$AY$13,"BI",'1_바디시그널'!$AG$5:$AG$13,"&gt;=1")+SUMIFS('2_개행동'!$AG$5:$AG$28,'2_개행동'!$AD$5:$AD$28,"EXIT",'2_개행동'!$AY$5:$AY$28,"BI",'2_개행동'!$AG$5:$AG$28,"&gt;=1")+SUMIFS('3_보호자행동'!$AG$5:$AG$15,'3_보호자행동'!$AD$5:$AD$15,"EXIT",'3_보호자행동'!$AY$5:$AY$15,"BI",'3_보호자행동'!$AG$5:$AG$15,"&gt;=1"))/(COUNTIFS('1_바디시그널'!$AD$5:$AD$13,"EXIT",'1_바디시그널'!$AY$5:$AY$13,"BI",'1_바디시그널'!$AG$5:$AG$13,"&gt;=1")+COUNTIFS('2_개행동'!$AD$5:$AD$28,"EXIT",'2_개행동'!$AY$5:$AY$28,"BI",'2_개행동'!$AG$5:$AG$28,"&gt;=1")+COUNTIFS('3_보호자행동'!$AD$5:$AD$15,"EXIT",'3_보호자행동'!$AY$5:$AY$15,"BI",'3_보호자행동'!$AG$5:$AG$15,"&gt;=1"))-3,2))</f>
        <v/>
      </c>
      <c r="T8" s="39">
        <f>IF((COUNTIFS('1_바디시그널'!$AD$5:$AD$13,"EXIT",'1_바디시그널'!$AG$5:$AG$13,"&gt;=1")+COUNTIFS('2_개행동'!$AD$5:$AD$28,"EXIT",'2_개행동'!$AG$5:$AG$28,"&gt;=1")+COUNTIFS('3_보호자행동'!$AD$5:$AD$15,"EXIT",'3_보호자행동'!$AG$5:$AG$15,"&gt;=1"))=0,"",MAX(MAX(SUMPRODUCT(MAX(('1_바디시그널'!$AD$5:$AD$13="EXIT")*('1_바디시그널'!$AG$5:$AG$13-3))),SUMPRODUCT(MAX(('2_개행동'!$AD$5:$AD$28="EXIT")*('2_개행동'!$AG$5:$AG$28-3))),SUMPRODUCT(MAX(('3_보호자행동'!$AD$5:$AD$15="EXIT")*('3_보호자행동'!$AG$5:$AG$15-3)))),MAX(SUMPRODUCT(MAX(('1_바디시그널'!$AD$5:$AD$13="EXIT")*('1_바디시그널'!$AG$5:$AG$13&gt;=1)*(3-'1_바디시그널'!$AG$5:$AG$13))),SUMPRODUCT(MAX(('2_개행동'!$AD$5:$AD$28="EXIT")*('2_개행동'!$AG$5:$AG$28&gt;=1)*(3-'2_개행동'!$AG$5:$AG$28))),SUMPRODUCT(MAX(('3_보호자행동'!$AD$5:$AD$15="EXIT")*('3_보호자행동'!$AG$5:$AG$15&gt;=1)*(3-'3_보호자행동'!$AG$5:$AG$15))))))</f>
        <v/>
      </c>
      <c r="U8" s="39">
        <f>IF((COUNTIFS('1_바디시그널'!$AD$5:$AD$13,"EXIT",'1_바디시그널'!$AY$5:$AY$13,"ONE",'1_바디시그널'!$AG$5:$AG$13,"&gt;=1")+COUNTIFS('2_개행동'!$AD$5:$AD$28,"EXIT",'2_개행동'!$AY$5:$AY$28,"ONE",'2_개행동'!$AG$5:$AG$28,"&gt;=1")+COUNTIFS('3_보호자행동'!$AD$5:$AD$15,"EXIT",'3_보호자행동'!$AY$5:$AY$15,"ONE",'3_보호자행동'!$AG$5:$AG$15,"&gt;=1"))=0,"",ROUND((SUMIFS('1_바디시그널'!$AG$5:$AG$13,'1_바디시그널'!$AD$5:$AD$13,"EXIT",'1_바디시그널'!$AY$5:$AY$13,"ONE",'1_바디시그널'!$AG$5:$AG$13,"&gt;=1")+SUMIFS('2_개행동'!$AG$5:$AG$28,'2_개행동'!$AD$5:$AD$28,"EXIT",'2_개행동'!$AY$5:$AY$28,"ONE",'2_개행동'!$AG$5:$AG$28,"&gt;=1")+SUMIFS('3_보호자행동'!$AG$5:$AG$15,'3_보호자행동'!$AD$5:$AD$15,"EXIT",'3_보호자행동'!$AY$5:$AY$15,"ONE",'3_보호자행동'!$AG$5:$AG$15,"&gt;=1"))/(COUNTIFS('1_바디시그널'!$AD$5:$AD$13,"EXIT",'1_바디시그널'!$AY$5:$AY$13,"ONE",'1_바디시그널'!$AG$5:$AG$13,"&gt;=1")+COUNTIFS('2_개행동'!$AD$5:$AD$28,"EXIT",'2_개행동'!$AY$5:$AY$28,"ONE",'2_개행동'!$AG$5:$AG$28,"&gt;=1")+COUNTIFS('3_보호자행동'!$AD$5:$AD$15,"EXIT",'3_보호자행동'!$AY$5:$AY$15,"ONE",'3_보호자행동'!$AG$5:$AG$15,"&gt;=1")),2))</f>
        <v/>
      </c>
      <c r="V8" s="49">
        <f>IF(OR('2_개행동'!$L$8="",'2_개행동'!$L$22=""),"",ABS('2_개행동'!$L$8-3)-ABS('2_개행동'!$L$22-3))</f>
        <v/>
      </c>
      <c r="W8" s="49">
        <f>IF(OR('2_개행동'!$L$10="",'2_개행동'!$L$17=""),"",ABS('2_개행동'!$L$10-3)-ABS('2_개행동'!$L$17-3))</f>
        <v/>
      </c>
      <c r="X8" s="49">
        <f>IF(OR('2_개행동'!$L$10="",'2_개행동'!$L$14=""),"",ABS('2_개행동'!$L$10-3)-ABS('2_개행동'!$L$14-3))</f>
        <v/>
      </c>
      <c r="Y8" s="39">
        <f>IF('2_개행동'!$L$8="","",'2_개행동'!$L$8)</f>
        <v/>
      </c>
      <c r="Z8" s="40">
        <f>IF('2_개행동'!$L$25="","",IF('3_보호자행동'!$L$13=3,"무효",'2_개행동'!$L$25/6))</f>
        <v/>
      </c>
      <c r="AA8" s="35" t="n"/>
    </row>
    <row r="9">
      <c r="A9" s="39" t="n">
        <v>4</v>
      </c>
      <c r="B9" s="39" t="n"/>
      <c r="C9" s="39" t="n"/>
      <c r="D9" s="48">
        <f>IF((COUNTIFS('1_바디시그널'!$AD$5:$AD$13,"EDU",'1_바디시그널'!$AY$5:$AY$13,"BI",'1_바디시그널'!$AH$5:$AH$13,"&gt;=1")+COUNTIFS('2_개행동'!$AD$5:$AD$28,"EDU",'2_개행동'!$AY$5:$AY$28,"BI",'2_개행동'!$AH$5:$AH$28,"&gt;=1")+COUNTIFS('3_보호자행동'!$AD$5:$AD$15,"EDU",'3_보호자행동'!$AY$5:$AY$15,"BI",'3_보호자행동'!$AH$5:$AH$15,"&gt;=1"))=0,"",ROUND((SUMIFS('1_바디시그널'!$AH$5:$AH$13,'1_바디시그널'!$AD$5:$AD$13,"EDU",'1_바디시그널'!$AY$5:$AY$13,"BI",'1_바디시그널'!$AH$5:$AH$13,"&gt;=1")+SUMIFS('2_개행동'!$AH$5:$AH$28,'2_개행동'!$AD$5:$AD$28,"EDU",'2_개행동'!$AY$5:$AY$28,"BI",'2_개행동'!$AH$5:$AH$28,"&gt;=1")+SUMIFS('3_보호자행동'!$AH$5:$AH$15,'3_보호자행동'!$AD$5:$AD$15,"EDU",'3_보호자행동'!$AY$5:$AY$15,"BI",'3_보호자행동'!$AH$5:$AH$15,"&gt;=1"))/(COUNTIFS('1_바디시그널'!$AD$5:$AD$13,"EDU",'1_바디시그널'!$AY$5:$AY$13,"BI",'1_바디시그널'!$AH$5:$AH$13,"&gt;=1")+COUNTIFS('2_개행동'!$AD$5:$AD$28,"EDU",'2_개행동'!$AY$5:$AY$28,"BI",'2_개행동'!$AH$5:$AH$28,"&gt;=1")+COUNTIFS('3_보호자행동'!$AD$5:$AD$15,"EDU",'3_보호자행동'!$AY$5:$AY$15,"BI",'3_보호자행동'!$AH$5:$AH$15,"&gt;=1"))-3,2))</f>
        <v/>
      </c>
      <c r="E9" s="39">
        <f>IF((COUNTIFS('1_바디시그널'!$AD$5:$AD$13,"EDU",'1_바디시그널'!$AH$5:$AH$13,"&gt;=1")+COUNTIFS('2_개행동'!$AD$5:$AD$28,"EDU",'2_개행동'!$AH$5:$AH$28,"&gt;=1")+COUNTIFS('3_보호자행동'!$AD$5:$AD$15,"EDU",'3_보호자행동'!$AH$5:$AH$15,"&gt;=1"))=0,"",MAX(MAX(SUMPRODUCT(MAX(('1_바디시그널'!$AD$5:$AD$13="EDU")*('1_바디시그널'!$AH$5:$AH$13-3))),SUMPRODUCT(MAX(('2_개행동'!$AD$5:$AD$28="EDU")*('2_개행동'!$AH$5:$AH$28-3))),SUMPRODUCT(MAX(('3_보호자행동'!$AD$5:$AD$15="EDU")*('3_보호자행동'!$AH$5:$AH$15-3)))),MAX(SUMPRODUCT(MAX(('1_바디시그널'!$AD$5:$AD$13="EDU")*('1_바디시그널'!$AH$5:$AH$13&gt;=1)*(3-'1_바디시그널'!$AH$5:$AH$13))),SUMPRODUCT(MAX(('2_개행동'!$AD$5:$AD$28="EDU")*('2_개행동'!$AH$5:$AH$28&gt;=1)*(3-'2_개행동'!$AH$5:$AH$28))),SUMPRODUCT(MAX(('3_보호자행동'!$AD$5:$AD$15="EDU")*('3_보호자행동'!$AH$5:$AH$15&gt;=1)*(3-'3_보호자행동'!$AH$5:$AH$15))))))</f>
        <v/>
      </c>
      <c r="F9" s="39">
        <f>IF((COUNTIFS('1_바디시그널'!$AD$5:$AD$13,"EDU",'1_바디시그널'!$AY$5:$AY$13,"ONE",'1_바디시그널'!$AH$5:$AH$13,"&gt;=1")+COUNTIFS('2_개행동'!$AD$5:$AD$28,"EDU",'2_개행동'!$AY$5:$AY$28,"ONE",'2_개행동'!$AH$5:$AH$28,"&gt;=1")+COUNTIFS('3_보호자행동'!$AD$5:$AD$15,"EDU",'3_보호자행동'!$AY$5:$AY$15,"ONE",'3_보호자행동'!$AH$5:$AH$15,"&gt;=1"))=0,"",ROUND((SUMIFS('1_바디시그널'!$AH$5:$AH$13,'1_바디시그널'!$AD$5:$AD$13,"EDU",'1_바디시그널'!$AY$5:$AY$13,"ONE",'1_바디시그널'!$AH$5:$AH$13,"&gt;=1")+SUMIFS('2_개행동'!$AH$5:$AH$28,'2_개행동'!$AD$5:$AD$28,"EDU",'2_개행동'!$AY$5:$AY$28,"ONE",'2_개행동'!$AH$5:$AH$28,"&gt;=1")+SUMIFS('3_보호자행동'!$AH$5:$AH$15,'3_보호자행동'!$AD$5:$AD$15,"EDU",'3_보호자행동'!$AY$5:$AY$15,"ONE",'3_보호자행동'!$AH$5:$AH$15,"&gt;=1"))/(COUNTIFS('1_바디시그널'!$AD$5:$AD$13,"EDU",'1_바디시그널'!$AY$5:$AY$13,"ONE",'1_바디시그널'!$AH$5:$AH$13,"&gt;=1")+COUNTIFS('2_개행동'!$AD$5:$AD$28,"EDU",'2_개행동'!$AY$5:$AY$28,"ONE",'2_개행동'!$AH$5:$AH$28,"&gt;=1")+COUNTIFS('3_보호자행동'!$AD$5:$AD$15,"EDU",'3_보호자행동'!$AY$5:$AY$15,"ONE",'3_보호자행동'!$AH$5:$AH$15,"&gt;=1")),2))</f>
        <v/>
      </c>
      <c r="G9" s="48">
        <f>IF((COUNTIFS('1_바디시그널'!$AD$5:$AD$13,"SOC_E",'1_바디시그널'!$AY$5:$AY$13,"BI",'1_바디시그널'!$AH$5:$AH$13,"&gt;=1")+COUNTIFS('2_개행동'!$AD$5:$AD$28,"SOC_E",'2_개행동'!$AY$5:$AY$28,"BI",'2_개행동'!$AH$5:$AH$28,"&gt;=1")+COUNTIFS('3_보호자행동'!$AD$5:$AD$15,"SOC_E",'3_보호자행동'!$AY$5:$AY$15,"BI",'3_보호자행동'!$AH$5:$AH$15,"&gt;=1"))=0,"",ROUND((SUMIFS('1_바디시그널'!$AH$5:$AH$13,'1_바디시그널'!$AD$5:$AD$13,"SOC_E",'1_바디시그널'!$AY$5:$AY$13,"BI",'1_바디시그널'!$AH$5:$AH$13,"&gt;=1")+SUMIFS('2_개행동'!$AH$5:$AH$28,'2_개행동'!$AD$5:$AD$28,"SOC_E",'2_개행동'!$AY$5:$AY$28,"BI",'2_개행동'!$AH$5:$AH$28,"&gt;=1")+SUMIFS('3_보호자행동'!$AH$5:$AH$15,'3_보호자행동'!$AD$5:$AD$15,"SOC_E",'3_보호자행동'!$AY$5:$AY$15,"BI",'3_보호자행동'!$AH$5:$AH$15,"&gt;=1"))/(COUNTIFS('1_바디시그널'!$AD$5:$AD$13,"SOC_E",'1_바디시그널'!$AY$5:$AY$13,"BI",'1_바디시그널'!$AH$5:$AH$13,"&gt;=1")+COUNTIFS('2_개행동'!$AD$5:$AD$28,"SOC_E",'2_개행동'!$AY$5:$AY$28,"BI",'2_개행동'!$AH$5:$AH$28,"&gt;=1")+COUNTIFS('3_보호자행동'!$AD$5:$AD$15,"SOC_E",'3_보호자행동'!$AY$5:$AY$15,"BI",'3_보호자행동'!$AH$5:$AH$15,"&gt;=1"))-3,2))</f>
        <v/>
      </c>
      <c r="H9" s="39">
        <f>IF((COUNTIFS('1_바디시그널'!$AD$5:$AD$13,"SOC_E",'1_바디시그널'!$AH$5:$AH$13,"&gt;=1")+COUNTIFS('2_개행동'!$AD$5:$AD$28,"SOC_E",'2_개행동'!$AH$5:$AH$28,"&gt;=1")+COUNTIFS('3_보호자행동'!$AD$5:$AD$15,"SOC_E",'3_보호자행동'!$AH$5:$AH$15,"&gt;=1"))=0,"",MAX(MAX(SUMPRODUCT(MAX(('1_바디시그널'!$AD$5:$AD$13="SOC_E")*('1_바디시그널'!$AH$5:$AH$13-3))),SUMPRODUCT(MAX(('2_개행동'!$AD$5:$AD$28="SOC_E")*('2_개행동'!$AH$5:$AH$28-3))),SUMPRODUCT(MAX(('3_보호자행동'!$AD$5:$AD$15="SOC_E")*('3_보호자행동'!$AH$5:$AH$15-3)))),MAX(SUMPRODUCT(MAX(('1_바디시그널'!$AD$5:$AD$13="SOC_E")*('1_바디시그널'!$AH$5:$AH$13&gt;=1)*(3-'1_바디시그널'!$AH$5:$AH$13))),SUMPRODUCT(MAX(('2_개행동'!$AD$5:$AD$28="SOC_E")*('2_개행동'!$AH$5:$AH$28&gt;=1)*(3-'2_개행동'!$AH$5:$AH$28))),SUMPRODUCT(MAX(('3_보호자행동'!$AD$5:$AD$15="SOC_E")*('3_보호자행동'!$AH$5:$AH$15&gt;=1)*(3-'3_보호자행동'!$AH$5:$AH$15))))))</f>
        <v/>
      </c>
      <c r="I9" s="39">
        <f>IF((COUNTIFS('1_바디시그널'!$AD$5:$AD$13,"SOC_E",'1_바디시그널'!$AY$5:$AY$13,"ONE",'1_바디시그널'!$AH$5:$AH$13,"&gt;=1")+COUNTIFS('2_개행동'!$AD$5:$AD$28,"SOC_E",'2_개행동'!$AY$5:$AY$28,"ONE",'2_개행동'!$AH$5:$AH$28,"&gt;=1")+COUNTIFS('3_보호자행동'!$AD$5:$AD$15,"SOC_E",'3_보호자행동'!$AY$5:$AY$15,"ONE",'3_보호자행동'!$AH$5:$AH$15,"&gt;=1"))=0,"",ROUND((SUMIFS('1_바디시그널'!$AH$5:$AH$13,'1_바디시그널'!$AD$5:$AD$13,"SOC_E",'1_바디시그널'!$AY$5:$AY$13,"ONE",'1_바디시그널'!$AH$5:$AH$13,"&gt;=1")+SUMIFS('2_개행동'!$AH$5:$AH$28,'2_개행동'!$AD$5:$AD$28,"SOC_E",'2_개행동'!$AY$5:$AY$28,"ONE",'2_개행동'!$AH$5:$AH$28,"&gt;=1")+SUMIFS('3_보호자행동'!$AH$5:$AH$15,'3_보호자행동'!$AD$5:$AD$15,"SOC_E",'3_보호자행동'!$AY$5:$AY$15,"ONE",'3_보호자행동'!$AH$5:$AH$15,"&gt;=1"))/(COUNTIFS('1_바디시그널'!$AD$5:$AD$13,"SOC_E",'1_바디시그널'!$AY$5:$AY$13,"ONE",'1_바디시그널'!$AH$5:$AH$13,"&gt;=1")+COUNTIFS('2_개행동'!$AD$5:$AD$28,"SOC_E",'2_개행동'!$AY$5:$AY$28,"ONE",'2_개행동'!$AH$5:$AH$28,"&gt;=1")+COUNTIFS('3_보호자행동'!$AD$5:$AD$15,"SOC_E",'3_보호자행동'!$AY$5:$AY$15,"ONE",'3_보호자행동'!$AH$5:$AH$15,"&gt;=1")),2))</f>
        <v/>
      </c>
      <c r="J9" s="39">
        <f>IF(OR('2_개행동'!$M$13="",'2_개행동'!$M$14=""),"",IF('2_개행동'!$M$13&gt;=3,IF(ABS('2_개행동'!$M$14-3)&lt;=1,"편안·우호","우호·들뜸"),IF(ABS('2_개행동'!$M$14-3)&lt;=1,"담담·거리둠","경계·긴장")))</f>
        <v/>
      </c>
      <c r="K9" s="39">
        <f>IF((COUNTIFS('1_바디시그널'!$AD$5:$AD$13,"SOC_H",'1_바디시그널'!$AH$5:$AH$13,"&gt;=1")+COUNTIFS('2_개행동'!$AD$5:$AD$28,"SOC_H",'2_개행동'!$AH$5:$AH$28,"&gt;=1")+COUNTIFS('3_보호자행동'!$AD$5:$AD$15,"SOC_H",'3_보호자행동'!$AH$5:$AH$15,"&gt;=1"))=0,"",MAX(MAX(SUMPRODUCT(MAX(('1_바디시그널'!$AD$5:$AD$13="SOC_H")*('1_바디시그널'!$AH$5:$AH$13-3))),SUMPRODUCT(MAX(('2_개행동'!$AD$5:$AD$28="SOC_H")*('2_개행동'!$AH$5:$AH$28-3))),SUMPRODUCT(MAX(('3_보호자행동'!$AD$5:$AD$15="SOC_H")*('3_보호자행동'!$AH$5:$AH$15-3)))),MAX(SUMPRODUCT(MAX(('1_바디시그널'!$AD$5:$AD$13="SOC_H")*('1_바디시그널'!$AH$5:$AH$13&gt;=1)*(3-'1_바디시그널'!$AH$5:$AH$13))),SUMPRODUCT(MAX(('2_개행동'!$AD$5:$AD$28="SOC_H")*('2_개행동'!$AH$5:$AH$28&gt;=1)*(3-'2_개행동'!$AH$5:$AH$28))),SUMPRODUCT(MAX(('3_보호자행동'!$AD$5:$AD$15="SOC_H")*('3_보호자행동'!$AH$5:$AH$15&gt;=1)*(3-'3_보호자행동'!$AH$5:$AH$15))))))</f>
        <v/>
      </c>
      <c r="L9" s="39">
        <f>IF((COUNTIFS('1_바디시그널'!$AD$5:$AD$13,"SOC_H",'1_바디시그널'!$AY$5:$AY$13,"ONE",'1_바디시그널'!$AH$5:$AH$13,"&gt;=1")+COUNTIFS('2_개행동'!$AD$5:$AD$28,"SOC_H",'2_개행동'!$AY$5:$AY$28,"ONE",'2_개행동'!$AH$5:$AH$28,"&gt;=1")+COUNTIFS('3_보호자행동'!$AD$5:$AD$15,"SOC_H",'3_보호자행동'!$AY$5:$AY$15,"ONE",'3_보호자행동'!$AH$5:$AH$15,"&gt;=1"))=0,"",ROUND((SUMIFS('1_바디시그널'!$AH$5:$AH$13,'1_바디시그널'!$AD$5:$AD$13,"SOC_H",'1_바디시그널'!$AY$5:$AY$13,"ONE",'1_바디시그널'!$AH$5:$AH$13,"&gt;=1")+SUMIFS('2_개행동'!$AH$5:$AH$28,'2_개행동'!$AD$5:$AD$28,"SOC_H",'2_개행동'!$AY$5:$AY$28,"ONE",'2_개행동'!$AH$5:$AH$28,"&gt;=1")+SUMIFS('3_보호자행동'!$AH$5:$AH$15,'3_보호자행동'!$AD$5:$AD$15,"SOC_H",'3_보호자행동'!$AY$5:$AY$15,"ONE",'3_보호자행동'!$AH$5:$AH$15,"&gt;=1"))/(COUNTIFS('1_바디시그널'!$AD$5:$AD$13,"SOC_H",'1_바디시그널'!$AY$5:$AY$13,"ONE",'1_바디시그널'!$AH$5:$AH$13,"&gt;=1")+COUNTIFS('2_개행동'!$AD$5:$AD$28,"SOC_H",'2_개행동'!$AY$5:$AY$28,"ONE",'2_개행동'!$AH$5:$AH$28,"&gt;=1")+COUNTIFS('3_보호자행동'!$AD$5:$AD$15,"SOC_H",'3_보호자행동'!$AY$5:$AY$15,"ONE",'3_보호자행동'!$AH$5:$AH$15,"&gt;=1")),2))</f>
        <v/>
      </c>
      <c r="M9" s="39">
        <f>IF(OR('2_개행동'!$M$21="",'2_개행동'!$M$9="",'2_개행동'!$M$16="",'2_개행동'!$M$17=""),"",IF(N('2_개행동'!$M$20)&gt;=1,"일관되지 않음",IF(AVERAGE('2_개행동'!$M$21,'2_개행동'!$M$9,'2_개행동'!$M$16,'2_개행동'!$M$18)&lt;=3.5,IF(ABS('2_개행동'!$M$17-3)&lt;=1,"안정","불안"),IF(ABS('2_개행동'!$M$17-3)&lt;=1,"거리 둠","일관되지 않음"))))</f>
        <v/>
      </c>
      <c r="N9" s="39">
        <f>IF((COUNTIFS('1_바디시그널'!$AD$5:$AD$13,"ATT",'1_바디시그널'!$AH$5:$AH$13,"&gt;=1")+COUNTIFS('2_개행동'!$AD$5:$AD$28,"ATT",'2_개행동'!$AH$5:$AH$28,"&gt;=1")+COUNTIFS('3_보호자행동'!$AD$5:$AD$15,"ATT",'3_보호자행동'!$AH$5:$AH$15,"&gt;=1"))=0,"",MAX(MAX(SUMPRODUCT(MAX(('1_바디시그널'!$AD$5:$AD$13="ATT")*('1_바디시그널'!$AH$5:$AH$13-3))),SUMPRODUCT(MAX(('2_개행동'!$AD$5:$AD$28="ATT")*('2_개행동'!$AH$5:$AH$28-3))),SUMPRODUCT(MAX(('3_보호자행동'!$AD$5:$AD$15="ATT")*('3_보호자행동'!$AH$5:$AH$15-3)))),MAX(SUMPRODUCT(MAX(('1_바디시그널'!$AD$5:$AD$13="ATT")*('1_바디시그널'!$AH$5:$AH$13&gt;=1)*(3-'1_바디시그널'!$AH$5:$AH$13))),SUMPRODUCT(MAX(('2_개행동'!$AD$5:$AD$28="ATT")*('2_개행동'!$AH$5:$AH$28&gt;=1)*(3-'2_개행동'!$AH$5:$AH$28))),SUMPRODUCT(MAX(('3_보호자행동'!$AD$5:$AD$15="ATT")*('3_보호자행동'!$AH$5:$AH$15&gt;=1)*(3-'3_보호자행동'!$AH$5:$AH$15))))))</f>
        <v/>
      </c>
      <c r="O9" s="39">
        <f>IF((COUNTIFS('1_바디시그널'!$AD$5:$AD$13,"ATT",'1_바디시그널'!$AY$5:$AY$13,"ONE",'1_바디시그널'!$AH$5:$AH$13,"&gt;=1")+COUNTIFS('2_개행동'!$AD$5:$AD$28,"ATT",'2_개행동'!$AY$5:$AY$28,"ONE",'2_개행동'!$AH$5:$AH$28,"&gt;=1")+COUNTIFS('3_보호자행동'!$AD$5:$AD$15,"ATT",'3_보호자행동'!$AY$5:$AY$15,"ONE",'3_보호자행동'!$AH$5:$AH$15,"&gt;=1"))=0,"",ROUND((SUMIFS('1_바디시그널'!$AH$5:$AH$13,'1_바디시그널'!$AD$5:$AD$13,"ATT",'1_바디시그널'!$AY$5:$AY$13,"ONE",'1_바디시그널'!$AH$5:$AH$13,"&gt;=1")+SUMIFS('2_개행동'!$AH$5:$AH$28,'2_개행동'!$AD$5:$AD$28,"ATT",'2_개행동'!$AY$5:$AY$28,"ONE",'2_개행동'!$AH$5:$AH$28,"&gt;=1")+SUMIFS('3_보호자행동'!$AH$5:$AH$15,'3_보호자행동'!$AD$5:$AD$15,"ATT",'3_보호자행동'!$AY$5:$AY$15,"ONE",'3_보호자행동'!$AH$5:$AH$15,"&gt;=1"))/(COUNTIFS('1_바디시그널'!$AD$5:$AD$13,"ATT",'1_바디시그널'!$AY$5:$AY$13,"ONE",'1_바디시그널'!$AH$5:$AH$13,"&gt;=1")+COUNTIFS('2_개행동'!$AD$5:$AD$28,"ATT",'2_개행동'!$AY$5:$AY$28,"ONE",'2_개행동'!$AH$5:$AH$28,"&gt;=1")+COUNTIFS('3_보호자행동'!$AD$5:$AD$15,"ATT",'3_보호자행동'!$AY$5:$AY$15,"ONE",'3_보호자행동'!$AH$5:$AH$15,"&gt;=1")),2))</f>
        <v/>
      </c>
      <c r="P9" s="48">
        <f>IF((COUNTIFS('1_바디시그널'!$AD$5:$AD$13,"SYN",'1_바디시그널'!$AY$5:$AY$13,"BI",'1_바디시그널'!$AH$5:$AH$13,"&gt;=1")+COUNTIFS('2_개행동'!$AD$5:$AD$28,"SYN",'2_개행동'!$AY$5:$AY$28,"BI",'2_개행동'!$AH$5:$AH$28,"&gt;=1")+COUNTIFS('3_보호자행동'!$AD$5:$AD$15,"SYN",'3_보호자행동'!$AY$5:$AY$15,"BI",'3_보호자행동'!$AH$5:$AH$15,"&gt;=1"))=0,"",ROUND((SUMIFS('1_바디시그널'!$AH$5:$AH$13,'1_바디시그널'!$AD$5:$AD$13,"SYN",'1_바디시그널'!$AY$5:$AY$13,"BI",'1_바디시그널'!$AH$5:$AH$13,"&gt;=1")+SUMIFS('2_개행동'!$AH$5:$AH$28,'2_개행동'!$AD$5:$AD$28,"SYN",'2_개행동'!$AY$5:$AY$28,"BI",'2_개행동'!$AH$5:$AH$28,"&gt;=1")+SUMIFS('3_보호자행동'!$AH$5:$AH$15,'3_보호자행동'!$AD$5:$AD$15,"SYN",'3_보호자행동'!$AY$5:$AY$15,"BI",'3_보호자행동'!$AH$5:$AH$15,"&gt;=1"))/(COUNTIFS('1_바디시그널'!$AD$5:$AD$13,"SYN",'1_바디시그널'!$AY$5:$AY$13,"BI",'1_바디시그널'!$AH$5:$AH$13,"&gt;=1")+COUNTIFS('2_개행동'!$AD$5:$AD$28,"SYN",'2_개행동'!$AY$5:$AY$28,"BI",'2_개행동'!$AH$5:$AH$28,"&gt;=1")+COUNTIFS('3_보호자행동'!$AD$5:$AD$15,"SYN",'3_보호자행동'!$AY$5:$AY$15,"BI",'3_보호자행동'!$AH$5:$AH$15,"&gt;=1"))-3,2))</f>
        <v/>
      </c>
      <c r="Q9" s="39">
        <f>IF((COUNTIFS('1_바디시그널'!$AD$5:$AD$13,"SYN",'1_바디시그널'!$AH$5:$AH$13,"&gt;=1")+COUNTIFS('2_개행동'!$AD$5:$AD$28,"SYN",'2_개행동'!$AH$5:$AH$28,"&gt;=1")+COUNTIFS('3_보호자행동'!$AD$5:$AD$15,"SYN",'3_보호자행동'!$AH$5:$AH$15,"&gt;=1"))=0,"",MAX(MAX(SUMPRODUCT(MAX(('1_바디시그널'!$AD$5:$AD$13="SYN")*('1_바디시그널'!$AH$5:$AH$13-3))),SUMPRODUCT(MAX(('2_개행동'!$AD$5:$AD$28="SYN")*('2_개행동'!$AH$5:$AH$28-3))),SUMPRODUCT(MAX(('3_보호자행동'!$AD$5:$AD$15="SYN")*('3_보호자행동'!$AH$5:$AH$15-3)))),MAX(SUMPRODUCT(MAX(('1_바디시그널'!$AD$5:$AD$13="SYN")*('1_바디시그널'!$AH$5:$AH$13&gt;=1)*(3-'1_바디시그널'!$AH$5:$AH$13))),SUMPRODUCT(MAX(('2_개행동'!$AD$5:$AD$28="SYN")*('2_개행동'!$AH$5:$AH$28&gt;=1)*(3-'2_개행동'!$AH$5:$AH$28))),SUMPRODUCT(MAX(('3_보호자행동'!$AD$5:$AD$15="SYN")*('3_보호자행동'!$AH$5:$AH$15&gt;=1)*(3-'3_보호자행동'!$AH$5:$AH$15))))))</f>
        <v/>
      </c>
      <c r="R9" s="39">
        <f>IF((COUNTIFS('1_바디시그널'!$AD$5:$AD$13,"SYN",'1_바디시그널'!$AY$5:$AY$13,"ONE",'1_바디시그널'!$AH$5:$AH$13,"&gt;=1")+COUNTIFS('2_개행동'!$AD$5:$AD$28,"SYN",'2_개행동'!$AY$5:$AY$28,"ONE",'2_개행동'!$AH$5:$AH$28,"&gt;=1")+COUNTIFS('3_보호자행동'!$AD$5:$AD$15,"SYN",'3_보호자행동'!$AY$5:$AY$15,"ONE",'3_보호자행동'!$AH$5:$AH$15,"&gt;=1"))=0,"",ROUND((SUMIFS('1_바디시그널'!$AH$5:$AH$13,'1_바디시그널'!$AD$5:$AD$13,"SYN",'1_바디시그널'!$AY$5:$AY$13,"ONE",'1_바디시그널'!$AH$5:$AH$13,"&gt;=1")+SUMIFS('2_개행동'!$AH$5:$AH$28,'2_개행동'!$AD$5:$AD$28,"SYN",'2_개행동'!$AY$5:$AY$28,"ONE",'2_개행동'!$AH$5:$AH$28,"&gt;=1")+SUMIFS('3_보호자행동'!$AH$5:$AH$15,'3_보호자행동'!$AD$5:$AD$15,"SYN",'3_보호자행동'!$AY$5:$AY$15,"ONE",'3_보호자행동'!$AH$5:$AH$15,"&gt;=1"))/(COUNTIFS('1_바디시그널'!$AD$5:$AD$13,"SYN",'1_바디시그널'!$AY$5:$AY$13,"ONE",'1_바디시그널'!$AH$5:$AH$13,"&gt;=1")+COUNTIFS('2_개행동'!$AD$5:$AD$28,"SYN",'2_개행동'!$AY$5:$AY$28,"ONE",'2_개행동'!$AH$5:$AH$28,"&gt;=1")+COUNTIFS('3_보호자행동'!$AD$5:$AD$15,"SYN",'3_보호자행동'!$AY$5:$AY$15,"ONE",'3_보호자행동'!$AH$5:$AH$15,"&gt;=1")),2))</f>
        <v/>
      </c>
      <c r="S9" s="48">
        <f>IF((COUNTIFS('1_바디시그널'!$AD$5:$AD$13,"EXIT",'1_바디시그널'!$AY$5:$AY$13,"BI",'1_바디시그널'!$AH$5:$AH$13,"&gt;=1")+COUNTIFS('2_개행동'!$AD$5:$AD$28,"EXIT",'2_개행동'!$AY$5:$AY$28,"BI",'2_개행동'!$AH$5:$AH$28,"&gt;=1")+COUNTIFS('3_보호자행동'!$AD$5:$AD$15,"EXIT",'3_보호자행동'!$AY$5:$AY$15,"BI",'3_보호자행동'!$AH$5:$AH$15,"&gt;=1"))=0,"",ROUND((SUMIFS('1_바디시그널'!$AH$5:$AH$13,'1_바디시그널'!$AD$5:$AD$13,"EXIT",'1_바디시그널'!$AY$5:$AY$13,"BI",'1_바디시그널'!$AH$5:$AH$13,"&gt;=1")+SUMIFS('2_개행동'!$AH$5:$AH$28,'2_개행동'!$AD$5:$AD$28,"EXIT",'2_개행동'!$AY$5:$AY$28,"BI",'2_개행동'!$AH$5:$AH$28,"&gt;=1")+SUMIFS('3_보호자행동'!$AH$5:$AH$15,'3_보호자행동'!$AD$5:$AD$15,"EXIT",'3_보호자행동'!$AY$5:$AY$15,"BI",'3_보호자행동'!$AH$5:$AH$15,"&gt;=1"))/(COUNTIFS('1_바디시그널'!$AD$5:$AD$13,"EXIT",'1_바디시그널'!$AY$5:$AY$13,"BI",'1_바디시그널'!$AH$5:$AH$13,"&gt;=1")+COUNTIFS('2_개행동'!$AD$5:$AD$28,"EXIT",'2_개행동'!$AY$5:$AY$28,"BI",'2_개행동'!$AH$5:$AH$28,"&gt;=1")+COUNTIFS('3_보호자행동'!$AD$5:$AD$15,"EXIT",'3_보호자행동'!$AY$5:$AY$15,"BI",'3_보호자행동'!$AH$5:$AH$15,"&gt;=1"))-3,2))</f>
        <v/>
      </c>
      <c r="T9" s="39">
        <f>IF((COUNTIFS('1_바디시그널'!$AD$5:$AD$13,"EXIT",'1_바디시그널'!$AH$5:$AH$13,"&gt;=1")+COUNTIFS('2_개행동'!$AD$5:$AD$28,"EXIT",'2_개행동'!$AH$5:$AH$28,"&gt;=1")+COUNTIFS('3_보호자행동'!$AD$5:$AD$15,"EXIT",'3_보호자행동'!$AH$5:$AH$15,"&gt;=1"))=0,"",MAX(MAX(SUMPRODUCT(MAX(('1_바디시그널'!$AD$5:$AD$13="EXIT")*('1_바디시그널'!$AH$5:$AH$13-3))),SUMPRODUCT(MAX(('2_개행동'!$AD$5:$AD$28="EXIT")*('2_개행동'!$AH$5:$AH$28-3))),SUMPRODUCT(MAX(('3_보호자행동'!$AD$5:$AD$15="EXIT")*('3_보호자행동'!$AH$5:$AH$15-3)))),MAX(SUMPRODUCT(MAX(('1_바디시그널'!$AD$5:$AD$13="EXIT")*('1_바디시그널'!$AH$5:$AH$13&gt;=1)*(3-'1_바디시그널'!$AH$5:$AH$13))),SUMPRODUCT(MAX(('2_개행동'!$AD$5:$AD$28="EXIT")*('2_개행동'!$AH$5:$AH$28&gt;=1)*(3-'2_개행동'!$AH$5:$AH$28))),SUMPRODUCT(MAX(('3_보호자행동'!$AD$5:$AD$15="EXIT")*('3_보호자행동'!$AH$5:$AH$15&gt;=1)*(3-'3_보호자행동'!$AH$5:$AH$15))))))</f>
        <v/>
      </c>
      <c r="U9" s="39">
        <f>IF((COUNTIFS('1_바디시그널'!$AD$5:$AD$13,"EXIT",'1_바디시그널'!$AY$5:$AY$13,"ONE",'1_바디시그널'!$AH$5:$AH$13,"&gt;=1")+COUNTIFS('2_개행동'!$AD$5:$AD$28,"EXIT",'2_개행동'!$AY$5:$AY$28,"ONE",'2_개행동'!$AH$5:$AH$28,"&gt;=1")+COUNTIFS('3_보호자행동'!$AD$5:$AD$15,"EXIT",'3_보호자행동'!$AY$5:$AY$15,"ONE",'3_보호자행동'!$AH$5:$AH$15,"&gt;=1"))=0,"",ROUND((SUMIFS('1_바디시그널'!$AH$5:$AH$13,'1_바디시그널'!$AD$5:$AD$13,"EXIT",'1_바디시그널'!$AY$5:$AY$13,"ONE",'1_바디시그널'!$AH$5:$AH$13,"&gt;=1")+SUMIFS('2_개행동'!$AH$5:$AH$28,'2_개행동'!$AD$5:$AD$28,"EXIT",'2_개행동'!$AY$5:$AY$28,"ONE",'2_개행동'!$AH$5:$AH$28,"&gt;=1")+SUMIFS('3_보호자행동'!$AH$5:$AH$15,'3_보호자행동'!$AD$5:$AD$15,"EXIT",'3_보호자행동'!$AY$5:$AY$15,"ONE",'3_보호자행동'!$AH$5:$AH$15,"&gt;=1"))/(COUNTIFS('1_바디시그널'!$AD$5:$AD$13,"EXIT",'1_바디시그널'!$AY$5:$AY$13,"ONE",'1_바디시그널'!$AH$5:$AH$13,"&gt;=1")+COUNTIFS('2_개행동'!$AD$5:$AD$28,"EXIT",'2_개행동'!$AY$5:$AY$28,"ONE",'2_개행동'!$AH$5:$AH$28,"&gt;=1")+COUNTIFS('3_보호자행동'!$AD$5:$AD$15,"EXIT",'3_보호자행동'!$AY$5:$AY$15,"ONE",'3_보호자행동'!$AH$5:$AH$15,"&gt;=1")),2))</f>
        <v/>
      </c>
      <c r="V9" s="49">
        <f>IF(OR('2_개행동'!$M$8="",'2_개행동'!$M$22=""),"",ABS('2_개행동'!$M$8-3)-ABS('2_개행동'!$M$22-3))</f>
        <v/>
      </c>
      <c r="W9" s="49">
        <f>IF(OR('2_개행동'!$M$10="",'2_개행동'!$M$17=""),"",ABS('2_개행동'!$M$10-3)-ABS('2_개행동'!$M$17-3))</f>
        <v/>
      </c>
      <c r="X9" s="49">
        <f>IF(OR('2_개행동'!$M$10="",'2_개행동'!$M$14=""),"",ABS('2_개행동'!$M$10-3)-ABS('2_개행동'!$M$14-3))</f>
        <v/>
      </c>
      <c r="Y9" s="39">
        <f>IF('2_개행동'!$M$8="","",'2_개행동'!$M$8)</f>
        <v/>
      </c>
      <c r="Z9" s="40">
        <f>IF('2_개행동'!$M$25="","",IF('3_보호자행동'!$M$13=3,"무효",'2_개행동'!$M$25/6))</f>
        <v/>
      </c>
      <c r="AA9" s="35" t="n"/>
    </row>
    <row r="10">
      <c r="A10" s="39" t="n">
        <v>5</v>
      </c>
      <c r="B10" s="39" t="n"/>
      <c r="C10" s="39" t="n"/>
      <c r="D10" s="48">
        <f>IF((COUNTIFS('1_바디시그널'!$AD$5:$AD$13,"EDU",'1_바디시그널'!$AY$5:$AY$13,"BI",'1_바디시그널'!$AI$5:$AI$13,"&gt;=1")+COUNTIFS('2_개행동'!$AD$5:$AD$28,"EDU",'2_개행동'!$AY$5:$AY$28,"BI",'2_개행동'!$AI$5:$AI$28,"&gt;=1")+COUNTIFS('3_보호자행동'!$AD$5:$AD$15,"EDU",'3_보호자행동'!$AY$5:$AY$15,"BI",'3_보호자행동'!$AI$5:$AI$15,"&gt;=1"))=0,"",ROUND((SUMIFS('1_바디시그널'!$AI$5:$AI$13,'1_바디시그널'!$AD$5:$AD$13,"EDU",'1_바디시그널'!$AY$5:$AY$13,"BI",'1_바디시그널'!$AI$5:$AI$13,"&gt;=1")+SUMIFS('2_개행동'!$AI$5:$AI$28,'2_개행동'!$AD$5:$AD$28,"EDU",'2_개행동'!$AY$5:$AY$28,"BI",'2_개행동'!$AI$5:$AI$28,"&gt;=1")+SUMIFS('3_보호자행동'!$AI$5:$AI$15,'3_보호자행동'!$AD$5:$AD$15,"EDU",'3_보호자행동'!$AY$5:$AY$15,"BI",'3_보호자행동'!$AI$5:$AI$15,"&gt;=1"))/(COUNTIFS('1_바디시그널'!$AD$5:$AD$13,"EDU",'1_바디시그널'!$AY$5:$AY$13,"BI",'1_바디시그널'!$AI$5:$AI$13,"&gt;=1")+COUNTIFS('2_개행동'!$AD$5:$AD$28,"EDU",'2_개행동'!$AY$5:$AY$28,"BI",'2_개행동'!$AI$5:$AI$28,"&gt;=1")+COUNTIFS('3_보호자행동'!$AD$5:$AD$15,"EDU",'3_보호자행동'!$AY$5:$AY$15,"BI",'3_보호자행동'!$AI$5:$AI$15,"&gt;=1"))-3,2))</f>
        <v/>
      </c>
      <c r="E10" s="39">
        <f>IF((COUNTIFS('1_바디시그널'!$AD$5:$AD$13,"EDU",'1_바디시그널'!$AI$5:$AI$13,"&gt;=1")+COUNTIFS('2_개행동'!$AD$5:$AD$28,"EDU",'2_개행동'!$AI$5:$AI$28,"&gt;=1")+COUNTIFS('3_보호자행동'!$AD$5:$AD$15,"EDU",'3_보호자행동'!$AI$5:$AI$15,"&gt;=1"))=0,"",MAX(MAX(SUMPRODUCT(MAX(('1_바디시그널'!$AD$5:$AD$13="EDU")*('1_바디시그널'!$AI$5:$AI$13-3))),SUMPRODUCT(MAX(('2_개행동'!$AD$5:$AD$28="EDU")*('2_개행동'!$AI$5:$AI$28-3))),SUMPRODUCT(MAX(('3_보호자행동'!$AD$5:$AD$15="EDU")*('3_보호자행동'!$AI$5:$AI$15-3)))),MAX(SUMPRODUCT(MAX(('1_바디시그널'!$AD$5:$AD$13="EDU")*('1_바디시그널'!$AI$5:$AI$13&gt;=1)*(3-'1_바디시그널'!$AI$5:$AI$13))),SUMPRODUCT(MAX(('2_개행동'!$AD$5:$AD$28="EDU")*('2_개행동'!$AI$5:$AI$28&gt;=1)*(3-'2_개행동'!$AI$5:$AI$28))),SUMPRODUCT(MAX(('3_보호자행동'!$AD$5:$AD$15="EDU")*('3_보호자행동'!$AI$5:$AI$15&gt;=1)*(3-'3_보호자행동'!$AI$5:$AI$15))))))</f>
        <v/>
      </c>
      <c r="F10" s="39">
        <f>IF((COUNTIFS('1_바디시그널'!$AD$5:$AD$13,"EDU",'1_바디시그널'!$AY$5:$AY$13,"ONE",'1_바디시그널'!$AI$5:$AI$13,"&gt;=1")+COUNTIFS('2_개행동'!$AD$5:$AD$28,"EDU",'2_개행동'!$AY$5:$AY$28,"ONE",'2_개행동'!$AI$5:$AI$28,"&gt;=1")+COUNTIFS('3_보호자행동'!$AD$5:$AD$15,"EDU",'3_보호자행동'!$AY$5:$AY$15,"ONE",'3_보호자행동'!$AI$5:$AI$15,"&gt;=1"))=0,"",ROUND((SUMIFS('1_바디시그널'!$AI$5:$AI$13,'1_바디시그널'!$AD$5:$AD$13,"EDU",'1_바디시그널'!$AY$5:$AY$13,"ONE",'1_바디시그널'!$AI$5:$AI$13,"&gt;=1")+SUMIFS('2_개행동'!$AI$5:$AI$28,'2_개행동'!$AD$5:$AD$28,"EDU",'2_개행동'!$AY$5:$AY$28,"ONE",'2_개행동'!$AI$5:$AI$28,"&gt;=1")+SUMIFS('3_보호자행동'!$AI$5:$AI$15,'3_보호자행동'!$AD$5:$AD$15,"EDU",'3_보호자행동'!$AY$5:$AY$15,"ONE",'3_보호자행동'!$AI$5:$AI$15,"&gt;=1"))/(COUNTIFS('1_바디시그널'!$AD$5:$AD$13,"EDU",'1_바디시그널'!$AY$5:$AY$13,"ONE",'1_바디시그널'!$AI$5:$AI$13,"&gt;=1")+COUNTIFS('2_개행동'!$AD$5:$AD$28,"EDU",'2_개행동'!$AY$5:$AY$28,"ONE",'2_개행동'!$AI$5:$AI$28,"&gt;=1")+COUNTIFS('3_보호자행동'!$AD$5:$AD$15,"EDU",'3_보호자행동'!$AY$5:$AY$15,"ONE",'3_보호자행동'!$AI$5:$AI$15,"&gt;=1")),2))</f>
        <v/>
      </c>
      <c r="G10" s="48">
        <f>IF((COUNTIFS('1_바디시그널'!$AD$5:$AD$13,"SOC_E",'1_바디시그널'!$AY$5:$AY$13,"BI",'1_바디시그널'!$AI$5:$AI$13,"&gt;=1")+COUNTIFS('2_개행동'!$AD$5:$AD$28,"SOC_E",'2_개행동'!$AY$5:$AY$28,"BI",'2_개행동'!$AI$5:$AI$28,"&gt;=1")+COUNTIFS('3_보호자행동'!$AD$5:$AD$15,"SOC_E",'3_보호자행동'!$AY$5:$AY$15,"BI",'3_보호자행동'!$AI$5:$AI$15,"&gt;=1"))=0,"",ROUND((SUMIFS('1_바디시그널'!$AI$5:$AI$13,'1_바디시그널'!$AD$5:$AD$13,"SOC_E",'1_바디시그널'!$AY$5:$AY$13,"BI",'1_바디시그널'!$AI$5:$AI$13,"&gt;=1")+SUMIFS('2_개행동'!$AI$5:$AI$28,'2_개행동'!$AD$5:$AD$28,"SOC_E",'2_개행동'!$AY$5:$AY$28,"BI",'2_개행동'!$AI$5:$AI$28,"&gt;=1")+SUMIFS('3_보호자행동'!$AI$5:$AI$15,'3_보호자행동'!$AD$5:$AD$15,"SOC_E",'3_보호자행동'!$AY$5:$AY$15,"BI",'3_보호자행동'!$AI$5:$AI$15,"&gt;=1"))/(COUNTIFS('1_바디시그널'!$AD$5:$AD$13,"SOC_E",'1_바디시그널'!$AY$5:$AY$13,"BI",'1_바디시그널'!$AI$5:$AI$13,"&gt;=1")+COUNTIFS('2_개행동'!$AD$5:$AD$28,"SOC_E",'2_개행동'!$AY$5:$AY$28,"BI",'2_개행동'!$AI$5:$AI$28,"&gt;=1")+COUNTIFS('3_보호자행동'!$AD$5:$AD$15,"SOC_E",'3_보호자행동'!$AY$5:$AY$15,"BI",'3_보호자행동'!$AI$5:$AI$15,"&gt;=1"))-3,2))</f>
        <v/>
      </c>
      <c r="H10" s="39">
        <f>IF((COUNTIFS('1_바디시그널'!$AD$5:$AD$13,"SOC_E",'1_바디시그널'!$AI$5:$AI$13,"&gt;=1")+COUNTIFS('2_개행동'!$AD$5:$AD$28,"SOC_E",'2_개행동'!$AI$5:$AI$28,"&gt;=1")+COUNTIFS('3_보호자행동'!$AD$5:$AD$15,"SOC_E",'3_보호자행동'!$AI$5:$AI$15,"&gt;=1"))=0,"",MAX(MAX(SUMPRODUCT(MAX(('1_바디시그널'!$AD$5:$AD$13="SOC_E")*('1_바디시그널'!$AI$5:$AI$13-3))),SUMPRODUCT(MAX(('2_개행동'!$AD$5:$AD$28="SOC_E")*('2_개행동'!$AI$5:$AI$28-3))),SUMPRODUCT(MAX(('3_보호자행동'!$AD$5:$AD$15="SOC_E")*('3_보호자행동'!$AI$5:$AI$15-3)))),MAX(SUMPRODUCT(MAX(('1_바디시그널'!$AD$5:$AD$13="SOC_E")*('1_바디시그널'!$AI$5:$AI$13&gt;=1)*(3-'1_바디시그널'!$AI$5:$AI$13))),SUMPRODUCT(MAX(('2_개행동'!$AD$5:$AD$28="SOC_E")*('2_개행동'!$AI$5:$AI$28&gt;=1)*(3-'2_개행동'!$AI$5:$AI$28))),SUMPRODUCT(MAX(('3_보호자행동'!$AD$5:$AD$15="SOC_E")*('3_보호자행동'!$AI$5:$AI$15&gt;=1)*(3-'3_보호자행동'!$AI$5:$AI$15))))))</f>
        <v/>
      </c>
      <c r="I10" s="39">
        <f>IF((COUNTIFS('1_바디시그널'!$AD$5:$AD$13,"SOC_E",'1_바디시그널'!$AY$5:$AY$13,"ONE",'1_바디시그널'!$AI$5:$AI$13,"&gt;=1")+COUNTIFS('2_개행동'!$AD$5:$AD$28,"SOC_E",'2_개행동'!$AY$5:$AY$28,"ONE",'2_개행동'!$AI$5:$AI$28,"&gt;=1")+COUNTIFS('3_보호자행동'!$AD$5:$AD$15,"SOC_E",'3_보호자행동'!$AY$5:$AY$15,"ONE",'3_보호자행동'!$AI$5:$AI$15,"&gt;=1"))=0,"",ROUND((SUMIFS('1_바디시그널'!$AI$5:$AI$13,'1_바디시그널'!$AD$5:$AD$13,"SOC_E",'1_바디시그널'!$AY$5:$AY$13,"ONE",'1_바디시그널'!$AI$5:$AI$13,"&gt;=1")+SUMIFS('2_개행동'!$AI$5:$AI$28,'2_개행동'!$AD$5:$AD$28,"SOC_E",'2_개행동'!$AY$5:$AY$28,"ONE",'2_개행동'!$AI$5:$AI$28,"&gt;=1")+SUMIFS('3_보호자행동'!$AI$5:$AI$15,'3_보호자행동'!$AD$5:$AD$15,"SOC_E",'3_보호자행동'!$AY$5:$AY$15,"ONE",'3_보호자행동'!$AI$5:$AI$15,"&gt;=1"))/(COUNTIFS('1_바디시그널'!$AD$5:$AD$13,"SOC_E",'1_바디시그널'!$AY$5:$AY$13,"ONE",'1_바디시그널'!$AI$5:$AI$13,"&gt;=1")+COUNTIFS('2_개행동'!$AD$5:$AD$28,"SOC_E",'2_개행동'!$AY$5:$AY$28,"ONE",'2_개행동'!$AI$5:$AI$28,"&gt;=1")+COUNTIFS('3_보호자행동'!$AD$5:$AD$15,"SOC_E",'3_보호자행동'!$AY$5:$AY$15,"ONE",'3_보호자행동'!$AI$5:$AI$15,"&gt;=1")),2))</f>
        <v/>
      </c>
      <c r="J10" s="39">
        <f>IF(OR('2_개행동'!$N$13="",'2_개행동'!$N$14=""),"",IF('2_개행동'!$N$13&gt;=3,IF(ABS('2_개행동'!$N$14-3)&lt;=1,"편안·우호","우호·들뜸"),IF(ABS('2_개행동'!$N$14-3)&lt;=1,"담담·거리둠","경계·긴장")))</f>
        <v/>
      </c>
      <c r="K10" s="39">
        <f>IF((COUNTIFS('1_바디시그널'!$AD$5:$AD$13,"SOC_H",'1_바디시그널'!$AI$5:$AI$13,"&gt;=1")+COUNTIFS('2_개행동'!$AD$5:$AD$28,"SOC_H",'2_개행동'!$AI$5:$AI$28,"&gt;=1")+COUNTIFS('3_보호자행동'!$AD$5:$AD$15,"SOC_H",'3_보호자행동'!$AI$5:$AI$15,"&gt;=1"))=0,"",MAX(MAX(SUMPRODUCT(MAX(('1_바디시그널'!$AD$5:$AD$13="SOC_H")*('1_바디시그널'!$AI$5:$AI$13-3))),SUMPRODUCT(MAX(('2_개행동'!$AD$5:$AD$28="SOC_H")*('2_개행동'!$AI$5:$AI$28-3))),SUMPRODUCT(MAX(('3_보호자행동'!$AD$5:$AD$15="SOC_H")*('3_보호자행동'!$AI$5:$AI$15-3)))),MAX(SUMPRODUCT(MAX(('1_바디시그널'!$AD$5:$AD$13="SOC_H")*('1_바디시그널'!$AI$5:$AI$13&gt;=1)*(3-'1_바디시그널'!$AI$5:$AI$13))),SUMPRODUCT(MAX(('2_개행동'!$AD$5:$AD$28="SOC_H")*('2_개행동'!$AI$5:$AI$28&gt;=1)*(3-'2_개행동'!$AI$5:$AI$28))),SUMPRODUCT(MAX(('3_보호자행동'!$AD$5:$AD$15="SOC_H")*('3_보호자행동'!$AI$5:$AI$15&gt;=1)*(3-'3_보호자행동'!$AI$5:$AI$15))))))</f>
        <v/>
      </c>
      <c r="L10" s="39">
        <f>IF((COUNTIFS('1_바디시그널'!$AD$5:$AD$13,"SOC_H",'1_바디시그널'!$AY$5:$AY$13,"ONE",'1_바디시그널'!$AI$5:$AI$13,"&gt;=1")+COUNTIFS('2_개행동'!$AD$5:$AD$28,"SOC_H",'2_개행동'!$AY$5:$AY$28,"ONE",'2_개행동'!$AI$5:$AI$28,"&gt;=1")+COUNTIFS('3_보호자행동'!$AD$5:$AD$15,"SOC_H",'3_보호자행동'!$AY$5:$AY$15,"ONE",'3_보호자행동'!$AI$5:$AI$15,"&gt;=1"))=0,"",ROUND((SUMIFS('1_바디시그널'!$AI$5:$AI$13,'1_바디시그널'!$AD$5:$AD$13,"SOC_H",'1_바디시그널'!$AY$5:$AY$13,"ONE",'1_바디시그널'!$AI$5:$AI$13,"&gt;=1")+SUMIFS('2_개행동'!$AI$5:$AI$28,'2_개행동'!$AD$5:$AD$28,"SOC_H",'2_개행동'!$AY$5:$AY$28,"ONE",'2_개행동'!$AI$5:$AI$28,"&gt;=1")+SUMIFS('3_보호자행동'!$AI$5:$AI$15,'3_보호자행동'!$AD$5:$AD$15,"SOC_H",'3_보호자행동'!$AY$5:$AY$15,"ONE",'3_보호자행동'!$AI$5:$AI$15,"&gt;=1"))/(COUNTIFS('1_바디시그널'!$AD$5:$AD$13,"SOC_H",'1_바디시그널'!$AY$5:$AY$13,"ONE",'1_바디시그널'!$AI$5:$AI$13,"&gt;=1")+COUNTIFS('2_개행동'!$AD$5:$AD$28,"SOC_H",'2_개행동'!$AY$5:$AY$28,"ONE",'2_개행동'!$AI$5:$AI$28,"&gt;=1")+COUNTIFS('3_보호자행동'!$AD$5:$AD$15,"SOC_H",'3_보호자행동'!$AY$5:$AY$15,"ONE",'3_보호자행동'!$AI$5:$AI$15,"&gt;=1")),2))</f>
        <v/>
      </c>
      <c r="M10" s="39">
        <f>IF(OR('2_개행동'!$N$21="",'2_개행동'!$N$9="",'2_개행동'!$N$16="",'2_개행동'!$N$17=""),"",IF(N('2_개행동'!$N$20)&gt;=1,"일관되지 않음",IF(AVERAGE('2_개행동'!$N$21,'2_개행동'!$N$9,'2_개행동'!$N$16,'2_개행동'!$N$18)&lt;=3.5,IF(ABS('2_개행동'!$N$17-3)&lt;=1,"안정","불안"),IF(ABS('2_개행동'!$N$17-3)&lt;=1,"거리 둠","일관되지 않음"))))</f>
        <v/>
      </c>
      <c r="N10" s="39">
        <f>IF((COUNTIFS('1_바디시그널'!$AD$5:$AD$13,"ATT",'1_바디시그널'!$AI$5:$AI$13,"&gt;=1")+COUNTIFS('2_개행동'!$AD$5:$AD$28,"ATT",'2_개행동'!$AI$5:$AI$28,"&gt;=1")+COUNTIFS('3_보호자행동'!$AD$5:$AD$15,"ATT",'3_보호자행동'!$AI$5:$AI$15,"&gt;=1"))=0,"",MAX(MAX(SUMPRODUCT(MAX(('1_바디시그널'!$AD$5:$AD$13="ATT")*('1_바디시그널'!$AI$5:$AI$13-3))),SUMPRODUCT(MAX(('2_개행동'!$AD$5:$AD$28="ATT")*('2_개행동'!$AI$5:$AI$28-3))),SUMPRODUCT(MAX(('3_보호자행동'!$AD$5:$AD$15="ATT")*('3_보호자행동'!$AI$5:$AI$15-3)))),MAX(SUMPRODUCT(MAX(('1_바디시그널'!$AD$5:$AD$13="ATT")*('1_바디시그널'!$AI$5:$AI$13&gt;=1)*(3-'1_바디시그널'!$AI$5:$AI$13))),SUMPRODUCT(MAX(('2_개행동'!$AD$5:$AD$28="ATT")*('2_개행동'!$AI$5:$AI$28&gt;=1)*(3-'2_개행동'!$AI$5:$AI$28))),SUMPRODUCT(MAX(('3_보호자행동'!$AD$5:$AD$15="ATT")*('3_보호자행동'!$AI$5:$AI$15&gt;=1)*(3-'3_보호자행동'!$AI$5:$AI$15))))))</f>
        <v/>
      </c>
      <c r="O10" s="39">
        <f>IF((COUNTIFS('1_바디시그널'!$AD$5:$AD$13,"ATT",'1_바디시그널'!$AY$5:$AY$13,"ONE",'1_바디시그널'!$AI$5:$AI$13,"&gt;=1")+COUNTIFS('2_개행동'!$AD$5:$AD$28,"ATT",'2_개행동'!$AY$5:$AY$28,"ONE",'2_개행동'!$AI$5:$AI$28,"&gt;=1")+COUNTIFS('3_보호자행동'!$AD$5:$AD$15,"ATT",'3_보호자행동'!$AY$5:$AY$15,"ONE",'3_보호자행동'!$AI$5:$AI$15,"&gt;=1"))=0,"",ROUND((SUMIFS('1_바디시그널'!$AI$5:$AI$13,'1_바디시그널'!$AD$5:$AD$13,"ATT",'1_바디시그널'!$AY$5:$AY$13,"ONE",'1_바디시그널'!$AI$5:$AI$13,"&gt;=1")+SUMIFS('2_개행동'!$AI$5:$AI$28,'2_개행동'!$AD$5:$AD$28,"ATT",'2_개행동'!$AY$5:$AY$28,"ONE",'2_개행동'!$AI$5:$AI$28,"&gt;=1")+SUMIFS('3_보호자행동'!$AI$5:$AI$15,'3_보호자행동'!$AD$5:$AD$15,"ATT",'3_보호자행동'!$AY$5:$AY$15,"ONE",'3_보호자행동'!$AI$5:$AI$15,"&gt;=1"))/(COUNTIFS('1_바디시그널'!$AD$5:$AD$13,"ATT",'1_바디시그널'!$AY$5:$AY$13,"ONE",'1_바디시그널'!$AI$5:$AI$13,"&gt;=1")+COUNTIFS('2_개행동'!$AD$5:$AD$28,"ATT",'2_개행동'!$AY$5:$AY$28,"ONE",'2_개행동'!$AI$5:$AI$28,"&gt;=1")+COUNTIFS('3_보호자행동'!$AD$5:$AD$15,"ATT",'3_보호자행동'!$AY$5:$AY$15,"ONE",'3_보호자행동'!$AI$5:$AI$15,"&gt;=1")),2))</f>
        <v/>
      </c>
      <c r="P10" s="48">
        <f>IF((COUNTIFS('1_바디시그널'!$AD$5:$AD$13,"SYN",'1_바디시그널'!$AY$5:$AY$13,"BI",'1_바디시그널'!$AI$5:$AI$13,"&gt;=1")+COUNTIFS('2_개행동'!$AD$5:$AD$28,"SYN",'2_개행동'!$AY$5:$AY$28,"BI",'2_개행동'!$AI$5:$AI$28,"&gt;=1")+COUNTIFS('3_보호자행동'!$AD$5:$AD$15,"SYN",'3_보호자행동'!$AY$5:$AY$15,"BI",'3_보호자행동'!$AI$5:$AI$15,"&gt;=1"))=0,"",ROUND((SUMIFS('1_바디시그널'!$AI$5:$AI$13,'1_바디시그널'!$AD$5:$AD$13,"SYN",'1_바디시그널'!$AY$5:$AY$13,"BI",'1_바디시그널'!$AI$5:$AI$13,"&gt;=1")+SUMIFS('2_개행동'!$AI$5:$AI$28,'2_개행동'!$AD$5:$AD$28,"SYN",'2_개행동'!$AY$5:$AY$28,"BI",'2_개행동'!$AI$5:$AI$28,"&gt;=1")+SUMIFS('3_보호자행동'!$AI$5:$AI$15,'3_보호자행동'!$AD$5:$AD$15,"SYN",'3_보호자행동'!$AY$5:$AY$15,"BI",'3_보호자행동'!$AI$5:$AI$15,"&gt;=1"))/(COUNTIFS('1_바디시그널'!$AD$5:$AD$13,"SYN",'1_바디시그널'!$AY$5:$AY$13,"BI",'1_바디시그널'!$AI$5:$AI$13,"&gt;=1")+COUNTIFS('2_개행동'!$AD$5:$AD$28,"SYN",'2_개행동'!$AY$5:$AY$28,"BI",'2_개행동'!$AI$5:$AI$28,"&gt;=1")+COUNTIFS('3_보호자행동'!$AD$5:$AD$15,"SYN",'3_보호자행동'!$AY$5:$AY$15,"BI",'3_보호자행동'!$AI$5:$AI$15,"&gt;=1"))-3,2))</f>
        <v/>
      </c>
      <c r="Q10" s="39">
        <f>IF((COUNTIFS('1_바디시그널'!$AD$5:$AD$13,"SYN",'1_바디시그널'!$AI$5:$AI$13,"&gt;=1")+COUNTIFS('2_개행동'!$AD$5:$AD$28,"SYN",'2_개행동'!$AI$5:$AI$28,"&gt;=1")+COUNTIFS('3_보호자행동'!$AD$5:$AD$15,"SYN",'3_보호자행동'!$AI$5:$AI$15,"&gt;=1"))=0,"",MAX(MAX(SUMPRODUCT(MAX(('1_바디시그널'!$AD$5:$AD$13="SYN")*('1_바디시그널'!$AI$5:$AI$13-3))),SUMPRODUCT(MAX(('2_개행동'!$AD$5:$AD$28="SYN")*('2_개행동'!$AI$5:$AI$28-3))),SUMPRODUCT(MAX(('3_보호자행동'!$AD$5:$AD$15="SYN")*('3_보호자행동'!$AI$5:$AI$15-3)))),MAX(SUMPRODUCT(MAX(('1_바디시그널'!$AD$5:$AD$13="SYN")*('1_바디시그널'!$AI$5:$AI$13&gt;=1)*(3-'1_바디시그널'!$AI$5:$AI$13))),SUMPRODUCT(MAX(('2_개행동'!$AD$5:$AD$28="SYN")*('2_개행동'!$AI$5:$AI$28&gt;=1)*(3-'2_개행동'!$AI$5:$AI$28))),SUMPRODUCT(MAX(('3_보호자행동'!$AD$5:$AD$15="SYN")*('3_보호자행동'!$AI$5:$AI$15&gt;=1)*(3-'3_보호자행동'!$AI$5:$AI$15))))))</f>
        <v/>
      </c>
      <c r="R10" s="39">
        <f>IF((COUNTIFS('1_바디시그널'!$AD$5:$AD$13,"SYN",'1_바디시그널'!$AY$5:$AY$13,"ONE",'1_바디시그널'!$AI$5:$AI$13,"&gt;=1")+COUNTIFS('2_개행동'!$AD$5:$AD$28,"SYN",'2_개행동'!$AY$5:$AY$28,"ONE",'2_개행동'!$AI$5:$AI$28,"&gt;=1")+COUNTIFS('3_보호자행동'!$AD$5:$AD$15,"SYN",'3_보호자행동'!$AY$5:$AY$15,"ONE",'3_보호자행동'!$AI$5:$AI$15,"&gt;=1"))=0,"",ROUND((SUMIFS('1_바디시그널'!$AI$5:$AI$13,'1_바디시그널'!$AD$5:$AD$13,"SYN",'1_바디시그널'!$AY$5:$AY$13,"ONE",'1_바디시그널'!$AI$5:$AI$13,"&gt;=1")+SUMIFS('2_개행동'!$AI$5:$AI$28,'2_개행동'!$AD$5:$AD$28,"SYN",'2_개행동'!$AY$5:$AY$28,"ONE",'2_개행동'!$AI$5:$AI$28,"&gt;=1")+SUMIFS('3_보호자행동'!$AI$5:$AI$15,'3_보호자행동'!$AD$5:$AD$15,"SYN",'3_보호자행동'!$AY$5:$AY$15,"ONE",'3_보호자행동'!$AI$5:$AI$15,"&gt;=1"))/(COUNTIFS('1_바디시그널'!$AD$5:$AD$13,"SYN",'1_바디시그널'!$AY$5:$AY$13,"ONE",'1_바디시그널'!$AI$5:$AI$13,"&gt;=1")+COUNTIFS('2_개행동'!$AD$5:$AD$28,"SYN",'2_개행동'!$AY$5:$AY$28,"ONE",'2_개행동'!$AI$5:$AI$28,"&gt;=1")+COUNTIFS('3_보호자행동'!$AD$5:$AD$15,"SYN",'3_보호자행동'!$AY$5:$AY$15,"ONE",'3_보호자행동'!$AI$5:$AI$15,"&gt;=1")),2))</f>
        <v/>
      </c>
      <c r="S10" s="48">
        <f>IF((COUNTIFS('1_바디시그널'!$AD$5:$AD$13,"EXIT",'1_바디시그널'!$AY$5:$AY$13,"BI",'1_바디시그널'!$AI$5:$AI$13,"&gt;=1")+COUNTIFS('2_개행동'!$AD$5:$AD$28,"EXIT",'2_개행동'!$AY$5:$AY$28,"BI",'2_개행동'!$AI$5:$AI$28,"&gt;=1")+COUNTIFS('3_보호자행동'!$AD$5:$AD$15,"EXIT",'3_보호자행동'!$AY$5:$AY$15,"BI",'3_보호자행동'!$AI$5:$AI$15,"&gt;=1"))=0,"",ROUND((SUMIFS('1_바디시그널'!$AI$5:$AI$13,'1_바디시그널'!$AD$5:$AD$13,"EXIT",'1_바디시그널'!$AY$5:$AY$13,"BI",'1_바디시그널'!$AI$5:$AI$13,"&gt;=1")+SUMIFS('2_개행동'!$AI$5:$AI$28,'2_개행동'!$AD$5:$AD$28,"EXIT",'2_개행동'!$AY$5:$AY$28,"BI",'2_개행동'!$AI$5:$AI$28,"&gt;=1")+SUMIFS('3_보호자행동'!$AI$5:$AI$15,'3_보호자행동'!$AD$5:$AD$15,"EXIT",'3_보호자행동'!$AY$5:$AY$15,"BI",'3_보호자행동'!$AI$5:$AI$15,"&gt;=1"))/(COUNTIFS('1_바디시그널'!$AD$5:$AD$13,"EXIT",'1_바디시그널'!$AY$5:$AY$13,"BI",'1_바디시그널'!$AI$5:$AI$13,"&gt;=1")+COUNTIFS('2_개행동'!$AD$5:$AD$28,"EXIT",'2_개행동'!$AY$5:$AY$28,"BI",'2_개행동'!$AI$5:$AI$28,"&gt;=1")+COUNTIFS('3_보호자행동'!$AD$5:$AD$15,"EXIT",'3_보호자행동'!$AY$5:$AY$15,"BI",'3_보호자행동'!$AI$5:$AI$15,"&gt;=1"))-3,2))</f>
        <v/>
      </c>
      <c r="T10" s="39">
        <f>IF((COUNTIFS('1_바디시그널'!$AD$5:$AD$13,"EXIT",'1_바디시그널'!$AI$5:$AI$13,"&gt;=1")+COUNTIFS('2_개행동'!$AD$5:$AD$28,"EXIT",'2_개행동'!$AI$5:$AI$28,"&gt;=1")+COUNTIFS('3_보호자행동'!$AD$5:$AD$15,"EXIT",'3_보호자행동'!$AI$5:$AI$15,"&gt;=1"))=0,"",MAX(MAX(SUMPRODUCT(MAX(('1_바디시그널'!$AD$5:$AD$13="EXIT")*('1_바디시그널'!$AI$5:$AI$13-3))),SUMPRODUCT(MAX(('2_개행동'!$AD$5:$AD$28="EXIT")*('2_개행동'!$AI$5:$AI$28-3))),SUMPRODUCT(MAX(('3_보호자행동'!$AD$5:$AD$15="EXIT")*('3_보호자행동'!$AI$5:$AI$15-3)))),MAX(SUMPRODUCT(MAX(('1_바디시그널'!$AD$5:$AD$13="EXIT")*('1_바디시그널'!$AI$5:$AI$13&gt;=1)*(3-'1_바디시그널'!$AI$5:$AI$13))),SUMPRODUCT(MAX(('2_개행동'!$AD$5:$AD$28="EXIT")*('2_개행동'!$AI$5:$AI$28&gt;=1)*(3-'2_개행동'!$AI$5:$AI$28))),SUMPRODUCT(MAX(('3_보호자행동'!$AD$5:$AD$15="EXIT")*('3_보호자행동'!$AI$5:$AI$15&gt;=1)*(3-'3_보호자행동'!$AI$5:$AI$15))))))</f>
        <v/>
      </c>
      <c r="U10" s="39">
        <f>IF((COUNTIFS('1_바디시그널'!$AD$5:$AD$13,"EXIT",'1_바디시그널'!$AY$5:$AY$13,"ONE",'1_바디시그널'!$AI$5:$AI$13,"&gt;=1")+COUNTIFS('2_개행동'!$AD$5:$AD$28,"EXIT",'2_개행동'!$AY$5:$AY$28,"ONE",'2_개행동'!$AI$5:$AI$28,"&gt;=1")+COUNTIFS('3_보호자행동'!$AD$5:$AD$15,"EXIT",'3_보호자행동'!$AY$5:$AY$15,"ONE",'3_보호자행동'!$AI$5:$AI$15,"&gt;=1"))=0,"",ROUND((SUMIFS('1_바디시그널'!$AI$5:$AI$13,'1_바디시그널'!$AD$5:$AD$13,"EXIT",'1_바디시그널'!$AY$5:$AY$13,"ONE",'1_바디시그널'!$AI$5:$AI$13,"&gt;=1")+SUMIFS('2_개행동'!$AI$5:$AI$28,'2_개행동'!$AD$5:$AD$28,"EXIT",'2_개행동'!$AY$5:$AY$28,"ONE",'2_개행동'!$AI$5:$AI$28,"&gt;=1")+SUMIFS('3_보호자행동'!$AI$5:$AI$15,'3_보호자행동'!$AD$5:$AD$15,"EXIT",'3_보호자행동'!$AY$5:$AY$15,"ONE",'3_보호자행동'!$AI$5:$AI$15,"&gt;=1"))/(COUNTIFS('1_바디시그널'!$AD$5:$AD$13,"EXIT",'1_바디시그널'!$AY$5:$AY$13,"ONE",'1_바디시그널'!$AI$5:$AI$13,"&gt;=1")+COUNTIFS('2_개행동'!$AD$5:$AD$28,"EXIT",'2_개행동'!$AY$5:$AY$28,"ONE",'2_개행동'!$AI$5:$AI$28,"&gt;=1")+COUNTIFS('3_보호자행동'!$AD$5:$AD$15,"EXIT",'3_보호자행동'!$AY$5:$AY$15,"ONE",'3_보호자행동'!$AI$5:$AI$15,"&gt;=1")),2))</f>
        <v/>
      </c>
      <c r="V10" s="49">
        <f>IF(OR('2_개행동'!$N$8="",'2_개행동'!$N$22=""),"",ABS('2_개행동'!$N$8-3)-ABS('2_개행동'!$N$22-3))</f>
        <v/>
      </c>
      <c r="W10" s="49">
        <f>IF(OR('2_개행동'!$N$10="",'2_개행동'!$N$17=""),"",ABS('2_개행동'!$N$10-3)-ABS('2_개행동'!$N$17-3))</f>
        <v/>
      </c>
      <c r="X10" s="49">
        <f>IF(OR('2_개행동'!$N$10="",'2_개행동'!$N$14=""),"",ABS('2_개행동'!$N$10-3)-ABS('2_개행동'!$N$14-3))</f>
        <v/>
      </c>
      <c r="Y10" s="39">
        <f>IF('2_개행동'!$N$8="","",'2_개행동'!$N$8)</f>
        <v/>
      </c>
      <c r="Z10" s="40">
        <f>IF('2_개행동'!$N$25="","",IF('3_보호자행동'!$N$13=3,"무효",'2_개행동'!$N$25/6))</f>
        <v/>
      </c>
      <c r="AA10" s="35" t="n"/>
    </row>
    <row r="11">
      <c r="A11" s="39" t="n">
        <v>6</v>
      </c>
      <c r="B11" s="39" t="n"/>
      <c r="C11" s="39" t="n"/>
      <c r="D11" s="48">
        <f>IF((COUNTIFS('1_바디시그널'!$AD$5:$AD$13,"EDU",'1_바디시그널'!$AY$5:$AY$13,"BI",'1_바디시그널'!$AJ$5:$AJ$13,"&gt;=1")+COUNTIFS('2_개행동'!$AD$5:$AD$28,"EDU",'2_개행동'!$AY$5:$AY$28,"BI",'2_개행동'!$AJ$5:$AJ$28,"&gt;=1")+COUNTIFS('3_보호자행동'!$AD$5:$AD$15,"EDU",'3_보호자행동'!$AY$5:$AY$15,"BI",'3_보호자행동'!$AJ$5:$AJ$15,"&gt;=1"))=0,"",ROUND((SUMIFS('1_바디시그널'!$AJ$5:$AJ$13,'1_바디시그널'!$AD$5:$AD$13,"EDU",'1_바디시그널'!$AY$5:$AY$13,"BI",'1_바디시그널'!$AJ$5:$AJ$13,"&gt;=1")+SUMIFS('2_개행동'!$AJ$5:$AJ$28,'2_개행동'!$AD$5:$AD$28,"EDU",'2_개행동'!$AY$5:$AY$28,"BI",'2_개행동'!$AJ$5:$AJ$28,"&gt;=1")+SUMIFS('3_보호자행동'!$AJ$5:$AJ$15,'3_보호자행동'!$AD$5:$AD$15,"EDU",'3_보호자행동'!$AY$5:$AY$15,"BI",'3_보호자행동'!$AJ$5:$AJ$15,"&gt;=1"))/(COUNTIFS('1_바디시그널'!$AD$5:$AD$13,"EDU",'1_바디시그널'!$AY$5:$AY$13,"BI",'1_바디시그널'!$AJ$5:$AJ$13,"&gt;=1")+COUNTIFS('2_개행동'!$AD$5:$AD$28,"EDU",'2_개행동'!$AY$5:$AY$28,"BI",'2_개행동'!$AJ$5:$AJ$28,"&gt;=1")+COUNTIFS('3_보호자행동'!$AD$5:$AD$15,"EDU",'3_보호자행동'!$AY$5:$AY$15,"BI",'3_보호자행동'!$AJ$5:$AJ$15,"&gt;=1"))-3,2))</f>
        <v/>
      </c>
      <c r="E11" s="39">
        <f>IF((COUNTIFS('1_바디시그널'!$AD$5:$AD$13,"EDU",'1_바디시그널'!$AJ$5:$AJ$13,"&gt;=1")+COUNTIFS('2_개행동'!$AD$5:$AD$28,"EDU",'2_개행동'!$AJ$5:$AJ$28,"&gt;=1")+COUNTIFS('3_보호자행동'!$AD$5:$AD$15,"EDU",'3_보호자행동'!$AJ$5:$AJ$15,"&gt;=1"))=0,"",MAX(MAX(SUMPRODUCT(MAX(('1_바디시그널'!$AD$5:$AD$13="EDU")*('1_바디시그널'!$AJ$5:$AJ$13-3))),SUMPRODUCT(MAX(('2_개행동'!$AD$5:$AD$28="EDU")*('2_개행동'!$AJ$5:$AJ$28-3))),SUMPRODUCT(MAX(('3_보호자행동'!$AD$5:$AD$15="EDU")*('3_보호자행동'!$AJ$5:$AJ$15-3)))),MAX(SUMPRODUCT(MAX(('1_바디시그널'!$AD$5:$AD$13="EDU")*('1_바디시그널'!$AJ$5:$AJ$13&gt;=1)*(3-'1_바디시그널'!$AJ$5:$AJ$13))),SUMPRODUCT(MAX(('2_개행동'!$AD$5:$AD$28="EDU")*('2_개행동'!$AJ$5:$AJ$28&gt;=1)*(3-'2_개행동'!$AJ$5:$AJ$28))),SUMPRODUCT(MAX(('3_보호자행동'!$AD$5:$AD$15="EDU")*('3_보호자행동'!$AJ$5:$AJ$15&gt;=1)*(3-'3_보호자행동'!$AJ$5:$AJ$15))))))</f>
        <v/>
      </c>
      <c r="F11" s="39">
        <f>IF((COUNTIFS('1_바디시그널'!$AD$5:$AD$13,"EDU",'1_바디시그널'!$AY$5:$AY$13,"ONE",'1_바디시그널'!$AJ$5:$AJ$13,"&gt;=1")+COUNTIFS('2_개행동'!$AD$5:$AD$28,"EDU",'2_개행동'!$AY$5:$AY$28,"ONE",'2_개행동'!$AJ$5:$AJ$28,"&gt;=1")+COUNTIFS('3_보호자행동'!$AD$5:$AD$15,"EDU",'3_보호자행동'!$AY$5:$AY$15,"ONE",'3_보호자행동'!$AJ$5:$AJ$15,"&gt;=1"))=0,"",ROUND((SUMIFS('1_바디시그널'!$AJ$5:$AJ$13,'1_바디시그널'!$AD$5:$AD$13,"EDU",'1_바디시그널'!$AY$5:$AY$13,"ONE",'1_바디시그널'!$AJ$5:$AJ$13,"&gt;=1")+SUMIFS('2_개행동'!$AJ$5:$AJ$28,'2_개행동'!$AD$5:$AD$28,"EDU",'2_개행동'!$AY$5:$AY$28,"ONE",'2_개행동'!$AJ$5:$AJ$28,"&gt;=1")+SUMIFS('3_보호자행동'!$AJ$5:$AJ$15,'3_보호자행동'!$AD$5:$AD$15,"EDU",'3_보호자행동'!$AY$5:$AY$15,"ONE",'3_보호자행동'!$AJ$5:$AJ$15,"&gt;=1"))/(COUNTIFS('1_바디시그널'!$AD$5:$AD$13,"EDU",'1_바디시그널'!$AY$5:$AY$13,"ONE",'1_바디시그널'!$AJ$5:$AJ$13,"&gt;=1")+COUNTIFS('2_개행동'!$AD$5:$AD$28,"EDU",'2_개행동'!$AY$5:$AY$28,"ONE",'2_개행동'!$AJ$5:$AJ$28,"&gt;=1")+COUNTIFS('3_보호자행동'!$AD$5:$AD$15,"EDU",'3_보호자행동'!$AY$5:$AY$15,"ONE",'3_보호자행동'!$AJ$5:$AJ$15,"&gt;=1")),2))</f>
        <v/>
      </c>
      <c r="G11" s="48">
        <f>IF((COUNTIFS('1_바디시그널'!$AD$5:$AD$13,"SOC_E",'1_바디시그널'!$AY$5:$AY$13,"BI",'1_바디시그널'!$AJ$5:$AJ$13,"&gt;=1")+COUNTIFS('2_개행동'!$AD$5:$AD$28,"SOC_E",'2_개행동'!$AY$5:$AY$28,"BI",'2_개행동'!$AJ$5:$AJ$28,"&gt;=1")+COUNTIFS('3_보호자행동'!$AD$5:$AD$15,"SOC_E",'3_보호자행동'!$AY$5:$AY$15,"BI",'3_보호자행동'!$AJ$5:$AJ$15,"&gt;=1"))=0,"",ROUND((SUMIFS('1_바디시그널'!$AJ$5:$AJ$13,'1_바디시그널'!$AD$5:$AD$13,"SOC_E",'1_바디시그널'!$AY$5:$AY$13,"BI",'1_바디시그널'!$AJ$5:$AJ$13,"&gt;=1")+SUMIFS('2_개행동'!$AJ$5:$AJ$28,'2_개행동'!$AD$5:$AD$28,"SOC_E",'2_개행동'!$AY$5:$AY$28,"BI",'2_개행동'!$AJ$5:$AJ$28,"&gt;=1")+SUMIFS('3_보호자행동'!$AJ$5:$AJ$15,'3_보호자행동'!$AD$5:$AD$15,"SOC_E",'3_보호자행동'!$AY$5:$AY$15,"BI",'3_보호자행동'!$AJ$5:$AJ$15,"&gt;=1"))/(COUNTIFS('1_바디시그널'!$AD$5:$AD$13,"SOC_E",'1_바디시그널'!$AY$5:$AY$13,"BI",'1_바디시그널'!$AJ$5:$AJ$13,"&gt;=1")+COUNTIFS('2_개행동'!$AD$5:$AD$28,"SOC_E",'2_개행동'!$AY$5:$AY$28,"BI",'2_개행동'!$AJ$5:$AJ$28,"&gt;=1")+COUNTIFS('3_보호자행동'!$AD$5:$AD$15,"SOC_E",'3_보호자행동'!$AY$5:$AY$15,"BI",'3_보호자행동'!$AJ$5:$AJ$15,"&gt;=1"))-3,2))</f>
        <v/>
      </c>
      <c r="H11" s="39">
        <f>IF((COUNTIFS('1_바디시그널'!$AD$5:$AD$13,"SOC_E",'1_바디시그널'!$AJ$5:$AJ$13,"&gt;=1")+COUNTIFS('2_개행동'!$AD$5:$AD$28,"SOC_E",'2_개행동'!$AJ$5:$AJ$28,"&gt;=1")+COUNTIFS('3_보호자행동'!$AD$5:$AD$15,"SOC_E",'3_보호자행동'!$AJ$5:$AJ$15,"&gt;=1"))=0,"",MAX(MAX(SUMPRODUCT(MAX(('1_바디시그널'!$AD$5:$AD$13="SOC_E")*('1_바디시그널'!$AJ$5:$AJ$13-3))),SUMPRODUCT(MAX(('2_개행동'!$AD$5:$AD$28="SOC_E")*('2_개행동'!$AJ$5:$AJ$28-3))),SUMPRODUCT(MAX(('3_보호자행동'!$AD$5:$AD$15="SOC_E")*('3_보호자행동'!$AJ$5:$AJ$15-3)))),MAX(SUMPRODUCT(MAX(('1_바디시그널'!$AD$5:$AD$13="SOC_E")*('1_바디시그널'!$AJ$5:$AJ$13&gt;=1)*(3-'1_바디시그널'!$AJ$5:$AJ$13))),SUMPRODUCT(MAX(('2_개행동'!$AD$5:$AD$28="SOC_E")*('2_개행동'!$AJ$5:$AJ$28&gt;=1)*(3-'2_개행동'!$AJ$5:$AJ$28))),SUMPRODUCT(MAX(('3_보호자행동'!$AD$5:$AD$15="SOC_E")*('3_보호자행동'!$AJ$5:$AJ$15&gt;=1)*(3-'3_보호자행동'!$AJ$5:$AJ$15))))))</f>
        <v/>
      </c>
      <c r="I11" s="39">
        <f>IF((COUNTIFS('1_바디시그널'!$AD$5:$AD$13,"SOC_E",'1_바디시그널'!$AY$5:$AY$13,"ONE",'1_바디시그널'!$AJ$5:$AJ$13,"&gt;=1")+COUNTIFS('2_개행동'!$AD$5:$AD$28,"SOC_E",'2_개행동'!$AY$5:$AY$28,"ONE",'2_개행동'!$AJ$5:$AJ$28,"&gt;=1")+COUNTIFS('3_보호자행동'!$AD$5:$AD$15,"SOC_E",'3_보호자행동'!$AY$5:$AY$15,"ONE",'3_보호자행동'!$AJ$5:$AJ$15,"&gt;=1"))=0,"",ROUND((SUMIFS('1_바디시그널'!$AJ$5:$AJ$13,'1_바디시그널'!$AD$5:$AD$13,"SOC_E",'1_바디시그널'!$AY$5:$AY$13,"ONE",'1_바디시그널'!$AJ$5:$AJ$13,"&gt;=1")+SUMIFS('2_개행동'!$AJ$5:$AJ$28,'2_개행동'!$AD$5:$AD$28,"SOC_E",'2_개행동'!$AY$5:$AY$28,"ONE",'2_개행동'!$AJ$5:$AJ$28,"&gt;=1")+SUMIFS('3_보호자행동'!$AJ$5:$AJ$15,'3_보호자행동'!$AD$5:$AD$15,"SOC_E",'3_보호자행동'!$AY$5:$AY$15,"ONE",'3_보호자행동'!$AJ$5:$AJ$15,"&gt;=1"))/(COUNTIFS('1_바디시그널'!$AD$5:$AD$13,"SOC_E",'1_바디시그널'!$AY$5:$AY$13,"ONE",'1_바디시그널'!$AJ$5:$AJ$13,"&gt;=1")+COUNTIFS('2_개행동'!$AD$5:$AD$28,"SOC_E",'2_개행동'!$AY$5:$AY$28,"ONE",'2_개행동'!$AJ$5:$AJ$28,"&gt;=1")+COUNTIFS('3_보호자행동'!$AD$5:$AD$15,"SOC_E",'3_보호자행동'!$AY$5:$AY$15,"ONE",'3_보호자행동'!$AJ$5:$AJ$15,"&gt;=1")),2))</f>
        <v/>
      </c>
      <c r="J11" s="39">
        <f>IF(OR('2_개행동'!$O$13="",'2_개행동'!$O$14=""),"",IF('2_개행동'!$O$13&gt;=3,IF(ABS('2_개행동'!$O$14-3)&lt;=1,"편안·우호","우호·들뜸"),IF(ABS('2_개행동'!$O$14-3)&lt;=1,"담담·거리둠","경계·긴장")))</f>
        <v/>
      </c>
      <c r="K11" s="39">
        <f>IF((COUNTIFS('1_바디시그널'!$AD$5:$AD$13,"SOC_H",'1_바디시그널'!$AJ$5:$AJ$13,"&gt;=1")+COUNTIFS('2_개행동'!$AD$5:$AD$28,"SOC_H",'2_개행동'!$AJ$5:$AJ$28,"&gt;=1")+COUNTIFS('3_보호자행동'!$AD$5:$AD$15,"SOC_H",'3_보호자행동'!$AJ$5:$AJ$15,"&gt;=1"))=0,"",MAX(MAX(SUMPRODUCT(MAX(('1_바디시그널'!$AD$5:$AD$13="SOC_H")*('1_바디시그널'!$AJ$5:$AJ$13-3))),SUMPRODUCT(MAX(('2_개행동'!$AD$5:$AD$28="SOC_H")*('2_개행동'!$AJ$5:$AJ$28-3))),SUMPRODUCT(MAX(('3_보호자행동'!$AD$5:$AD$15="SOC_H")*('3_보호자행동'!$AJ$5:$AJ$15-3)))),MAX(SUMPRODUCT(MAX(('1_바디시그널'!$AD$5:$AD$13="SOC_H")*('1_바디시그널'!$AJ$5:$AJ$13&gt;=1)*(3-'1_바디시그널'!$AJ$5:$AJ$13))),SUMPRODUCT(MAX(('2_개행동'!$AD$5:$AD$28="SOC_H")*('2_개행동'!$AJ$5:$AJ$28&gt;=1)*(3-'2_개행동'!$AJ$5:$AJ$28))),SUMPRODUCT(MAX(('3_보호자행동'!$AD$5:$AD$15="SOC_H")*('3_보호자행동'!$AJ$5:$AJ$15&gt;=1)*(3-'3_보호자행동'!$AJ$5:$AJ$15))))))</f>
        <v/>
      </c>
      <c r="L11" s="39">
        <f>IF((COUNTIFS('1_바디시그널'!$AD$5:$AD$13,"SOC_H",'1_바디시그널'!$AY$5:$AY$13,"ONE",'1_바디시그널'!$AJ$5:$AJ$13,"&gt;=1")+COUNTIFS('2_개행동'!$AD$5:$AD$28,"SOC_H",'2_개행동'!$AY$5:$AY$28,"ONE",'2_개행동'!$AJ$5:$AJ$28,"&gt;=1")+COUNTIFS('3_보호자행동'!$AD$5:$AD$15,"SOC_H",'3_보호자행동'!$AY$5:$AY$15,"ONE",'3_보호자행동'!$AJ$5:$AJ$15,"&gt;=1"))=0,"",ROUND((SUMIFS('1_바디시그널'!$AJ$5:$AJ$13,'1_바디시그널'!$AD$5:$AD$13,"SOC_H",'1_바디시그널'!$AY$5:$AY$13,"ONE",'1_바디시그널'!$AJ$5:$AJ$13,"&gt;=1")+SUMIFS('2_개행동'!$AJ$5:$AJ$28,'2_개행동'!$AD$5:$AD$28,"SOC_H",'2_개행동'!$AY$5:$AY$28,"ONE",'2_개행동'!$AJ$5:$AJ$28,"&gt;=1")+SUMIFS('3_보호자행동'!$AJ$5:$AJ$15,'3_보호자행동'!$AD$5:$AD$15,"SOC_H",'3_보호자행동'!$AY$5:$AY$15,"ONE",'3_보호자행동'!$AJ$5:$AJ$15,"&gt;=1"))/(COUNTIFS('1_바디시그널'!$AD$5:$AD$13,"SOC_H",'1_바디시그널'!$AY$5:$AY$13,"ONE",'1_바디시그널'!$AJ$5:$AJ$13,"&gt;=1")+COUNTIFS('2_개행동'!$AD$5:$AD$28,"SOC_H",'2_개행동'!$AY$5:$AY$28,"ONE",'2_개행동'!$AJ$5:$AJ$28,"&gt;=1")+COUNTIFS('3_보호자행동'!$AD$5:$AD$15,"SOC_H",'3_보호자행동'!$AY$5:$AY$15,"ONE",'3_보호자행동'!$AJ$5:$AJ$15,"&gt;=1")),2))</f>
        <v/>
      </c>
      <c r="M11" s="39">
        <f>IF(OR('2_개행동'!$O$21="",'2_개행동'!$O$9="",'2_개행동'!$O$16="",'2_개행동'!$O$17=""),"",IF(N('2_개행동'!$O$20)&gt;=1,"일관되지 않음",IF(AVERAGE('2_개행동'!$O$21,'2_개행동'!$O$9,'2_개행동'!$O$16,'2_개행동'!$O$18)&lt;=3.5,IF(ABS('2_개행동'!$O$17-3)&lt;=1,"안정","불안"),IF(ABS('2_개행동'!$O$17-3)&lt;=1,"거리 둠","일관되지 않음"))))</f>
        <v/>
      </c>
      <c r="N11" s="39">
        <f>IF((COUNTIFS('1_바디시그널'!$AD$5:$AD$13,"ATT",'1_바디시그널'!$AJ$5:$AJ$13,"&gt;=1")+COUNTIFS('2_개행동'!$AD$5:$AD$28,"ATT",'2_개행동'!$AJ$5:$AJ$28,"&gt;=1")+COUNTIFS('3_보호자행동'!$AD$5:$AD$15,"ATT",'3_보호자행동'!$AJ$5:$AJ$15,"&gt;=1"))=0,"",MAX(MAX(SUMPRODUCT(MAX(('1_바디시그널'!$AD$5:$AD$13="ATT")*('1_바디시그널'!$AJ$5:$AJ$13-3))),SUMPRODUCT(MAX(('2_개행동'!$AD$5:$AD$28="ATT")*('2_개행동'!$AJ$5:$AJ$28-3))),SUMPRODUCT(MAX(('3_보호자행동'!$AD$5:$AD$15="ATT")*('3_보호자행동'!$AJ$5:$AJ$15-3)))),MAX(SUMPRODUCT(MAX(('1_바디시그널'!$AD$5:$AD$13="ATT")*('1_바디시그널'!$AJ$5:$AJ$13&gt;=1)*(3-'1_바디시그널'!$AJ$5:$AJ$13))),SUMPRODUCT(MAX(('2_개행동'!$AD$5:$AD$28="ATT")*('2_개행동'!$AJ$5:$AJ$28&gt;=1)*(3-'2_개행동'!$AJ$5:$AJ$28))),SUMPRODUCT(MAX(('3_보호자행동'!$AD$5:$AD$15="ATT")*('3_보호자행동'!$AJ$5:$AJ$15&gt;=1)*(3-'3_보호자행동'!$AJ$5:$AJ$15))))))</f>
        <v/>
      </c>
      <c r="O11" s="39">
        <f>IF((COUNTIFS('1_바디시그널'!$AD$5:$AD$13,"ATT",'1_바디시그널'!$AY$5:$AY$13,"ONE",'1_바디시그널'!$AJ$5:$AJ$13,"&gt;=1")+COUNTIFS('2_개행동'!$AD$5:$AD$28,"ATT",'2_개행동'!$AY$5:$AY$28,"ONE",'2_개행동'!$AJ$5:$AJ$28,"&gt;=1")+COUNTIFS('3_보호자행동'!$AD$5:$AD$15,"ATT",'3_보호자행동'!$AY$5:$AY$15,"ONE",'3_보호자행동'!$AJ$5:$AJ$15,"&gt;=1"))=0,"",ROUND((SUMIFS('1_바디시그널'!$AJ$5:$AJ$13,'1_바디시그널'!$AD$5:$AD$13,"ATT",'1_바디시그널'!$AY$5:$AY$13,"ONE",'1_바디시그널'!$AJ$5:$AJ$13,"&gt;=1")+SUMIFS('2_개행동'!$AJ$5:$AJ$28,'2_개행동'!$AD$5:$AD$28,"ATT",'2_개행동'!$AY$5:$AY$28,"ONE",'2_개행동'!$AJ$5:$AJ$28,"&gt;=1")+SUMIFS('3_보호자행동'!$AJ$5:$AJ$15,'3_보호자행동'!$AD$5:$AD$15,"ATT",'3_보호자행동'!$AY$5:$AY$15,"ONE",'3_보호자행동'!$AJ$5:$AJ$15,"&gt;=1"))/(COUNTIFS('1_바디시그널'!$AD$5:$AD$13,"ATT",'1_바디시그널'!$AY$5:$AY$13,"ONE",'1_바디시그널'!$AJ$5:$AJ$13,"&gt;=1")+COUNTIFS('2_개행동'!$AD$5:$AD$28,"ATT",'2_개행동'!$AY$5:$AY$28,"ONE",'2_개행동'!$AJ$5:$AJ$28,"&gt;=1")+COUNTIFS('3_보호자행동'!$AD$5:$AD$15,"ATT",'3_보호자행동'!$AY$5:$AY$15,"ONE",'3_보호자행동'!$AJ$5:$AJ$15,"&gt;=1")),2))</f>
        <v/>
      </c>
      <c r="P11" s="48">
        <f>IF((COUNTIFS('1_바디시그널'!$AD$5:$AD$13,"SYN",'1_바디시그널'!$AY$5:$AY$13,"BI",'1_바디시그널'!$AJ$5:$AJ$13,"&gt;=1")+COUNTIFS('2_개행동'!$AD$5:$AD$28,"SYN",'2_개행동'!$AY$5:$AY$28,"BI",'2_개행동'!$AJ$5:$AJ$28,"&gt;=1")+COUNTIFS('3_보호자행동'!$AD$5:$AD$15,"SYN",'3_보호자행동'!$AY$5:$AY$15,"BI",'3_보호자행동'!$AJ$5:$AJ$15,"&gt;=1"))=0,"",ROUND((SUMIFS('1_바디시그널'!$AJ$5:$AJ$13,'1_바디시그널'!$AD$5:$AD$13,"SYN",'1_바디시그널'!$AY$5:$AY$13,"BI",'1_바디시그널'!$AJ$5:$AJ$13,"&gt;=1")+SUMIFS('2_개행동'!$AJ$5:$AJ$28,'2_개행동'!$AD$5:$AD$28,"SYN",'2_개행동'!$AY$5:$AY$28,"BI",'2_개행동'!$AJ$5:$AJ$28,"&gt;=1")+SUMIFS('3_보호자행동'!$AJ$5:$AJ$15,'3_보호자행동'!$AD$5:$AD$15,"SYN",'3_보호자행동'!$AY$5:$AY$15,"BI",'3_보호자행동'!$AJ$5:$AJ$15,"&gt;=1"))/(COUNTIFS('1_바디시그널'!$AD$5:$AD$13,"SYN",'1_바디시그널'!$AY$5:$AY$13,"BI",'1_바디시그널'!$AJ$5:$AJ$13,"&gt;=1")+COUNTIFS('2_개행동'!$AD$5:$AD$28,"SYN",'2_개행동'!$AY$5:$AY$28,"BI",'2_개행동'!$AJ$5:$AJ$28,"&gt;=1")+COUNTIFS('3_보호자행동'!$AD$5:$AD$15,"SYN",'3_보호자행동'!$AY$5:$AY$15,"BI",'3_보호자행동'!$AJ$5:$AJ$15,"&gt;=1"))-3,2))</f>
        <v/>
      </c>
      <c r="Q11" s="39">
        <f>IF((COUNTIFS('1_바디시그널'!$AD$5:$AD$13,"SYN",'1_바디시그널'!$AJ$5:$AJ$13,"&gt;=1")+COUNTIFS('2_개행동'!$AD$5:$AD$28,"SYN",'2_개행동'!$AJ$5:$AJ$28,"&gt;=1")+COUNTIFS('3_보호자행동'!$AD$5:$AD$15,"SYN",'3_보호자행동'!$AJ$5:$AJ$15,"&gt;=1"))=0,"",MAX(MAX(SUMPRODUCT(MAX(('1_바디시그널'!$AD$5:$AD$13="SYN")*('1_바디시그널'!$AJ$5:$AJ$13-3))),SUMPRODUCT(MAX(('2_개행동'!$AD$5:$AD$28="SYN")*('2_개행동'!$AJ$5:$AJ$28-3))),SUMPRODUCT(MAX(('3_보호자행동'!$AD$5:$AD$15="SYN")*('3_보호자행동'!$AJ$5:$AJ$15-3)))),MAX(SUMPRODUCT(MAX(('1_바디시그널'!$AD$5:$AD$13="SYN")*('1_바디시그널'!$AJ$5:$AJ$13&gt;=1)*(3-'1_바디시그널'!$AJ$5:$AJ$13))),SUMPRODUCT(MAX(('2_개행동'!$AD$5:$AD$28="SYN")*('2_개행동'!$AJ$5:$AJ$28&gt;=1)*(3-'2_개행동'!$AJ$5:$AJ$28))),SUMPRODUCT(MAX(('3_보호자행동'!$AD$5:$AD$15="SYN")*('3_보호자행동'!$AJ$5:$AJ$15&gt;=1)*(3-'3_보호자행동'!$AJ$5:$AJ$15))))))</f>
        <v/>
      </c>
      <c r="R11" s="39">
        <f>IF((COUNTIFS('1_바디시그널'!$AD$5:$AD$13,"SYN",'1_바디시그널'!$AY$5:$AY$13,"ONE",'1_바디시그널'!$AJ$5:$AJ$13,"&gt;=1")+COUNTIFS('2_개행동'!$AD$5:$AD$28,"SYN",'2_개행동'!$AY$5:$AY$28,"ONE",'2_개행동'!$AJ$5:$AJ$28,"&gt;=1")+COUNTIFS('3_보호자행동'!$AD$5:$AD$15,"SYN",'3_보호자행동'!$AY$5:$AY$15,"ONE",'3_보호자행동'!$AJ$5:$AJ$15,"&gt;=1"))=0,"",ROUND((SUMIFS('1_바디시그널'!$AJ$5:$AJ$13,'1_바디시그널'!$AD$5:$AD$13,"SYN",'1_바디시그널'!$AY$5:$AY$13,"ONE",'1_바디시그널'!$AJ$5:$AJ$13,"&gt;=1")+SUMIFS('2_개행동'!$AJ$5:$AJ$28,'2_개행동'!$AD$5:$AD$28,"SYN",'2_개행동'!$AY$5:$AY$28,"ONE",'2_개행동'!$AJ$5:$AJ$28,"&gt;=1")+SUMIFS('3_보호자행동'!$AJ$5:$AJ$15,'3_보호자행동'!$AD$5:$AD$15,"SYN",'3_보호자행동'!$AY$5:$AY$15,"ONE",'3_보호자행동'!$AJ$5:$AJ$15,"&gt;=1"))/(COUNTIFS('1_바디시그널'!$AD$5:$AD$13,"SYN",'1_바디시그널'!$AY$5:$AY$13,"ONE",'1_바디시그널'!$AJ$5:$AJ$13,"&gt;=1")+COUNTIFS('2_개행동'!$AD$5:$AD$28,"SYN",'2_개행동'!$AY$5:$AY$28,"ONE",'2_개행동'!$AJ$5:$AJ$28,"&gt;=1")+COUNTIFS('3_보호자행동'!$AD$5:$AD$15,"SYN",'3_보호자행동'!$AY$5:$AY$15,"ONE",'3_보호자행동'!$AJ$5:$AJ$15,"&gt;=1")),2))</f>
        <v/>
      </c>
      <c r="S11" s="48">
        <f>IF((COUNTIFS('1_바디시그널'!$AD$5:$AD$13,"EXIT",'1_바디시그널'!$AY$5:$AY$13,"BI",'1_바디시그널'!$AJ$5:$AJ$13,"&gt;=1")+COUNTIFS('2_개행동'!$AD$5:$AD$28,"EXIT",'2_개행동'!$AY$5:$AY$28,"BI",'2_개행동'!$AJ$5:$AJ$28,"&gt;=1")+COUNTIFS('3_보호자행동'!$AD$5:$AD$15,"EXIT",'3_보호자행동'!$AY$5:$AY$15,"BI",'3_보호자행동'!$AJ$5:$AJ$15,"&gt;=1"))=0,"",ROUND((SUMIFS('1_바디시그널'!$AJ$5:$AJ$13,'1_바디시그널'!$AD$5:$AD$13,"EXIT",'1_바디시그널'!$AY$5:$AY$13,"BI",'1_바디시그널'!$AJ$5:$AJ$13,"&gt;=1")+SUMIFS('2_개행동'!$AJ$5:$AJ$28,'2_개행동'!$AD$5:$AD$28,"EXIT",'2_개행동'!$AY$5:$AY$28,"BI",'2_개행동'!$AJ$5:$AJ$28,"&gt;=1")+SUMIFS('3_보호자행동'!$AJ$5:$AJ$15,'3_보호자행동'!$AD$5:$AD$15,"EXIT",'3_보호자행동'!$AY$5:$AY$15,"BI",'3_보호자행동'!$AJ$5:$AJ$15,"&gt;=1"))/(COUNTIFS('1_바디시그널'!$AD$5:$AD$13,"EXIT",'1_바디시그널'!$AY$5:$AY$13,"BI",'1_바디시그널'!$AJ$5:$AJ$13,"&gt;=1")+COUNTIFS('2_개행동'!$AD$5:$AD$28,"EXIT",'2_개행동'!$AY$5:$AY$28,"BI",'2_개행동'!$AJ$5:$AJ$28,"&gt;=1")+COUNTIFS('3_보호자행동'!$AD$5:$AD$15,"EXIT",'3_보호자행동'!$AY$5:$AY$15,"BI",'3_보호자행동'!$AJ$5:$AJ$15,"&gt;=1"))-3,2))</f>
        <v/>
      </c>
      <c r="T11" s="39">
        <f>IF((COUNTIFS('1_바디시그널'!$AD$5:$AD$13,"EXIT",'1_바디시그널'!$AJ$5:$AJ$13,"&gt;=1")+COUNTIFS('2_개행동'!$AD$5:$AD$28,"EXIT",'2_개행동'!$AJ$5:$AJ$28,"&gt;=1")+COUNTIFS('3_보호자행동'!$AD$5:$AD$15,"EXIT",'3_보호자행동'!$AJ$5:$AJ$15,"&gt;=1"))=0,"",MAX(MAX(SUMPRODUCT(MAX(('1_바디시그널'!$AD$5:$AD$13="EXIT")*('1_바디시그널'!$AJ$5:$AJ$13-3))),SUMPRODUCT(MAX(('2_개행동'!$AD$5:$AD$28="EXIT")*('2_개행동'!$AJ$5:$AJ$28-3))),SUMPRODUCT(MAX(('3_보호자행동'!$AD$5:$AD$15="EXIT")*('3_보호자행동'!$AJ$5:$AJ$15-3)))),MAX(SUMPRODUCT(MAX(('1_바디시그널'!$AD$5:$AD$13="EXIT")*('1_바디시그널'!$AJ$5:$AJ$13&gt;=1)*(3-'1_바디시그널'!$AJ$5:$AJ$13))),SUMPRODUCT(MAX(('2_개행동'!$AD$5:$AD$28="EXIT")*('2_개행동'!$AJ$5:$AJ$28&gt;=1)*(3-'2_개행동'!$AJ$5:$AJ$28))),SUMPRODUCT(MAX(('3_보호자행동'!$AD$5:$AD$15="EXIT")*('3_보호자행동'!$AJ$5:$AJ$15&gt;=1)*(3-'3_보호자행동'!$AJ$5:$AJ$15))))))</f>
        <v/>
      </c>
      <c r="U11" s="39">
        <f>IF((COUNTIFS('1_바디시그널'!$AD$5:$AD$13,"EXIT",'1_바디시그널'!$AY$5:$AY$13,"ONE",'1_바디시그널'!$AJ$5:$AJ$13,"&gt;=1")+COUNTIFS('2_개행동'!$AD$5:$AD$28,"EXIT",'2_개행동'!$AY$5:$AY$28,"ONE",'2_개행동'!$AJ$5:$AJ$28,"&gt;=1")+COUNTIFS('3_보호자행동'!$AD$5:$AD$15,"EXIT",'3_보호자행동'!$AY$5:$AY$15,"ONE",'3_보호자행동'!$AJ$5:$AJ$15,"&gt;=1"))=0,"",ROUND((SUMIFS('1_바디시그널'!$AJ$5:$AJ$13,'1_바디시그널'!$AD$5:$AD$13,"EXIT",'1_바디시그널'!$AY$5:$AY$13,"ONE",'1_바디시그널'!$AJ$5:$AJ$13,"&gt;=1")+SUMIFS('2_개행동'!$AJ$5:$AJ$28,'2_개행동'!$AD$5:$AD$28,"EXIT",'2_개행동'!$AY$5:$AY$28,"ONE",'2_개행동'!$AJ$5:$AJ$28,"&gt;=1")+SUMIFS('3_보호자행동'!$AJ$5:$AJ$15,'3_보호자행동'!$AD$5:$AD$15,"EXIT",'3_보호자행동'!$AY$5:$AY$15,"ONE",'3_보호자행동'!$AJ$5:$AJ$15,"&gt;=1"))/(COUNTIFS('1_바디시그널'!$AD$5:$AD$13,"EXIT",'1_바디시그널'!$AY$5:$AY$13,"ONE",'1_바디시그널'!$AJ$5:$AJ$13,"&gt;=1")+COUNTIFS('2_개행동'!$AD$5:$AD$28,"EXIT",'2_개행동'!$AY$5:$AY$28,"ONE",'2_개행동'!$AJ$5:$AJ$28,"&gt;=1")+COUNTIFS('3_보호자행동'!$AD$5:$AD$15,"EXIT",'3_보호자행동'!$AY$5:$AY$15,"ONE",'3_보호자행동'!$AJ$5:$AJ$15,"&gt;=1")),2))</f>
        <v/>
      </c>
      <c r="V11" s="49">
        <f>IF(OR('2_개행동'!$O$8="",'2_개행동'!$O$22=""),"",ABS('2_개행동'!$O$8-3)-ABS('2_개행동'!$O$22-3))</f>
        <v/>
      </c>
      <c r="W11" s="49">
        <f>IF(OR('2_개행동'!$O$10="",'2_개행동'!$O$17=""),"",ABS('2_개행동'!$O$10-3)-ABS('2_개행동'!$O$17-3))</f>
        <v/>
      </c>
      <c r="X11" s="49">
        <f>IF(OR('2_개행동'!$O$10="",'2_개행동'!$O$14=""),"",ABS('2_개행동'!$O$10-3)-ABS('2_개행동'!$O$14-3))</f>
        <v/>
      </c>
      <c r="Y11" s="39">
        <f>IF('2_개행동'!$O$8="","",'2_개행동'!$O$8)</f>
        <v/>
      </c>
      <c r="Z11" s="40">
        <f>IF('2_개행동'!$O$25="","",IF('3_보호자행동'!$O$13=3,"무효",'2_개행동'!$O$25/6))</f>
        <v/>
      </c>
      <c r="AA11" s="35" t="n"/>
    </row>
    <row r="12">
      <c r="A12" s="39" t="n">
        <v>7</v>
      </c>
      <c r="B12" s="39" t="n"/>
      <c r="C12" s="39" t="n"/>
      <c r="D12" s="48">
        <f>IF((COUNTIFS('1_바디시그널'!$AD$5:$AD$13,"EDU",'1_바디시그널'!$AY$5:$AY$13,"BI",'1_바디시그널'!$AK$5:$AK$13,"&gt;=1")+COUNTIFS('2_개행동'!$AD$5:$AD$28,"EDU",'2_개행동'!$AY$5:$AY$28,"BI",'2_개행동'!$AK$5:$AK$28,"&gt;=1")+COUNTIFS('3_보호자행동'!$AD$5:$AD$15,"EDU",'3_보호자행동'!$AY$5:$AY$15,"BI",'3_보호자행동'!$AK$5:$AK$15,"&gt;=1"))=0,"",ROUND((SUMIFS('1_바디시그널'!$AK$5:$AK$13,'1_바디시그널'!$AD$5:$AD$13,"EDU",'1_바디시그널'!$AY$5:$AY$13,"BI",'1_바디시그널'!$AK$5:$AK$13,"&gt;=1")+SUMIFS('2_개행동'!$AK$5:$AK$28,'2_개행동'!$AD$5:$AD$28,"EDU",'2_개행동'!$AY$5:$AY$28,"BI",'2_개행동'!$AK$5:$AK$28,"&gt;=1")+SUMIFS('3_보호자행동'!$AK$5:$AK$15,'3_보호자행동'!$AD$5:$AD$15,"EDU",'3_보호자행동'!$AY$5:$AY$15,"BI",'3_보호자행동'!$AK$5:$AK$15,"&gt;=1"))/(COUNTIFS('1_바디시그널'!$AD$5:$AD$13,"EDU",'1_바디시그널'!$AY$5:$AY$13,"BI",'1_바디시그널'!$AK$5:$AK$13,"&gt;=1")+COUNTIFS('2_개행동'!$AD$5:$AD$28,"EDU",'2_개행동'!$AY$5:$AY$28,"BI",'2_개행동'!$AK$5:$AK$28,"&gt;=1")+COUNTIFS('3_보호자행동'!$AD$5:$AD$15,"EDU",'3_보호자행동'!$AY$5:$AY$15,"BI",'3_보호자행동'!$AK$5:$AK$15,"&gt;=1"))-3,2))</f>
        <v/>
      </c>
      <c r="E12" s="39">
        <f>IF((COUNTIFS('1_바디시그널'!$AD$5:$AD$13,"EDU",'1_바디시그널'!$AK$5:$AK$13,"&gt;=1")+COUNTIFS('2_개행동'!$AD$5:$AD$28,"EDU",'2_개행동'!$AK$5:$AK$28,"&gt;=1")+COUNTIFS('3_보호자행동'!$AD$5:$AD$15,"EDU",'3_보호자행동'!$AK$5:$AK$15,"&gt;=1"))=0,"",MAX(MAX(SUMPRODUCT(MAX(('1_바디시그널'!$AD$5:$AD$13="EDU")*('1_바디시그널'!$AK$5:$AK$13-3))),SUMPRODUCT(MAX(('2_개행동'!$AD$5:$AD$28="EDU")*('2_개행동'!$AK$5:$AK$28-3))),SUMPRODUCT(MAX(('3_보호자행동'!$AD$5:$AD$15="EDU")*('3_보호자행동'!$AK$5:$AK$15-3)))),MAX(SUMPRODUCT(MAX(('1_바디시그널'!$AD$5:$AD$13="EDU")*('1_바디시그널'!$AK$5:$AK$13&gt;=1)*(3-'1_바디시그널'!$AK$5:$AK$13))),SUMPRODUCT(MAX(('2_개행동'!$AD$5:$AD$28="EDU")*('2_개행동'!$AK$5:$AK$28&gt;=1)*(3-'2_개행동'!$AK$5:$AK$28))),SUMPRODUCT(MAX(('3_보호자행동'!$AD$5:$AD$15="EDU")*('3_보호자행동'!$AK$5:$AK$15&gt;=1)*(3-'3_보호자행동'!$AK$5:$AK$15))))))</f>
        <v/>
      </c>
      <c r="F12" s="39">
        <f>IF((COUNTIFS('1_바디시그널'!$AD$5:$AD$13,"EDU",'1_바디시그널'!$AY$5:$AY$13,"ONE",'1_바디시그널'!$AK$5:$AK$13,"&gt;=1")+COUNTIFS('2_개행동'!$AD$5:$AD$28,"EDU",'2_개행동'!$AY$5:$AY$28,"ONE",'2_개행동'!$AK$5:$AK$28,"&gt;=1")+COUNTIFS('3_보호자행동'!$AD$5:$AD$15,"EDU",'3_보호자행동'!$AY$5:$AY$15,"ONE",'3_보호자행동'!$AK$5:$AK$15,"&gt;=1"))=0,"",ROUND((SUMIFS('1_바디시그널'!$AK$5:$AK$13,'1_바디시그널'!$AD$5:$AD$13,"EDU",'1_바디시그널'!$AY$5:$AY$13,"ONE",'1_바디시그널'!$AK$5:$AK$13,"&gt;=1")+SUMIFS('2_개행동'!$AK$5:$AK$28,'2_개행동'!$AD$5:$AD$28,"EDU",'2_개행동'!$AY$5:$AY$28,"ONE",'2_개행동'!$AK$5:$AK$28,"&gt;=1")+SUMIFS('3_보호자행동'!$AK$5:$AK$15,'3_보호자행동'!$AD$5:$AD$15,"EDU",'3_보호자행동'!$AY$5:$AY$15,"ONE",'3_보호자행동'!$AK$5:$AK$15,"&gt;=1"))/(COUNTIFS('1_바디시그널'!$AD$5:$AD$13,"EDU",'1_바디시그널'!$AY$5:$AY$13,"ONE",'1_바디시그널'!$AK$5:$AK$13,"&gt;=1")+COUNTIFS('2_개행동'!$AD$5:$AD$28,"EDU",'2_개행동'!$AY$5:$AY$28,"ONE",'2_개행동'!$AK$5:$AK$28,"&gt;=1")+COUNTIFS('3_보호자행동'!$AD$5:$AD$15,"EDU",'3_보호자행동'!$AY$5:$AY$15,"ONE",'3_보호자행동'!$AK$5:$AK$15,"&gt;=1")),2))</f>
        <v/>
      </c>
      <c r="G12" s="48">
        <f>IF((COUNTIFS('1_바디시그널'!$AD$5:$AD$13,"SOC_E",'1_바디시그널'!$AY$5:$AY$13,"BI",'1_바디시그널'!$AK$5:$AK$13,"&gt;=1")+COUNTIFS('2_개행동'!$AD$5:$AD$28,"SOC_E",'2_개행동'!$AY$5:$AY$28,"BI",'2_개행동'!$AK$5:$AK$28,"&gt;=1")+COUNTIFS('3_보호자행동'!$AD$5:$AD$15,"SOC_E",'3_보호자행동'!$AY$5:$AY$15,"BI",'3_보호자행동'!$AK$5:$AK$15,"&gt;=1"))=0,"",ROUND((SUMIFS('1_바디시그널'!$AK$5:$AK$13,'1_바디시그널'!$AD$5:$AD$13,"SOC_E",'1_바디시그널'!$AY$5:$AY$13,"BI",'1_바디시그널'!$AK$5:$AK$13,"&gt;=1")+SUMIFS('2_개행동'!$AK$5:$AK$28,'2_개행동'!$AD$5:$AD$28,"SOC_E",'2_개행동'!$AY$5:$AY$28,"BI",'2_개행동'!$AK$5:$AK$28,"&gt;=1")+SUMIFS('3_보호자행동'!$AK$5:$AK$15,'3_보호자행동'!$AD$5:$AD$15,"SOC_E",'3_보호자행동'!$AY$5:$AY$15,"BI",'3_보호자행동'!$AK$5:$AK$15,"&gt;=1"))/(COUNTIFS('1_바디시그널'!$AD$5:$AD$13,"SOC_E",'1_바디시그널'!$AY$5:$AY$13,"BI",'1_바디시그널'!$AK$5:$AK$13,"&gt;=1")+COUNTIFS('2_개행동'!$AD$5:$AD$28,"SOC_E",'2_개행동'!$AY$5:$AY$28,"BI",'2_개행동'!$AK$5:$AK$28,"&gt;=1")+COUNTIFS('3_보호자행동'!$AD$5:$AD$15,"SOC_E",'3_보호자행동'!$AY$5:$AY$15,"BI",'3_보호자행동'!$AK$5:$AK$15,"&gt;=1"))-3,2))</f>
        <v/>
      </c>
      <c r="H12" s="39">
        <f>IF((COUNTIFS('1_바디시그널'!$AD$5:$AD$13,"SOC_E",'1_바디시그널'!$AK$5:$AK$13,"&gt;=1")+COUNTIFS('2_개행동'!$AD$5:$AD$28,"SOC_E",'2_개행동'!$AK$5:$AK$28,"&gt;=1")+COUNTIFS('3_보호자행동'!$AD$5:$AD$15,"SOC_E",'3_보호자행동'!$AK$5:$AK$15,"&gt;=1"))=0,"",MAX(MAX(SUMPRODUCT(MAX(('1_바디시그널'!$AD$5:$AD$13="SOC_E")*('1_바디시그널'!$AK$5:$AK$13-3))),SUMPRODUCT(MAX(('2_개행동'!$AD$5:$AD$28="SOC_E")*('2_개행동'!$AK$5:$AK$28-3))),SUMPRODUCT(MAX(('3_보호자행동'!$AD$5:$AD$15="SOC_E")*('3_보호자행동'!$AK$5:$AK$15-3)))),MAX(SUMPRODUCT(MAX(('1_바디시그널'!$AD$5:$AD$13="SOC_E")*('1_바디시그널'!$AK$5:$AK$13&gt;=1)*(3-'1_바디시그널'!$AK$5:$AK$13))),SUMPRODUCT(MAX(('2_개행동'!$AD$5:$AD$28="SOC_E")*('2_개행동'!$AK$5:$AK$28&gt;=1)*(3-'2_개행동'!$AK$5:$AK$28))),SUMPRODUCT(MAX(('3_보호자행동'!$AD$5:$AD$15="SOC_E")*('3_보호자행동'!$AK$5:$AK$15&gt;=1)*(3-'3_보호자행동'!$AK$5:$AK$15))))))</f>
        <v/>
      </c>
      <c r="I12" s="39">
        <f>IF((COUNTIFS('1_바디시그널'!$AD$5:$AD$13,"SOC_E",'1_바디시그널'!$AY$5:$AY$13,"ONE",'1_바디시그널'!$AK$5:$AK$13,"&gt;=1")+COUNTIFS('2_개행동'!$AD$5:$AD$28,"SOC_E",'2_개행동'!$AY$5:$AY$28,"ONE",'2_개행동'!$AK$5:$AK$28,"&gt;=1")+COUNTIFS('3_보호자행동'!$AD$5:$AD$15,"SOC_E",'3_보호자행동'!$AY$5:$AY$15,"ONE",'3_보호자행동'!$AK$5:$AK$15,"&gt;=1"))=0,"",ROUND((SUMIFS('1_바디시그널'!$AK$5:$AK$13,'1_바디시그널'!$AD$5:$AD$13,"SOC_E",'1_바디시그널'!$AY$5:$AY$13,"ONE",'1_바디시그널'!$AK$5:$AK$13,"&gt;=1")+SUMIFS('2_개행동'!$AK$5:$AK$28,'2_개행동'!$AD$5:$AD$28,"SOC_E",'2_개행동'!$AY$5:$AY$28,"ONE",'2_개행동'!$AK$5:$AK$28,"&gt;=1")+SUMIFS('3_보호자행동'!$AK$5:$AK$15,'3_보호자행동'!$AD$5:$AD$15,"SOC_E",'3_보호자행동'!$AY$5:$AY$15,"ONE",'3_보호자행동'!$AK$5:$AK$15,"&gt;=1"))/(COUNTIFS('1_바디시그널'!$AD$5:$AD$13,"SOC_E",'1_바디시그널'!$AY$5:$AY$13,"ONE",'1_바디시그널'!$AK$5:$AK$13,"&gt;=1")+COUNTIFS('2_개행동'!$AD$5:$AD$28,"SOC_E",'2_개행동'!$AY$5:$AY$28,"ONE",'2_개행동'!$AK$5:$AK$28,"&gt;=1")+COUNTIFS('3_보호자행동'!$AD$5:$AD$15,"SOC_E",'3_보호자행동'!$AY$5:$AY$15,"ONE",'3_보호자행동'!$AK$5:$AK$15,"&gt;=1")),2))</f>
        <v/>
      </c>
      <c r="J12" s="39">
        <f>IF(OR('2_개행동'!$P$13="",'2_개행동'!$P$14=""),"",IF('2_개행동'!$P$13&gt;=3,IF(ABS('2_개행동'!$P$14-3)&lt;=1,"편안·우호","우호·들뜸"),IF(ABS('2_개행동'!$P$14-3)&lt;=1,"담담·거리둠","경계·긴장")))</f>
        <v/>
      </c>
      <c r="K12" s="39">
        <f>IF((COUNTIFS('1_바디시그널'!$AD$5:$AD$13,"SOC_H",'1_바디시그널'!$AK$5:$AK$13,"&gt;=1")+COUNTIFS('2_개행동'!$AD$5:$AD$28,"SOC_H",'2_개행동'!$AK$5:$AK$28,"&gt;=1")+COUNTIFS('3_보호자행동'!$AD$5:$AD$15,"SOC_H",'3_보호자행동'!$AK$5:$AK$15,"&gt;=1"))=0,"",MAX(MAX(SUMPRODUCT(MAX(('1_바디시그널'!$AD$5:$AD$13="SOC_H")*('1_바디시그널'!$AK$5:$AK$13-3))),SUMPRODUCT(MAX(('2_개행동'!$AD$5:$AD$28="SOC_H")*('2_개행동'!$AK$5:$AK$28-3))),SUMPRODUCT(MAX(('3_보호자행동'!$AD$5:$AD$15="SOC_H")*('3_보호자행동'!$AK$5:$AK$15-3)))),MAX(SUMPRODUCT(MAX(('1_바디시그널'!$AD$5:$AD$13="SOC_H")*('1_바디시그널'!$AK$5:$AK$13&gt;=1)*(3-'1_바디시그널'!$AK$5:$AK$13))),SUMPRODUCT(MAX(('2_개행동'!$AD$5:$AD$28="SOC_H")*('2_개행동'!$AK$5:$AK$28&gt;=1)*(3-'2_개행동'!$AK$5:$AK$28))),SUMPRODUCT(MAX(('3_보호자행동'!$AD$5:$AD$15="SOC_H")*('3_보호자행동'!$AK$5:$AK$15&gt;=1)*(3-'3_보호자행동'!$AK$5:$AK$15))))))</f>
        <v/>
      </c>
      <c r="L12" s="39">
        <f>IF((COUNTIFS('1_바디시그널'!$AD$5:$AD$13,"SOC_H",'1_바디시그널'!$AY$5:$AY$13,"ONE",'1_바디시그널'!$AK$5:$AK$13,"&gt;=1")+COUNTIFS('2_개행동'!$AD$5:$AD$28,"SOC_H",'2_개행동'!$AY$5:$AY$28,"ONE",'2_개행동'!$AK$5:$AK$28,"&gt;=1")+COUNTIFS('3_보호자행동'!$AD$5:$AD$15,"SOC_H",'3_보호자행동'!$AY$5:$AY$15,"ONE",'3_보호자행동'!$AK$5:$AK$15,"&gt;=1"))=0,"",ROUND((SUMIFS('1_바디시그널'!$AK$5:$AK$13,'1_바디시그널'!$AD$5:$AD$13,"SOC_H",'1_바디시그널'!$AY$5:$AY$13,"ONE",'1_바디시그널'!$AK$5:$AK$13,"&gt;=1")+SUMIFS('2_개행동'!$AK$5:$AK$28,'2_개행동'!$AD$5:$AD$28,"SOC_H",'2_개행동'!$AY$5:$AY$28,"ONE",'2_개행동'!$AK$5:$AK$28,"&gt;=1")+SUMIFS('3_보호자행동'!$AK$5:$AK$15,'3_보호자행동'!$AD$5:$AD$15,"SOC_H",'3_보호자행동'!$AY$5:$AY$15,"ONE",'3_보호자행동'!$AK$5:$AK$15,"&gt;=1"))/(COUNTIFS('1_바디시그널'!$AD$5:$AD$13,"SOC_H",'1_바디시그널'!$AY$5:$AY$13,"ONE",'1_바디시그널'!$AK$5:$AK$13,"&gt;=1")+COUNTIFS('2_개행동'!$AD$5:$AD$28,"SOC_H",'2_개행동'!$AY$5:$AY$28,"ONE",'2_개행동'!$AK$5:$AK$28,"&gt;=1")+COUNTIFS('3_보호자행동'!$AD$5:$AD$15,"SOC_H",'3_보호자행동'!$AY$5:$AY$15,"ONE",'3_보호자행동'!$AK$5:$AK$15,"&gt;=1")),2))</f>
        <v/>
      </c>
      <c r="M12" s="39">
        <f>IF(OR('2_개행동'!$P$21="",'2_개행동'!$P$9="",'2_개행동'!$P$16="",'2_개행동'!$P$17=""),"",IF(N('2_개행동'!$P$20)&gt;=1,"일관되지 않음",IF(AVERAGE('2_개행동'!$P$21,'2_개행동'!$P$9,'2_개행동'!$P$16,'2_개행동'!$P$18)&lt;=3.5,IF(ABS('2_개행동'!$P$17-3)&lt;=1,"안정","불안"),IF(ABS('2_개행동'!$P$17-3)&lt;=1,"거리 둠","일관되지 않음"))))</f>
        <v/>
      </c>
      <c r="N12" s="39">
        <f>IF((COUNTIFS('1_바디시그널'!$AD$5:$AD$13,"ATT",'1_바디시그널'!$AK$5:$AK$13,"&gt;=1")+COUNTIFS('2_개행동'!$AD$5:$AD$28,"ATT",'2_개행동'!$AK$5:$AK$28,"&gt;=1")+COUNTIFS('3_보호자행동'!$AD$5:$AD$15,"ATT",'3_보호자행동'!$AK$5:$AK$15,"&gt;=1"))=0,"",MAX(MAX(SUMPRODUCT(MAX(('1_바디시그널'!$AD$5:$AD$13="ATT")*('1_바디시그널'!$AK$5:$AK$13-3))),SUMPRODUCT(MAX(('2_개행동'!$AD$5:$AD$28="ATT")*('2_개행동'!$AK$5:$AK$28-3))),SUMPRODUCT(MAX(('3_보호자행동'!$AD$5:$AD$15="ATT")*('3_보호자행동'!$AK$5:$AK$15-3)))),MAX(SUMPRODUCT(MAX(('1_바디시그널'!$AD$5:$AD$13="ATT")*('1_바디시그널'!$AK$5:$AK$13&gt;=1)*(3-'1_바디시그널'!$AK$5:$AK$13))),SUMPRODUCT(MAX(('2_개행동'!$AD$5:$AD$28="ATT")*('2_개행동'!$AK$5:$AK$28&gt;=1)*(3-'2_개행동'!$AK$5:$AK$28))),SUMPRODUCT(MAX(('3_보호자행동'!$AD$5:$AD$15="ATT")*('3_보호자행동'!$AK$5:$AK$15&gt;=1)*(3-'3_보호자행동'!$AK$5:$AK$15))))))</f>
        <v/>
      </c>
      <c r="O12" s="39">
        <f>IF((COUNTIFS('1_바디시그널'!$AD$5:$AD$13,"ATT",'1_바디시그널'!$AY$5:$AY$13,"ONE",'1_바디시그널'!$AK$5:$AK$13,"&gt;=1")+COUNTIFS('2_개행동'!$AD$5:$AD$28,"ATT",'2_개행동'!$AY$5:$AY$28,"ONE",'2_개행동'!$AK$5:$AK$28,"&gt;=1")+COUNTIFS('3_보호자행동'!$AD$5:$AD$15,"ATT",'3_보호자행동'!$AY$5:$AY$15,"ONE",'3_보호자행동'!$AK$5:$AK$15,"&gt;=1"))=0,"",ROUND((SUMIFS('1_바디시그널'!$AK$5:$AK$13,'1_바디시그널'!$AD$5:$AD$13,"ATT",'1_바디시그널'!$AY$5:$AY$13,"ONE",'1_바디시그널'!$AK$5:$AK$13,"&gt;=1")+SUMIFS('2_개행동'!$AK$5:$AK$28,'2_개행동'!$AD$5:$AD$28,"ATT",'2_개행동'!$AY$5:$AY$28,"ONE",'2_개행동'!$AK$5:$AK$28,"&gt;=1")+SUMIFS('3_보호자행동'!$AK$5:$AK$15,'3_보호자행동'!$AD$5:$AD$15,"ATT",'3_보호자행동'!$AY$5:$AY$15,"ONE",'3_보호자행동'!$AK$5:$AK$15,"&gt;=1"))/(COUNTIFS('1_바디시그널'!$AD$5:$AD$13,"ATT",'1_바디시그널'!$AY$5:$AY$13,"ONE",'1_바디시그널'!$AK$5:$AK$13,"&gt;=1")+COUNTIFS('2_개행동'!$AD$5:$AD$28,"ATT",'2_개행동'!$AY$5:$AY$28,"ONE",'2_개행동'!$AK$5:$AK$28,"&gt;=1")+COUNTIFS('3_보호자행동'!$AD$5:$AD$15,"ATT",'3_보호자행동'!$AY$5:$AY$15,"ONE",'3_보호자행동'!$AK$5:$AK$15,"&gt;=1")),2))</f>
        <v/>
      </c>
      <c r="P12" s="48">
        <f>IF((COUNTIFS('1_바디시그널'!$AD$5:$AD$13,"SYN",'1_바디시그널'!$AY$5:$AY$13,"BI",'1_바디시그널'!$AK$5:$AK$13,"&gt;=1")+COUNTIFS('2_개행동'!$AD$5:$AD$28,"SYN",'2_개행동'!$AY$5:$AY$28,"BI",'2_개행동'!$AK$5:$AK$28,"&gt;=1")+COUNTIFS('3_보호자행동'!$AD$5:$AD$15,"SYN",'3_보호자행동'!$AY$5:$AY$15,"BI",'3_보호자행동'!$AK$5:$AK$15,"&gt;=1"))=0,"",ROUND((SUMIFS('1_바디시그널'!$AK$5:$AK$13,'1_바디시그널'!$AD$5:$AD$13,"SYN",'1_바디시그널'!$AY$5:$AY$13,"BI",'1_바디시그널'!$AK$5:$AK$13,"&gt;=1")+SUMIFS('2_개행동'!$AK$5:$AK$28,'2_개행동'!$AD$5:$AD$28,"SYN",'2_개행동'!$AY$5:$AY$28,"BI",'2_개행동'!$AK$5:$AK$28,"&gt;=1")+SUMIFS('3_보호자행동'!$AK$5:$AK$15,'3_보호자행동'!$AD$5:$AD$15,"SYN",'3_보호자행동'!$AY$5:$AY$15,"BI",'3_보호자행동'!$AK$5:$AK$15,"&gt;=1"))/(COUNTIFS('1_바디시그널'!$AD$5:$AD$13,"SYN",'1_바디시그널'!$AY$5:$AY$13,"BI",'1_바디시그널'!$AK$5:$AK$13,"&gt;=1")+COUNTIFS('2_개행동'!$AD$5:$AD$28,"SYN",'2_개행동'!$AY$5:$AY$28,"BI",'2_개행동'!$AK$5:$AK$28,"&gt;=1")+COUNTIFS('3_보호자행동'!$AD$5:$AD$15,"SYN",'3_보호자행동'!$AY$5:$AY$15,"BI",'3_보호자행동'!$AK$5:$AK$15,"&gt;=1"))-3,2))</f>
        <v/>
      </c>
      <c r="Q12" s="39">
        <f>IF((COUNTIFS('1_바디시그널'!$AD$5:$AD$13,"SYN",'1_바디시그널'!$AK$5:$AK$13,"&gt;=1")+COUNTIFS('2_개행동'!$AD$5:$AD$28,"SYN",'2_개행동'!$AK$5:$AK$28,"&gt;=1")+COUNTIFS('3_보호자행동'!$AD$5:$AD$15,"SYN",'3_보호자행동'!$AK$5:$AK$15,"&gt;=1"))=0,"",MAX(MAX(SUMPRODUCT(MAX(('1_바디시그널'!$AD$5:$AD$13="SYN")*('1_바디시그널'!$AK$5:$AK$13-3))),SUMPRODUCT(MAX(('2_개행동'!$AD$5:$AD$28="SYN")*('2_개행동'!$AK$5:$AK$28-3))),SUMPRODUCT(MAX(('3_보호자행동'!$AD$5:$AD$15="SYN")*('3_보호자행동'!$AK$5:$AK$15-3)))),MAX(SUMPRODUCT(MAX(('1_바디시그널'!$AD$5:$AD$13="SYN")*('1_바디시그널'!$AK$5:$AK$13&gt;=1)*(3-'1_바디시그널'!$AK$5:$AK$13))),SUMPRODUCT(MAX(('2_개행동'!$AD$5:$AD$28="SYN")*('2_개행동'!$AK$5:$AK$28&gt;=1)*(3-'2_개행동'!$AK$5:$AK$28))),SUMPRODUCT(MAX(('3_보호자행동'!$AD$5:$AD$15="SYN")*('3_보호자행동'!$AK$5:$AK$15&gt;=1)*(3-'3_보호자행동'!$AK$5:$AK$15))))))</f>
        <v/>
      </c>
      <c r="R12" s="39">
        <f>IF((COUNTIFS('1_바디시그널'!$AD$5:$AD$13,"SYN",'1_바디시그널'!$AY$5:$AY$13,"ONE",'1_바디시그널'!$AK$5:$AK$13,"&gt;=1")+COUNTIFS('2_개행동'!$AD$5:$AD$28,"SYN",'2_개행동'!$AY$5:$AY$28,"ONE",'2_개행동'!$AK$5:$AK$28,"&gt;=1")+COUNTIFS('3_보호자행동'!$AD$5:$AD$15,"SYN",'3_보호자행동'!$AY$5:$AY$15,"ONE",'3_보호자행동'!$AK$5:$AK$15,"&gt;=1"))=0,"",ROUND((SUMIFS('1_바디시그널'!$AK$5:$AK$13,'1_바디시그널'!$AD$5:$AD$13,"SYN",'1_바디시그널'!$AY$5:$AY$13,"ONE",'1_바디시그널'!$AK$5:$AK$13,"&gt;=1")+SUMIFS('2_개행동'!$AK$5:$AK$28,'2_개행동'!$AD$5:$AD$28,"SYN",'2_개행동'!$AY$5:$AY$28,"ONE",'2_개행동'!$AK$5:$AK$28,"&gt;=1")+SUMIFS('3_보호자행동'!$AK$5:$AK$15,'3_보호자행동'!$AD$5:$AD$15,"SYN",'3_보호자행동'!$AY$5:$AY$15,"ONE",'3_보호자행동'!$AK$5:$AK$15,"&gt;=1"))/(COUNTIFS('1_바디시그널'!$AD$5:$AD$13,"SYN",'1_바디시그널'!$AY$5:$AY$13,"ONE",'1_바디시그널'!$AK$5:$AK$13,"&gt;=1")+COUNTIFS('2_개행동'!$AD$5:$AD$28,"SYN",'2_개행동'!$AY$5:$AY$28,"ONE",'2_개행동'!$AK$5:$AK$28,"&gt;=1")+COUNTIFS('3_보호자행동'!$AD$5:$AD$15,"SYN",'3_보호자행동'!$AY$5:$AY$15,"ONE",'3_보호자행동'!$AK$5:$AK$15,"&gt;=1")),2))</f>
        <v/>
      </c>
      <c r="S12" s="48">
        <f>IF((COUNTIFS('1_바디시그널'!$AD$5:$AD$13,"EXIT",'1_바디시그널'!$AY$5:$AY$13,"BI",'1_바디시그널'!$AK$5:$AK$13,"&gt;=1")+COUNTIFS('2_개행동'!$AD$5:$AD$28,"EXIT",'2_개행동'!$AY$5:$AY$28,"BI",'2_개행동'!$AK$5:$AK$28,"&gt;=1")+COUNTIFS('3_보호자행동'!$AD$5:$AD$15,"EXIT",'3_보호자행동'!$AY$5:$AY$15,"BI",'3_보호자행동'!$AK$5:$AK$15,"&gt;=1"))=0,"",ROUND((SUMIFS('1_바디시그널'!$AK$5:$AK$13,'1_바디시그널'!$AD$5:$AD$13,"EXIT",'1_바디시그널'!$AY$5:$AY$13,"BI",'1_바디시그널'!$AK$5:$AK$13,"&gt;=1")+SUMIFS('2_개행동'!$AK$5:$AK$28,'2_개행동'!$AD$5:$AD$28,"EXIT",'2_개행동'!$AY$5:$AY$28,"BI",'2_개행동'!$AK$5:$AK$28,"&gt;=1")+SUMIFS('3_보호자행동'!$AK$5:$AK$15,'3_보호자행동'!$AD$5:$AD$15,"EXIT",'3_보호자행동'!$AY$5:$AY$15,"BI",'3_보호자행동'!$AK$5:$AK$15,"&gt;=1"))/(COUNTIFS('1_바디시그널'!$AD$5:$AD$13,"EXIT",'1_바디시그널'!$AY$5:$AY$13,"BI",'1_바디시그널'!$AK$5:$AK$13,"&gt;=1")+COUNTIFS('2_개행동'!$AD$5:$AD$28,"EXIT",'2_개행동'!$AY$5:$AY$28,"BI",'2_개행동'!$AK$5:$AK$28,"&gt;=1")+COUNTIFS('3_보호자행동'!$AD$5:$AD$15,"EXIT",'3_보호자행동'!$AY$5:$AY$15,"BI",'3_보호자행동'!$AK$5:$AK$15,"&gt;=1"))-3,2))</f>
        <v/>
      </c>
      <c r="T12" s="39">
        <f>IF((COUNTIFS('1_바디시그널'!$AD$5:$AD$13,"EXIT",'1_바디시그널'!$AK$5:$AK$13,"&gt;=1")+COUNTIFS('2_개행동'!$AD$5:$AD$28,"EXIT",'2_개행동'!$AK$5:$AK$28,"&gt;=1")+COUNTIFS('3_보호자행동'!$AD$5:$AD$15,"EXIT",'3_보호자행동'!$AK$5:$AK$15,"&gt;=1"))=0,"",MAX(MAX(SUMPRODUCT(MAX(('1_바디시그널'!$AD$5:$AD$13="EXIT")*('1_바디시그널'!$AK$5:$AK$13-3))),SUMPRODUCT(MAX(('2_개행동'!$AD$5:$AD$28="EXIT")*('2_개행동'!$AK$5:$AK$28-3))),SUMPRODUCT(MAX(('3_보호자행동'!$AD$5:$AD$15="EXIT")*('3_보호자행동'!$AK$5:$AK$15-3)))),MAX(SUMPRODUCT(MAX(('1_바디시그널'!$AD$5:$AD$13="EXIT")*('1_바디시그널'!$AK$5:$AK$13&gt;=1)*(3-'1_바디시그널'!$AK$5:$AK$13))),SUMPRODUCT(MAX(('2_개행동'!$AD$5:$AD$28="EXIT")*('2_개행동'!$AK$5:$AK$28&gt;=1)*(3-'2_개행동'!$AK$5:$AK$28))),SUMPRODUCT(MAX(('3_보호자행동'!$AD$5:$AD$15="EXIT")*('3_보호자행동'!$AK$5:$AK$15&gt;=1)*(3-'3_보호자행동'!$AK$5:$AK$15))))))</f>
        <v/>
      </c>
      <c r="U12" s="39">
        <f>IF((COUNTIFS('1_바디시그널'!$AD$5:$AD$13,"EXIT",'1_바디시그널'!$AY$5:$AY$13,"ONE",'1_바디시그널'!$AK$5:$AK$13,"&gt;=1")+COUNTIFS('2_개행동'!$AD$5:$AD$28,"EXIT",'2_개행동'!$AY$5:$AY$28,"ONE",'2_개행동'!$AK$5:$AK$28,"&gt;=1")+COUNTIFS('3_보호자행동'!$AD$5:$AD$15,"EXIT",'3_보호자행동'!$AY$5:$AY$15,"ONE",'3_보호자행동'!$AK$5:$AK$15,"&gt;=1"))=0,"",ROUND((SUMIFS('1_바디시그널'!$AK$5:$AK$13,'1_바디시그널'!$AD$5:$AD$13,"EXIT",'1_바디시그널'!$AY$5:$AY$13,"ONE",'1_바디시그널'!$AK$5:$AK$13,"&gt;=1")+SUMIFS('2_개행동'!$AK$5:$AK$28,'2_개행동'!$AD$5:$AD$28,"EXIT",'2_개행동'!$AY$5:$AY$28,"ONE",'2_개행동'!$AK$5:$AK$28,"&gt;=1")+SUMIFS('3_보호자행동'!$AK$5:$AK$15,'3_보호자행동'!$AD$5:$AD$15,"EXIT",'3_보호자행동'!$AY$5:$AY$15,"ONE",'3_보호자행동'!$AK$5:$AK$15,"&gt;=1"))/(COUNTIFS('1_바디시그널'!$AD$5:$AD$13,"EXIT",'1_바디시그널'!$AY$5:$AY$13,"ONE",'1_바디시그널'!$AK$5:$AK$13,"&gt;=1")+COUNTIFS('2_개행동'!$AD$5:$AD$28,"EXIT",'2_개행동'!$AY$5:$AY$28,"ONE",'2_개행동'!$AK$5:$AK$28,"&gt;=1")+COUNTIFS('3_보호자행동'!$AD$5:$AD$15,"EXIT",'3_보호자행동'!$AY$5:$AY$15,"ONE",'3_보호자행동'!$AK$5:$AK$15,"&gt;=1")),2))</f>
        <v/>
      </c>
      <c r="V12" s="49">
        <f>IF(OR('2_개행동'!$P$8="",'2_개행동'!$P$22=""),"",ABS('2_개행동'!$P$8-3)-ABS('2_개행동'!$P$22-3))</f>
        <v/>
      </c>
      <c r="W12" s="49">
        <f>IF(OR('2_개행동'!$P$10="",'2_개행동'!$P$17=""),"",ABS('2_개행동'!$P$10-3)-ABS('2_개행동'!$P$17-3))</f>
        <v/>
      </c>
      <c r="X12" s="49">
        <f>IF(OR('2_개행동'!$P$10="",'2_개행동'!$P$14=""),"",ABS('2_개행동'!$P$10-3)-ABS('2_개행동'!$P$14-3))</f>
        <v/>
      </c>
      <c r="Y12" s="39">
        <f>IF('2_개행동'!$P$8="","",'2_개행동'!$P$8)</f>
        <v/>
      </c>
      <c r="Z12" s="40">
        <f>IF('2_개행동'!$P$25="","",IF('3_보호자행동'!$P$13=3,"무효",'2_개행동'!$P$25/6))</f>
        <v/>
      </c>
      <c r="AA12" s="35" t="n"/>
    </row>
    <row r="13">
      <c r="A13" s="39" t="n">
        <v>8</v>
      </c>
      <c r="B13" s="39" t="n"/>
      <c r="C13" s="39" t="n"/>
      <c r="D13" s="48">
        <f>IF((COUNTIFS('1_바디시그널'!$AD$5:$AD$13,"EDU",'1_바디시그널'!$AY$5:$AY$13,"BI",'1_바디시그널'!$AL$5:$AL$13,"&gt;=1")+COUNTIFS('2_개행동'!$AD$5:$AD$28,"EDU",'2_개행동'!$AY$5:$AY$28,"BI",'2_개행동'!$AL$5:$AL$28,"&gt;=1")+COUNTIFS('3_보호자행동'!$AD$5:$AD$15,"EDU",'3_보호자행동'!$AY$5:$AY$15,"BI",'3_보호자행동'!$AL$5:$AL$15,"&gt;=1"))=0,"",ROUND((SUMIFS('1_바디시그널'!$AL$5:$AL$13,'1_바디시그널'!$AD$5:$AD$13,"EDU",'1_바디시그널'!$AY$5:$AY$13,"BI",'1_바디시그널'!$AL$5:$AL$13,"&gt;=1")+SUMIFS('2_개행동'!$AL$5:$AL$28,'2_개행동'!$AD$5:$AD$28,"EDU",'2_개행동'!$AY$5:$AY$28,"BI",'2_개행동'!$AL$5:$AL$28,"&gt;=1")+SUMIFS('3_보호자행동'!$AL$5:$AL$15,'3_보호자행동'!$AD$5:$AD$15,"EDU",'3_보호자행동'!$AY$5:$AY$15,"BI",'3_보호자행동'!$AL$5:$AL$15,"&gt;=1"))/(COUNTIFS('1_바디시그널'!$AD$5:$AD$13,"EDU",'1_바디시그널'!$AY$5:$AY$13,"BI",'1_바디시그널'!$AL$5:$AL$13,"&gt;=1")+COUNTIFS('2_개행동'!$AD$5:$AD$28,"EDU",'2_개행동'!$AY$5:$AY$28,"BI",'2_개행동'!$AL$5:$AL$28,"&gt;=1")+COUNTIFS('3_보호자행동'!$AD$5:$AD$15,"EDU",'3_보호자행동'!$AY$5:$AY$15,"BI",'3_보호자행동'!$AL$5:$AL$15,"&gt;=1"))-3,2))</f>
        <v/>
      </c>
      <c r="E13" s="39">
        <f>IF((COUNTIFS('1_바디시그널'!$AD$5:$AD$13,"EDU",'1_바디시그널'!$AL$5:$AL$13,"&gt;=1")+COUNTIFS('2_개행동'!$AD$5:$AD$28,"EDU",'2_개행동'!$AL$5:$AL$28,"&gt;=1")+COUNTIFS('3_보호자행동'!$AD$5:$AD$15,"EDU",'3_보호자행동'!$AL$5:$AL$15,"&gt;=1"))=0,"",MAX(MAX(SUMPRODUCT(MAX(('1_바디시그널'!$AD$5:$AD$13="EDU")*('1_바디시그널'!$AL$5:$AL$13-3))),SUMPRODUCT(MAX(('2_개행동'!$AD$5:$AD$28="EDU")*('2_개행동'!$AL$5:$AL$28-3))),SUMPRODUCT(MAX(('3_보호자행동'!$AD$5:$AD$15="EDU")*('3_보호자행동'!$AL$5:$AL$15-3)))),MAX(SUMPRODUCT(MAX(('1_바디시그널'!$AD$5:$AD$13="EDU")*('1_바디시그널'!$AL$5:$AL$13&gt;=1)*(3-'1_바디시그널'!$AL$5:$AL$13))),SUMPRODUCT(MAX(('2_개행동'!$AD$5:$AD$28="EDU")*('2_개행동'!$AL$5:$AL$28&gt;=1)*(3-'2_개행동'!$AL$5:$AL$28))),SUMPRODUCT(MAX(('3_보호자행동'!$AD$5:$AD$15="EDU")*('3_보호자행동'!$AL$5:$AL$15&gt;=1)*(3-'3_보호자행동'!$AL$5:$AL$15))))))</f>
        <v/>
      </c>
      <c r="F13" s="39">
        <f>IF((COUNTIFS('1_바디시그널'!$AD$5:$AD$13,"EDU",'1_바디시그널'!$AY$5:$AY$13,"ONE",'1_바디시그널'!$AL$5:$AL$13,"&gt;=1")+COUNTIFS('2_개행동'!$AD$5:$AD$28,"EDU",'2_개행동'!$AY$5:$AY$28,"ONE",'2_개행동'!$AL$5:$AL$28,"&gt;=1")+COUNTIFS('3_보호자행동'!$AD$5:$AD$15,"EDU",'3_보호자행동'!$AY$5:$AY$15,"ONE",'3_보호자행동'!$AL$5:$AL$15,"&gt;=1"))=0,"",ROUND((SUMIFS('1_바디시그널'!$AL$5:$AL$13,'1_바디시그널'!$AD$5:$AD$13,"EDU",'1_바디시그널'!$AY$5:$AY$13,"ONE",'1_바디시그널'!$AL$5:$AL$13,"&gt;=1")+SUMIFS('2_개행동'!$AL$5:$AL$28,'2_개행동'!$AD$5:$AD$28,"EDU",'2_개행동'!$AY$5:$AY$28,"ONE",'2_개행동'!$AL$5:$AL$28,"&gt;=1")+SUMIFS('3_보호자행동'!$AL$5:$AL$15,'3_보호자행동'!$AD$5:$AD$15,"EDU",'3_보호자행동'!$AY$5:$AY$15,"ONE",'3_보호자행동'!$AL$5:$AL$15,"&gt;=1"))/(COUNTIFS('1_바디시그널'!$AD$5:$AD$13,"EDU",'1_바디시그널'!$AY$5:$AY$13,"ONE",'1_바디시그널'!$AL$5:$AL$13,"&gt;=1")+COUNTIFS('2_개행동'!$AD$5:$AD$28,"EDU",'2_개행동'!$AY$5:$AY$28,"ONE",'2_개행동'!$AL$5:$AL$28,"&gt;=1")+COUNTIFS('3_보호자행동'!$AD$5:$AD$15,"EDU",'3_보호자행동'!$AY$5:$AY$15,"ONE",'3_보호자행동'!$AL$5:$AL$15,"&gt;=1")),2))</f>
        <v/>
      </c>
      <c r="G13" s="48">
        <f>IF((COUNTIFS('1_바디시그널'!$AD$5:$AD$13,"SOC_E",'1_바디시그널'!$AY$5:$AY$13,"BI",'1_바디시그널'!$AL$5:$AL$13,"&gt;=1")+COUNTIFS('2_개행동'!$AD$5:$AD$28,"SOC_E",'2_개행동'!$AY$5:$AY$28,"BI",'2_개행동'!$AL$5:$AL$28,"&gt;=1")+COUNTIFS('3_보호자행동'!$AD$5:$AD$15,"SOC_E",'3_보호자행동'!$AY$5:$AY$15,"BI",'3_보호자행동'!$AL$5:$AL$15,"&gt;=1"))=0,"",ROUND((SUMIFS('1_바디시그널'!$AL$5:$AL$13,'1_바디시그널'!$AD$5:$AD$13,"SOC_E",'1_바디시그널'!$AY$5:$AY$13,"BI",'1_바디시그널'!$AL$5:$AL$13,"&gt;=1")+SUMIFS('2_개행동'!$AL$5:$AL$28,'2_개행동'!$AD$5:$AD$28,"SOC_E",'2_개행동'!$AY$5:$AY$28,"BI",'2_개행동'!$AL$5:$AL$28,"&gt;=1")+SUMIFS('3_보호자행동'!$AL$5:$AL$15,'3_보호자행동'!$AD$5:$AD$15,"SOC_E",'3_보호자행동'!$AY$5:$AY$15,"BI",'3_보호자행동'!$AL$5:$AL$15,"&gt;=1"))/(COUNTIFS('1_바디시그널'!$AD$5:$AD$13,"SOC_E",'1_바디시그널'!$AY$5:$AY$13,"BI",'1_바디시그널'!$AL$5:$AL$13,"&gt;=1")+COUNTIFS('2_개행동'!$AD$5:$AD$28,"SOC_E",'2_개행동'!$AY$5:$AY$28,"BI",'2_개행동'!$AL$5:$AL$28,"&gt;=1")+COUNTIFS('3_보호자행동'!$AD$5:$AD$15,"SOC_E",'3_보호자행동'!$AY$5:$AY$15,"BI",'3_보호자행동'!$AL$5:$AL$15,"&gt;=1"))-3,2))</f>
        <v/>
      </c>
      <c r="H13" s="39">
        <f>IF((COUNTIFS('1_바디시그널'!$AD$5:$AD$13,"SOC_E",'1_바디시그널'!$AL$5:$AL$13,"&gt;=1")+COUNTIFS('2_개행동'!$AD$5:$AD$28,"SOC_E",'2_개행동'!$AL$5:$AL$28,"&gt;=1")+COUNTIFS('3_보호자행동'!$AD$5:$AD$15,"SOC_E",'3_보호자행동'!$AL$5:$AL$15,"&gt;=1"))=0,"",MAX(MAX(SUMPRODUCT(MAX(('1_바디시그널'!$AD$5:$AD$13="SOC_E")*('1_바디시그널'!$AL$5:$AL$13-3))),SUMPRODUCT(MAX(('2_개행동'!$AD$5:$AD$28="SOC_E")*('2_개행동'!$AL$5:$AL$28-3))),SUMPRODUCT(MAX(('3_보호자행동'!$AD$5:$AD$15="SOC_E")*('3_보호자행동'!$AL$5:$AL$15-3)))),MAX(SUMPRODUCT(MAX(('1_바디시그널'!$AD$5:$AD$13="SOC_E")*('1_바디시그널'!$AL$5:$AL$13&gt;=1)*(3-'1_바디시그널'!$AL$5:$AL$13))),SUMPRODUCT(MAX(('2_개행동'!$AD$5:$AD$28="SOC_E")*('2_개행동'!$AL$5:$AL$28&gt;=1)*(3-'2_개행동'!$AL$5:$AL$28))),SUMPRODUCT(MAX(('3_보호자행동'!$AD$5:$AD$15="SOC_E")*('3_보호자행동'!$AL$5:$AL$15&gt;=1)*(3-'3_보호자행동'!$AL$5:$AL$15))))))</f>
        <v/>
      </c>
      <c r="I13" s="39">
        <f>IF((COUNTIFS('1_바디시그널'!$AD$5:$AD$13,"SOC_E",'1_바디시그널'!$AY$5:$AY$13,"ONE",'1_바디시그널'!$AL$5:$AL$13,"&gt;=1")+COUNTIFS('2_개행동'!$AD$5:$AD$28,"SOC_E",'2_개행동'!$AY$5:$AY$28,"ONE",'2_개행동'!$AL$5:$AL$28,"&gt;=1")+COUNTIFS('3_보호자행동'!$AD$5:$AD$15,"SOC_E",'3_보호자행동'!$AY$5:$AY$15,"ONE",'3_보호자행동'!$AL$5:$AL$15,"&gt;=1"))=0,"",ROUND((SUMIFS('1_바디시그널'!$AL$5:$AL$13,'1_바디시그널'!$AD$5:$AD$13,"SOC_E",'1_바디시그널'!$AY$5:$AY$13,"ONE",'1_바디시그널'!$AL$5:$AL$13,"&gt;=1")+SUMIFS('2_개행동'!$AL$5:$AL$28,'2_개행동'!$AD$5:$AD$28,"SOC_E",'2_개행동'!$AY$5:$AY$28,"ONE",'2_개행동'!$AL$5:$AL$28,"&gt;=1")+SUMIFS('3_보호자행동'!$AL$5:$AL$15,'3_보호자행동'!$AD$5:$AD$15,"SOC_E",'3_보호자행동'!$AY$5:$AY$15,"ONE",'3_보호자행동'!$AL$5:$AL$15,"&gt;=1"))/(COUNTIFS('1_바디시그널'!$AD$5:$AD$13,"SOC_E",'1_바디시그널'!$AY$5:$AY$13,"ONE",'1_바디시그널'!$AL$5:$AL$13,"&gt;=1")+COUNTIFS('2_개행동'!$AD$5:$AD$28,"SOC_E",'2_개행동'!$AY$5:$AY$28,"ONE",'2_개행동'!$AL$5:$AL$28,"&gt;=1")+COUNTIFS('3_보호자행동'!$AD$5:$AD$15,"SOC_E",'3_보호자행동'!$AY$5:$AY$15,"ONE",'3_보호자행동'!$AL$5:$AL$15,"&gt;=1")),2))</f>
        <v/>
      </c>
      <c r="J13" s="39">
        <f>IF(OR('2_개행동'!$Q$13="",'2_개행동'!$Q$14=""),"",IF('2_개행동'!$Q$13&gt;=3,IF(ABS('2_개행동'!$Q$14-3)&lt;=1,"편안·우호","우호·들뜸"),IF(ABS('2_개행동'!$Q$14-3)&lt;=1,"담담·거리둠","경계·긴장")))</f>
        <v/>
      </c>
      <c r="K13" s="39">
        <f>IF((COUNTIFS('1_바디시그널'!$AD$5:$AD$13,"SOC_H",'1_바디시그널'!$AL$5:$AL$13,"&gt;=1")+COUNTIFS('2_개행동'!$AD$5:$AD$28,"SOC_H",'2_개행동'!$AL$5:$AL$28,"&gt;=1")+COUNTIFS('3_보호자행동'!$AD$5:$AD$15,"SOC_H",'3_보호자행동'!$AL$5:$AL$15,"&gt;=1"))=0,"",MAX(MAX(SUMPRODUCT(MAX(('1_바디시그널'!$AD$5:$AD$13="SOC_H")*('1_바디시그널'!$AL$5:$AL$13-3))),SUMPRODUCT(MAX(('2_개행동'!$AD$5:$AD$28="SOC_H")*('2_개행동'!$AL$5:$AL$28-3))),SUMPRODUCT(MAX(('3_보호자행동'!$AD$5:$AD$15="SOC_H")*('3_보호자행동'!$AL$5:$AL$15-3)))),MAX(SUMPRODUCT(MAX(('1_바디시그널'!$AD$5:$AD$13="SOC_H")*('1_바디시그널'!$AL$5:$AL$13&gt;=1)*(3-'1_바디시그널'!$AL$5:$AL$13))),SUMPRODUCT(MAX(('2_개행동'!$AD$5:$AD$28="SOC_H")*('2_개행동'!$AL$5:$AL$28&gt;=1)*(3-'2_개행동'!$AL$5:$AL$28))),SUMPRODUCT(MAX(('3_보호자행동'!$AD$5:$AD$15="SOC_H")*('3_보호자행동'!$AL$5:$AL$15&gt;=1)*(3-'3_보호자행동'!$AL$5:$AL$15))))))</f>
        <v/>
      </c>
      <c r="L13" s="39">
        <f>IF((COUNTIFS('1_바디시그널'!$AD$5:$AD$13,"SOC_H",'1_바디시그널'!$AY$5:$AY$13,"ONE",'1_바디시그널'!$AL$5:$AL$13,"&gt;=1")+COUNTIFS('2_개행동'!$AD$5:$AD$28,"SOC_H",'2_개행동'!$AY$5:$AY$28,"ONE",'2_개행동'!$AL$5:$AL$28,"&gt;=1")+COUNTIFS('3_보호자행동'!$AD$5:$AD$15,"SOC_H",'3_보호자행동'!$AY$5:$AY$15,"ONE",'3_보호자행동'!$AL$5:$AL$15,"&gt;=1"))=0,"",ROUND((SUMIFS('1_바디시그널'!$AL$5:$AL$13,'1_바디시그널'!$AD$5:$AD$13,"SOC_H",'1_바디시그널'!$AY$5:$AY$13,"ONE",'1_바디시그널'!$AL$5:$AL$13,"&gt;=1")+SUMIFS('2_개행동'!$AL$5:$AL$28,'2_개행동'!$AD$5:$AD$28,"SOC_H",'2_개행동'!$AY$5:$AY$28,"ONE",'2_개행동'!$AL$5:$AL$28,"&gt;=1")+SUMIFS('3_보호자행동'!$AL$5:$AL$15,'3_보호자행동'!$AD$5:$AD$15,"SOC_H",'3_보호자행동'!$AY$5:$AY$15,"ONE",'3_보호자행동'!$AL$5:$AL$15,"&gt;=1"))/(COUNTIFS('1_바디시그널'!$AD$5:$AD$13,"SOC_H",'1_바디시그널'!$AY$5:$AY$13,"ONE",'1_바디시그널'!$AL$5:$AL$13,"&gt;=1")+COUNTIFS('2_개행동'!$AD$5:$AD$28,"SOC_H",'2_개행동'!$AY$5:$AY$28,"ONE",'2_개행동'!$AL$5:$AL$28,"&gt;=1")+COUNTIFS('3_보호자행동'!$AD$5:$AD$15,"SOC_H",'3_보호자행동'!$AY$5:$AY$15,"ONE",'3_보호자행동'!$AL$5:$AL$15,"&gt;=1")),2))</f>
        <v/>
      </c>
      <c r="M13" s="39">
        <f>IF(OR('2_개행동'!$Q$21="",'2_개행동'!$Q$9="",'2_개행동'!$Q$16="",'2_개행동'!$Q$17=""),"",IF(N('2_개행동'!$Q$20)&gt;=1,"일관되지 않음",IF(AVERAGE('2_개행동'!$Q$21,'2_개행동'!$Q$9,'2_개행동'!$Q$16,'2_개행동'!$Q$18)&lt;=3.5,IF(ABS('2_개행동'!$Q$17-3)&lt;=1,"안정","불안"),IF(ABS('2_개행동'!$Q$17-3)&lt;=1,"거리 둠","일관되지 않음"))))</f>
        <v/>
      </c>
      <c r="N13" s="39">
        <f>IF((COUNTIFS('1_바디시그널'!$AD$5:$AD$13,"ATT",'1_바디시그널'!$AL$5:$AL$13,"&gt;=1")+COUNTIFS('2_개행동'!$AD$5:$AD$28,"ATT",'2_개행동'!$AL$5:$AL$28,"&gt;=1")+COUNTIFS('3_보호자행동'!$AD$5:$AD$15,"ATT",'3_보호자행동'!$AL$5:$AL$15,"&gt;=1"))=0,"",MAX(MAX(SUMPRODUCT(MAX(('1_바디시그널'!$AD$5:$AD$13="ATT")*('1_바디시그널'!$AL$5:$AL$13-3))),SUMPRODUCT(MAX(('2_개행동'!$AD$5:$AD$28="ATT")*('2_개행동'!$AL$5:$AL$28-3))),SUMPRODUCT(MAX(('3_보호자행동'!$AD$5:$AD$15="ATT")*('3_보호자행동'!$AL$5:$AL$15-3)))),MAX(SUMPRODUCT(MAX(('1_바디시그널'!$AD$5:$AD$13="ATT")*('1_바디시그널'!$AL$5:$AL$13&gt;=1)*(3-'1_바디시그널'!$AL$5:$AL$13))),SUMPRODUCT(MAX(('2_개행동'!$AD$5:$AD$28="ATT")*('2_개행동'!$AL$5:$AL$28&gt;=1)*(3-'2_개행동'!$AL$5:$AL$28))),SUMPRODUCT(MAX(('3_보호자행동'!$AD$5:$AD$15="ATT")*('3_보호자행동'!$AL$5:$AL$15&gt;=1)*(3-'3_보호자행동'!$AL$5:$AL$15))))))</f>
        <v/>
      </c>
      <c r="O13" s="39">
        <f>IF((COUNTIFS('1_바디시그널'!$AD$5:$AD$13,"ATT",'1_바디시그널'!$AY$5:$AY$13,"ONE",'1_바디시그널'!$AL$5:$AL$13,"&gt;=1")+COUNTIFS('2_개행동'!$AD$5:$AD$28,"ATT",'2_개행동'!$AY$5:$AY$28,"ONE",'2_개행동'!$AL$5:$AL$28,"&gt;=1")+COUNTIFS('3_보호자행동'!$AD$5:$AD$15,"ATT",'3_보호자행동'!$AY$5:$AY$15,"ONE",'3_보호자행동'!$AL$5:$AL$15,"&gt;=1"))=0,"",ROUND((SUMIFS('1_바디시그널'!$AL$5:$AL$13,'1_바디시그널'!$AD$5:$AD$13,"ATT",'1_바디시그널'!$AY$5:$AY$13,"ONE",'1_바디시그널'!$AL$5:$AL$13,"&gt;=1")+SUMIFS('2_개행동'!$AL$5:$AL$28,'2_개행동'!$AD$5:$AD$28,"ATT",'2_개행동'!$AY$5:$AY$28,"ONE",'2_개행동'!$AL$5:$AL$28,"&gt;=1")+SUMIFS('3_보호자행동'!$AL$5:$AL$15,'3_보호자행동'!$AD$5:$AD$15,"ATT",'3_보호자행동'!$AY$5:$AY$15,"ONE",'3_보호자행동'!$AL$5:$AL$15,"&gt;=1"))/(COUNTIFS('1_바디시그널'!$AD$5:$AD$13,"ATT",'1_바디시그널'!$AY$5:$AY$13,"ONE",'1_바디시그널'!$AL$5:$AL$13,"&gt;=1")+COUNTIFS('2_개행동'!$AD$5:$AD$28,"ATT",'2_개행동'!$AY$5:$AY$28,"ONE",'2_개행동'!$AL$5:$AL$28,"&gt;=1")+COUNTIFS('3_보호자행동'!$AD$5:$AD$15,"ATT",'3_보호자행동'!$AY$5:$AY$15,"ONE",'3_보호자행동'!$AL$5:$AL$15,"&gt;=1")),2))</f>
        <v/>
      </c>
      <c r="P13" s="48">
        <f>IF((COUNTIFS('1_바디시그널'!$AD$5:$AD$13,"SYN",'1_바디시그널'!$AY$5:$AY$13,"BI",'1_바디시그널'!$AL$5:$AL$13,"&gt;=1")+COUNTIFS('2_개행동'!$AD$5:$AD$28,"SYN",'2_개행동'!$AY$5:$AY$28,"BI",'2_개행동'!$AL$5:$AL$28,"&gt;=1")+COUNTIFS('3_보호자행동'!$AD$5:$AD$15,"SYN",'3_보호자행동'!$AY$5:$AY$15,"BI",'3_보호자행동'!$AL$5:$AL$15,"&gt;=1"))=0,"",ROUND((SUMIFS('1_바디시그널'!$AL$5:$AL$13,'1_바디시그널'!$AD$5:$AD$13,"SYN",'1_바디시그널'!$AY$5:$AY$13,"BI",'1_바디시그널'!$AL$5:$AL$13,"&gt;=1")+SUMIFS('2_개행동'!$AL$5:$AL$28,'2_개행동'!$AD$5:$AD$28,"SYN",'2_개행동'!$AY$5:$AY$28,"BI",'2_개행동'!$AL$5:$AL$28,"&gt;=1")+SUMIFS('3_보호자행동'!$AL$5:$AL$15,'3_보호자행동'!$AD$5:$AD$15,"SYN",'3_보호자행동'!$AY$5:$AY$15,"BI",'3_보호자행동'!$AL$5:$AL$15,"&gt;=1"))/(COUNTIFS('1_바디시그널'!$AD$5:$AD$13,"SYN",'1_바디시그널'!$AY$5:$AY$13,"BI",'1_바디시그널'!$AL$5:$AL$13,"&gt;=1")+COUNTIFS('2_개행동'!$AD$5:$AD$28,"SYN",'2_개행동'!$AY$5:$AY$28,"BI",'2_개행동'!$AL$5:$AL$28,"&gt;=1")+COUNTIFS('3_보호자행동'!$AD$5:$AD$15,"SYN",'3_보호자행동'!$AY$5:$AY$15,"BI",'3_보호자행동'!$AL$5:$AL$15,"&gt;=1"))-3,2))</f>
        <v/>
      </c>
      <c r="Q13" s="39">
        <f>IF((COUNTIFS('1_바디시그널'!$AD$5:$AD$13,"SYN",'1_바디시그널'!$AL$5:$AL$13,"&gt;=1")+COUNTIFS('2_개행동'!$AD$5:$AD$28,"SYN",'2_개행동'!$AL$5:$AL$28,"&gt;=1")+COUNTIFS('3_보호자행동'!$AD$5:$AD$15,"SYN",'3_보호자행동'!$AL$5:$AL$15,"&gt;=1"))=0,"",MAX(MAX(SUMPRODUCT(MAX(('1_바디시그널'!$AD$5:$AD$13="SYN")*('1_바디시그널'!$AL$5:$AL$13-3))),SUMPRODUCT(MAX(('2_개행동'!$AD$5:$AD$28="SYN")*('2_개행동'!$AL$5:$AL$28-3))),SUMPRODUCT(MAX(('3_보호자행동'!$AD$5:$AD$15="SYN")*('3_보호자행동'!$AL$5:$AL$15-3)))),MAX(SUMPRODUCT(MAX(('1_바디시그널'!$AD$5:$AD$13="SYN")*('1_바디시그널'!$AL$5:$AL$13&gt;=1)*(3-'1_바디시그널'!$AL$5:$AL$13))),SUMPRODUCT(MAX(('2_개행동'!$AD$5:$AD$28="SYN")*('2_개행동'!$AL$5:$AL$28&gt;=1)*(3-'2_개행동'!$AL$5:$AL$28))),SUMPRODUCT(MAX(('3_보호자행동'!$AD$5:$AD$15="SYN")*('3_보호자행동'!$AL$5:$AL$15&gt;=1)*(3-'3_보호자행동'!$AL$5:$AL$15))))))</f>
        <v/>
      </c>
      <c r="R13" s="39">
        <f>IF((COUNTIFS('1_바디시그널'!$AD$5:$AD$13,"SYN",'1_바디시그널'!$AY$5:$AY$13,"ONE",'1_바디시그널'!$AL$5:$AL$13,"&gt;=1")+COUNTIFS('2_개행동'!$AD$5:$AD$28,"SYN",'2_개행동'!$AY$5:$AY$28,"ONE",'2_개행동'!$AL$5:$AL$28,"&gt;=1")+COUNTIFS('3_보호자행동'!$AD$5:$AD$15,"SYN",'3_보호자행동'!$AY$5:$AY$15,"ONE",'3_보호자행동'!$AL$5:$AL$15,"&gt;=1"))=0,"",ROUND((SUMIFS('1_바디시그널'!$AL$5:$AL$13,'1_바디시그널'!$AD$5:$AD$13,"SYN",'1_바디시그널'!$AY$5:$AY$13,"ONE",'1_바디시그널'!$AL$5:$AL$13,"&gt;=1")+SUMIFS('2_개행동'!$AL$5:$AL$28,'2_개행동'!$AD$5:$AD$28,"SYN",'2_개행동'!$AY$5:$AY$28,"ONE",'2_개행동'!$AL$5:$AL$28,"&gt;=1")+SUMIFS('3_보호자행동'!$AL$5:$AL$15,'3_보호자행동'!$AD$5:$AD$15,"SYN",'3_보호자행동'!$AY$5:$AY$15,"ONE",'3_보호자행동'!$AL$5:$AL$15,"&gt;=1"))/(COUNTIFS('1_바디시그널'!$AD$5:$AD$13,"SYN",'1_바디시그널'!$AY$5:$AY$13,"ONE",'1_바디시그널'!$AL$5:$AL$13,"&gt;=1")+COUNTIFS('2_개행동'!$AD$5:$AD$28,"SYN",'2_개행동'!$AY$5:$AY$28,"ONE",'2_개행동'!$AL$5:$AL$28,"&gt;=1")+COUNTIFS('3_보호자행동'!$AD$5:$AD$15,"SYN",'3_보호자행동'!$AY$5:$AY$15,"ONE",'3_보호자행동'!$AL$5:$AL$15,"&gt;=1")),2))</f>
        <v/>
      </c>
      <c r="S13" s="48">
        <f>IF((COUNTIFS('1_바디시그널'!$AD$5:$AD$13,"EXIT",'1_바디시그널'!$AY$5:$AY$13,"BI",'1_바디시그널'!$AL$5:$AL$13,"&gt;=1")+COUNTIFS('2_개행동'!$AD$5:$AD$28,"EXIT",'2_개행동'!$AY$5:$AY$28,"BI",'2_개행동'!$AL$5:$AL$28,"&gt;=1")+COUNTIFS('3_보호자행동'!$AD$5:$AD$15,"EXIT",'3_보호자행동'!$AY$5:$AY$15,"BI",'3_보호자행동'!$AL$5:$AL$15,"&gt;=1"))=0,"",ROUND((SUMIFS('1_바디시그널'!$AL$5:$AL$13,'1_바디시그널'!$AD$5:$AD$13,"EXIT",'1_바디시그널'!$AY$5:$AY$13,"BI",'1_바디시그널'!$AL$5:$AL$13,"&gt;=1")+SUMIFS('2_개행동'!$AL$5:$AL$28,'2_개행동'!$AD$5:$AD$28,"EXIT",'2_개행동'!$AY$5:$AY$28,"BI",'2_개행동'!$AL$5:$AL$28,"&gt;=1")+SUMIFS('3_보호자행동'!$AL$5:$AL$15,'3_보호자행동'!$AD$5:$AD$15,"EXIT",'3_보호자행동'!$AY$5:$AY$15,"BI",'3_보호자행동'!$AL$5:$AL$15,"&gt;=1"))/(COUNTIFS('1_바디시그널'!$AD$5:$AD$13,"EXIT",'1_바디시그널'!$AY$5:$AY$13,"BI",'1_바디시그널'!$AL$5:$AL$13,"&gt;=1")+COUNTIFS('2_개행동'!$AD$5:$AD$28,"EXIT",'2_개행동'!$AY$5:$AY$28,"BI",'2_개행동'!$AL$5:$AL$28,"&gt;=1")+COUNTIFS('3_보호자행동'!$AD$5:$AD$15,"EXIT",'3_보호자행동'!$AY$5:$AY$15,"BI",'3_보호자행동'!$AL$5:$AL$15,"&gt;=1"))-3,2))</f>
        <v/>
      </c>
      <c r="T13" s="39">
        <f>IF((COUNTIFS('1_바디시그널'!$AD$5:$AD$13,"EXIT",'1_바디시그널'!$AL$5:$AL$13,"&gt;=1")+COUNTIFS('2_개행동'!$AD$5:$AD$28,"EXIT",'2_개행동'!$AL$5:$AL$28,"&gt;=1")+COUNTIFS('3_보호자행동'!$AD$5:$AD$15,"EXIT",'3_보호자행동'!$AL$5:$AL$15,"&gt;=1"))=0,"",MAX(MAX(SUMPRODUCT(MAX(('1_바디시그널'!$AD$5:$AD$13="EXIT")*('1_바디시그널'!$AL$5:$AL$13-3))),SUMPRODUCT(MAX(('2_개행동'!$AD$5:$AD$28="EXIT")*('2_개행동'!$AL$5:$AL$28-3))),SUMPRODUCT(MAX(('3_보호자행동'!$AD$5:$AD$15="EXIT")*('3_보호자행동'!$AL$5:$AL$15-3)))),MAX(SUMPRODUCT(MAX(('1_바디시그널'!$AD$5:$AD$13="EXIT")*('1_바디시그널'!$AL$5:$AL$13&gt;=1)*(3-'1_바디시그널'!$AL$5:$AL$13))),SUMPRODUCT(MAX(('2_개행동'!$AD$5:$AD$28="EXIT")*('2_개행동'!$AL$5:$AL$28&gt;=1)*(3-'2_개행동'!$AL$5:$AL$28))),SUMPRODUCT(MAX(('3_보호자행동'!$AD$5:$AD$15="EXIT")*('3_보호자행동'!$AL$5:$AL$15&gt;=1)*(3-'3_보호자행동'!$AL$5:$AL$15))))))</f>
        <v/>
      </c>
      <c r="U13" s="39">
        <f>IF((COUNTIFS('1_바디시그널'!$AD$5:$AD$13,"EXIT",'1_바디시그널'!$AY$5:$AY$13,"ONE",'1_바디시그널'!$AL$5:$AL$13,"&gt;=1")+COUNTIFS('2_개행동'!$AD$5:$AD$28,"EXIT",'2_개행동'!$AY$5:$AY$28,"ONE",'2_개행동'!$AL$5:$AL$28,"&gt;=1")+COUNTIFS('3_보호자행동'!$AD$5:$AD$15,"EXIT",'3_보호자행동'!$AY$5:$AY$15,"ONE",'3_보호자행동'!$AL$5:$AL$15,"&gt;=1"))=0,"",ROUND((SUMIFS('1_바디시그널'!$AL$5:$AL$13,'1_바디시그널'!$AD$5:$AD$13,"EXIT",'1_바디시그널'!$AY$5:$AY$13,"ONE",'1_바디시그널'!$AL$5:$AL$13,"&gt;=1")+SUMIFS('2_개행동'!$AL$5:$AL$28,'2_개행동'!$AD$5:$AD$28,"EXIT",'2_개행동'!$AY$5:$AY$28,"ONE",'2_개행동'!$AL$5:$AL$28,"&gt;=1")+SUMIFS('3_보호자행동'!$AL$5:$AL$15,'3_보호자행동'!$AD$5:$AD$15,"EXIT",'3_보호자행동'!$AY$5:$AY$15,"ONE",'3_보호자행동'!$AL$5:$AL$15,"&gt;=1"))/(COUNTIFS('1_바디시그널'!$AD$5:$AD$13,"EXIT",'1_바디시그널'!$AY$5:$AY$13,"ONE",'1_바디시그널'!$AL$5:$AL$13,"&gt;=1")+COUNTIFS('2_개행동'!$AD$5:$AD$28,"EXIT",'2_개행동'!$AY$5:$AY$28,"ONE",'2_개행동'!$AL$5:$AL$28,"&gt;=1")+COUNTIFS('3_보호자행동'!$AD$5:$AD$15,"EXIT",'3_보호자행동'!$AY$5:$AY$15,"ONE",'3_보호자행동'!$AL$5:$AL$15,"&gt;=1")),2))</f>
        <v/>
      </c>
      <c r="V13" s="49">
        <f>IF(OR('2_개행동'!$Q$8="",'2_개행동'!$Q$22=""),"",ABS('2_개행동'!$Q$8-3)-ABS('2_개행동'!$Q$22-3))</f>
        <v/>
      </c>
      <c r="W13" s="49">
        <f>IF(OR('2_개행동'!$Q$10="",'2_개행동'!$Q$17=""),"",ABS('2_개행동'!$Q$10-3)-ABS('2_개행동'!$Q$17-3))</f>
        <v/>
      </c>
      <c r="X13" s="49">
        <f>IF(OR('2_개행동'!$Q$10="",'2_개행동'!$Q$14=""),"",ABS('2_개행동'!$Q$10-3)-ABS('2_개행동'!$Q$14-3))</f>
        <v/>
      </c>
      <c r="Y13" s="39">
        <f>IF('2_개행동'!$Q$8="","",'2_개행동'!$Q$8)</f>
        <v/>
      </c>
      <c r="Z13" s="40">
        <f>IF('2_개행동'!$Q$25="","",IF('3_보호자행동'!$Q$13=3,"무효",'2_개행동'!$Q$25/6))</f>
        <v/>
      </c>
      <c r="AA13" s="35" t="n"/>
    </row>
    <row r="14">
      <c r="A14" s="39" t="n">
        <v>9</v>
      </c>
      <c r="B14" s="39" t="n"/>
      <c r="C14" s="39" t="n"/>
      <c r="D14" s="48">
        <f>IF((COUNTIFS('1_바디시그널'!$AD$5:$AD$13,"EDU",'1_바디시그널'!$AY$5:$AY$13,"BI",'1_바디시그널'!$AM$5:$AM$13,"&gt;=1")+COUNTIFS('2_개행동'!$AD$5:$AD$28,"EDU",'2_개행동'!$AY$5:$AY$28,"BI",'2_개행동'!$AM$5:$AM$28,"&gt;=1")+COUNTIFS('3_보호자행동'!$AD$5:$AD$15,"EDU",'3_보호자행동'!$AY$5:$AY$15,"BI",'3_보호자행동'!$AM$5:$AM$15,"&gt;=1"))=0,"",ROUND((SUMIFS('1_바디시그널'!$AM$5:$AM$13,'1_바디시그널'!$AD$5:$AD$13,"EDU",'1_바디시그널'!$AY$5:$AY$13,"BI",'1_바디시그널'!$AM$5:$AM$13,"&gt;=1")+SUMIFS('2_개행동'!$AM$5:$AM$28,'2_개행동'!$AD$5:$AD$28,"EDU",'2_개행동'!$AY$5:$AY$28,"BI",'2_개행동'!$AM$5:$AM$28,"&gt;=1")+SUMIFS('3_보호자행동'!$AM$5:$AM$15,'3_보호자행동'!$AD$5:$AD$15,"EDU",'3_보호자행동'!$AY$5:$AY$15,"BI",'3_보호자행동'!$AM$5:$AM$15,"&gt;=1"))/(COUNTIFS('1_바디시그널'!$AD$5:$AD$13,"EDU",'1_바디시그널'!$AY$5:$AY$13,"BI",'1_바디시그널'!$AM$5:$AM$13,"&gt;=1")+COUNTIFS('2_개행동'!$AD$5:$AD$28,"EDU",'2_개행동'!$AY$5:$AY$28,"BI",'2_개행동'!$AM$5:$AM$28,"&gt;=1")+COUNTIFS('3_보호자행동'!$AD$5:$AD$15,"EDU",'3_보호자행동'!$AY$5:$AY$15,"BI",'3_보호자행동'!$AM$5:$AM$15,"&gt;=1"))-3,2))</f>
        <v/>
      </c>
      <c r="E14" s="39">
        <f>IF((COUNTIFS('1_바디시그널'!$AD$5:$AD$13,"EDU",'1_바디시그널'!$AM$5:$AM$13,"&gt;=1")+COUNTIFS('2_개행동'!$AD$5:$AD$28,"EDU",'2_개행동'!$AM$5:$AM$28,"&gt;=1")+COUNTIFS('3_보호자행동'!$AD$5:$AD$15,"EDU",'3_보호자행동'!$AM$5:$AM$15,"&gt;=1"))=0,"",MAX(MAX(SUMPRODUCT(MAX(('1_바디시그널'!$AD$5:$AD$13="EDU")*('1_바디시그널'!$AM$5:$AM$13-3))),SUMPRODUCT(MAX(('2_개행동'!$AD$5:$AD$28="EDU")*('2_개행동'!$AM$5:$AM$28-3))),SUMPRODUCT(MAX(('3_보호자행동'!$AD$5:$AD$15="EDU")*('3_보호자행동'!$AM$5:$AM$15-3)))),MAX(SUMPRODUCT(MAX(('1_바디시그널'!$AD$5:$AD$13="EDU")*('1_바디시그널'!$AM$5:$AM$13&gt;=1)*(3-'1_바디시그널'!$AM$5:$AM$13))),SUMPRODUCT(MAX(('2_개행동'!$AD$5:$AD$28="EDU")*('2_개행동'!$AM$5:$AM$28&gt;=1)*(3-'2_개행동'!$AM$5:$AM$28))),SUMPRODUCT(MAX(('3_보호자행동'!$AD$5:$AD$15="EDU")*('3_보호자행동'!$AM$5:$AM$15&gt;=1)*(3-'3_보호자행동'!$AM$5:$AM$15))))))</f>
        <v/>
      </c>
      <c r="F14" s="39">
        <f>IF((COUNTIFS('1_바디시그널'!$AD$5:$AD$13,"EDU",'1_바디시그널'!$AY$5:$AY$13,"ONE",'1_바디시그널'!$AM$5:$AM$13,"&gt;=1")+COUNTIFS('2_개행동'!$AD$5:$AD$28,"EDU",'2_개행동'!$AY$5:$AY$28,"ONE",'2_개행동'!$AM$5:$AM$28,"&gt;=1")+COUNTIFS('3_보호자행동'!$AD$5:$AD$15,"EDU",'3_보호자행동'!$AY$5:$AY$15,"ONE",'3_보호자행동'!$AM$5:$AM$15,"&gt;=1"))=0,"",ROUND((SUMIFS('1_바디시그널'!$AM$5:$AM$13,'1_바디시그널'!$AD$5:$AD$13,"EDU",'1_바디시그널'!$AY$5:$AY$13,"ONE",'1_바디시그널'!$AM$5:$AM$13,"&gt;=1")+SUMIFS('2_개행동'!$AM$5:$AM$28,'2_개행동'!$AD$5:$AD$28,"EDU",'2_개행동'!$AY$5:$AY$28,"ONE",'2_개행동'!$AM$5:$AM$28,"&gt;=1")+SUMIFS('3_보호자행동'!$AM$5:$AM$15,'3_보호자행동'!$AD$5:$AD$15,"EDU",'3_보호자행동'!$AY$5:$AY$15,"ONE",'3_보호자행동'!$AM$5:$AM$15,"&gt;=1"))/(COUNTIFS('1_바디시그널'!$AD$5:$AD$13,"EDU",'1_바디시그널'!$AY$5:$AY$13,"ONE",'1_바디시그널'!$AM$5:$AM$13,"&gt;=1")+COUNTIFS('2_개행동'!$AD$5:$AD$28,"EDU",'2_개행동'!$AY$5:$AY$28,"ONE",'2_개행동'!$AM$5:$AM$28,"&gt;=1")+COUNTIFS('3_보호자행동'!$AD$5:$AD$15,"EDU",'3_보호자행동'!$AY$5:$AY$15,"ONE",'3_보호자행동'!$AM$5:$AM$15,"&gt;=1")),2))</f>
        <v/>
      </c>
      <c r="G14" s="48">
        <f>IF((COUNTIFS('1_바디시그널'!$AD$5:$AD$13,"SOC_E",'1_바디시그널'!$AY$5:$AY$13,"BI",'1_바디시그널'!$AM$5:$AM$13,"&gt;=1")+COUNTIFS('2_개행동'!$AD$5:$AD$28,"SOC_E",'2_개행동'!$AY$5:$AY$28,"BI",'2_개행동'!$AM$5:$AM$28,"&gt;=1")+COUNTIFS('3_보호자행동'!$AD$5:$AD$15,"SOC_E",'3_보호자행동'!$AY$5:$AY$15,"BI",'3_보호자행동'!$AM$5:$AM$15,"&gt;=1"))=0,"",ROUND((SUMIFS('1_바디시그널'!$AM$5:$AM$13,'1_바디시그널'!$AD$5:$AD$13,"SOC_E",'1_바디시그널'!$AY$5:$AY$13,"BI",'1_바디시그널'!$AM$5:$AM$13,"&gt;=1")+SUMIFS('2_개행동'!$AM$5:$AM$28,'2_개행동'!$AD$5:$AD$28,"SOC_E",'2_개행동'!$AY$5:$AY$28,"BI",'2_개행동'!$AM$5:$AM$28,"&gt;=1")+SUMIFS('3_보호자행동'!$AM$5:$AM$15,'3_보호자행동'!$AD$5:$AD$15,"SOC_E",'3_보호자행동'!$AY$5:$AY$15,"BI",'3_보호자행동'!$AM$5:$AM$15,"&gt;=1"))/(COUNTIFS('1_바디시그널'!$AD$5:$AD$13,"SOC_E",'1_바디시그널'!$AY$5:$AY$13,"BI",'1_바디시그널'!$AM$5:$AM$13,"&gt;=1")+COUNTIFS('2_개행동'!$AD$5:$AD$28,"SOC_E",'2_개행동'!$AY$5:$AY$28,"BI",'2_개행동'!$AM$5:$AM$28,"&gt;=1")+COUNTIFS('3_보호자행동'!$AD$5:$AD$15,"SOC_E",'3_보호자행동'!$AY$5:$AY$15,"BI",'3_보호자행동'!$AM$5:$AM$15,"&gt;=1"))-3,2))</f>
        <v/>
      </c>
      <c r="H14" s="39">
        <f>IF((COUNTIFS('1_바디시그널'!$AD$5:$AD$13,"SOC_E",'1_바디시그널'!$AM$5:$AM$13,"&gt;=1")+COUNTIFS('2_개행동'!$AD$5:$AD$28,"SOC_E",'2_개행동'!$AM$5:$AM$28,"&gt;=1")+COUNTIFS('3_보호자행동'!$AD$5:$AD$15,"SOC_E",'3_보호자행동'!$AM$5:$AM$15,"&gt;=1"))=0,"",MAX(MAX(SUMPRODUCT(MAX(('1_바디시그널'!$AD$5:$AD$13="SOC_E")*('1_바디시그널'!$AM$5:$AM$13-3))),SUMPRODUCT(MAX(('2_개행동'!$AD$5:$AD$28="SOC_E")*('2_개행동'!$AM$5:$AM$28-3))),SUMPRODUCT(MAX(('3_보호자행동'!$AD$5:$AD$15="SOC_E")*('3_보호자행동'!$AM$5:$AM$15-3)))),MAX(SUMPRODUCT(MAX(('1_바디시그널'!$AD$5:$AD$13="SOC_E")*('1_바디시그널'!$AM$5:$AM$13&gt;=1)*(3-'1_바디시그널'!$AM$5:$AM$13))),SUMPRODUCT(MAX(('2_개행동'!$AD$5:$AD$28="SOC_E")*('2_개행동'!$AM$5:$AM$28&gt;=1)*(3-'2_개행동'!$AM$5:$AM$28))),SUMPRODUCT(MAX(('3_보호자행동'!$AD$5:$AD$15="SOC_E")*('3_보호자행동'!$AM$5:$AM$15&gt;=1)*(3-'3_보호자행동'!$AM$5:$AM$15))))))</f>
        <v/>
      </c>
      <c r="I14" s="39">
        <f>IF((COUNTIFS('1_바디시그널'!$AD$5:$AD$13,"SOC_E",'1_바디시그널'!$AY$5:$AY$13,"ONE",'1_바디시그널'!$AM$5:$AM$13,"&gt;=1")+COUNTIFS('2_개행동'!$AD$5:$AD$28,"SOC_E",'2_개행동'!$AY$5:$AY$28,"ONE",'2_개행동'!$AM$5:$AM$28,"&gt;=1")+COUNTIFS('3_보호자행동'!$AD$5:$AD$15,"SOC_E",'3_보호자행동'!$AY$5:$AY$15,"ONE",'3_보호자행동'!$AM$5:$AM$15,"&gt;=1"))=0,"",ROUND((SUMIFS('1_바디시그널'!$AM$5:$AM$13,'1_바디시그널'!$AD$5:$AD$13,"SOC_E",'1_바디시그널'!$AY$5:$AY$13,"ONE",'1_바디시그널'!$AM$5:$AM$13,"&gt;=1")+SUMIFS('2_개행동'!$AM$5:$AM$28,'2_개행동'!$AD$5:$AD$28,"SOC_E",'2_개행동'!$AY$5:$AY$28,"ONE",'2_개행동'!$AM$5:$AM$28,"&gt;=1")+SUMIFS('3_보호자행동'!$AM$5:$AM$15,'3_보호자행동'!$AD$5:$AD$15,"SOC_E",'3_보호자행동'!$AY$5:$AY$15,"ONE",'3_보호자행동'!$AM$5:$AM$15,"&gt;=1"))/(COUNTIFS('1_바디시그널'!$AD$5:$AD$13,"SOC_E",'1_바디시그널'!$AY$5:$AY$13,"ONE",'1_바디시그널'!$AM$5:$AM$13,"&gt;=1")+COUNTIFS('2_개행동'!$AD$5:$AD$28,"SOC_E",'2_개행동'!$AY$5:$AY$28,"ONE",'2_개행동'!$AM$5:$AM$28,"&gt;=1")+COUNTIFS('3_보호자행동'!$AD$5:$AD$15,"SOC_E",'3_보호자행동'!$AY$5:$AY$15,"ONE",'3_보호자행동'!$AM$5:$AM$15,"&gt;=1")),2))</f>
        <v/>
      </c>
      <c r="J14" s="39">
        <f>IF(OR('2_개행동'!$R$13="",'2_개행동'!$R$14=""),"",IF('2_개행동'!$R$13&gt;=3,IF(ABS('2_개행동'!$R$14-3)&lt;=1,"편안·우호","우호·들뜸"),IF(ABS('2_개행동'!$R$14-3)&lt;=1,"담담·거리둠","경계·긴장")))</f>
        <v/>
      </c>
      <c r="K14" s="39">
        <f>IF((COUNTIFS('1_바디시그널'!$AD$5:$AD$13,"SOC_H",'1_바디시그널'!$AM$5:$AM$13,"&gt;=1")+COUNTIFS('2_개행동'!$AD$5:$AD$28,"SOC_H",'2_개행동'!$AM$5:$AM$28,"&gt;=1")+COUNTIFS('3_보호자행동'!$AD$5:$AD$15,"SOC_H",'3_보호자행동'!$AM$5:$AM$15,"&gt;=1"))=0,"",MAX(MAX(SUMPRODUCT(MAX(('1_바디시그널'!$AD$5:$AD$13="SOC_H")*('1_바디시그널'!$AM$5:$AM$13-3))),SUMPRODUCT(MAX(('2_개행동'!$AD$5:$AD$28="SOC_H")*('2_개행동'!$AM$5:$AM$28-3))),SUMPRODUCT(MAX(('3_보호자행동'!$AD$5:$AD$15="SOC_H")*('3_보호자행동'!$AM$5:$AM$15-3)))),MAX(SUMPRODUCT(MAX(('1_바디시그널'!$AD$5:$AD$13="SOC_H")*('1_바디시그널'!$AM$5:$AM$13&gt;=1)*(3-'1_바디시그널'!$AM$5:$AM$13))),SUMPRODUCT(MAX(('2_개행동'!$AD$5:$AD$28="SOC_H")*('2_개행동'!$AM$5:$AM$28&gt;=1)*(3-'2_개행동'!$AM$5:$AM$28))),SUMPRODUCT(MAX(('3_보호자행동'!$AD$5:$AD$15="SOC_H")*('3_보호자행동'!$AM$5:$AM$15&gt;=1)*(3-'3_보호자행동'!$AM$5:$AM$15))))))</f>
        <v/>
      </c>
      <c r="L14" s="39">
        <f>IF((COUNTIFS('1_바디시그널'!$AD$5:$AD$13,"SOC_H",'1_바디시그널'!$AY$5:$AY$13,"ONE",'1_바디시그널'!$AM$5:$AM$13,"&gt;=1")+COUNTIFS('2_개행동'!$AD$5:$AD$28,"SOC_H",'2_개행동'!$AY$5:$AY$28,"ONE",'2_개행동'!$AM$5:$AM$28,"&gt;=1")+COUNTIFS('3_보호자행동'!$AD$5:$AD$15,"SOC_H",'3_보호자행동'!$AY$5:$AY$15,"ONE",'3_보호자행동'!$AM$5:$AM$15,"&gt;=1"))=0,"",ROUND((SUMIFS('1_바디시그널'!$AM$5:$AM$13,'1_바디시그널'!$AD$5:$AD$13,"SOC_H",'1_바디시그널'!$AY$5:$AY$13,"ONE",'1_바디시그널'!$AM$5:$AM$13,"&gt;=1")+SUMIFS('2_개행동'!$AM$5:$AM$28,'2_개행동'!$AD$5:$AD$28,"SOC_H",'2_개행동'!$AY$5:$AY$28,"ONE",'2_개행동'!$AM$5:$AM$28,"&gt;=1")+SUMIFS('3_보호자행동'!$AM$5:$AM$15,'3_보호자행동'!$AD$5:$AD$15,"SOC_H",'3_보호자행동'!$AY$5:$AY$15,"ONE",'3_보호자행동'!$AM$5:$AM$15,"&gt;=1"))/(COUNTIFS('1_바디시그널'!$AD$5:$AD$13,"SOC_H",'1_바디시그널'!$AY$5:$AY$13,"ONE",'1_바디시그널'!$AM$5:$AM$13,"&gt;=1")+COUNTIFS('2_개행동'!$AD$5:$AD$28,"SOC_H",'2_개행동'!$AY$5:$AY$28,"ONE",'2_개행동'!$AM$5:$AM$28,"&gt;=1")+COUNTIFS('3_보호자행동'!$AD$5:$AD$15,"SOC_H",'3_보호자행동'!$AY$5:$AY$15,"ONE",'3_보호자행동'!$AM$5:$AM$15,"&gt;=1")),2))</f>
        <v/>
      </c>
      <c r="M14" s="39">
        <f>IF(OR('2_개행동'!$R$21="",'2_개행동'!$R$9="",'2_개행동'!$R$16="",'2_개행동'!$R$17=""),"",IF(N('2_개행동'!$R$20)&gt;=1,"일관되지 않음",IF(AVERAGE('2_개행동'!$R$21,'2_개행동'!$R$9,'2_개행동'!$R$16,'2_개행동'!$R$18)&lt;=3.5,IF(ABS('2_개행동'!$R$17-3)&lt;=1,"안정","불안"),IF(ABS('2_개행동'!$R$17-3)&lt;=1,"거리 둠","일관되지 않음"))))</f>
        <v/>
      </c>
      <c r="N14" s="39">
        <f>IF((COUNTIFS('1_바디시그널'!$AD$5:$AD$13,"ATT",'1_바디시그널'!$AM$5:$AM$13,"&gt;=1")+COUNTIFS('2_개행동'!$AD$5:$AD$28,"ATT",'2_개행동'!$AM$5:$AM$28,"&gt;=1")+COUNTIFS('3_보호자행동'!$AD$5:$AD$15,"ATT",'3_보호자행동'!$AM$5:$AM$15,"&gt;=1"))=0,"",MAX(MAX(SUMPRODUCT(MAX(('1_바디시그널'!$AD$5:$AD$13="ATT")*('1_바디시그널'!$AM$5:$AM$13-3))),SUMPRODUCT(MAX(('2_개행동'!$AD$5:$AD$28="ATT")*('2_개행동'!$AM$5:$AM$28-3))),SUMPRODUCT(MAX(('3_보호자행동'!$AD$5:$AD$15="ATT")*('3_보호자행동'!$AM$5:$AM$15-3)))),MAX(SUMPRODUCT(MAX(('1_바디시그널'!$AD$5:$AD$13="ATT")*('1_바디시그널'!$AM$5:$AM$13&gt;=1)*(3-'1_바디시그널'!$AM$5:$AM$13))),SUMPRODUCT(MAX(('2_개행동'!$AD$5:$AD$28="ATT")*('2_개행동'!$AM$5:$AM$28&gt;=1)*(3-'2_개행동'!$AM$5:$AM$28))),SUMPRODUCT(MAX(('3_보호자행동'!$AD$5:$AD$15="ATT")*('3_보호자행동'!$AM$5:$AM$15&gt;=1)*(3-'3_보호자행동'!$AM$5:$AM$15))))))</f>
        <v/>
      </c>
      <c r="O14" s="39">
        <f>IF((COUNTIFS('1_바디시그널'!$AD$5:$AD$13,"ATT",'1_바디시그널'!$AY$5:$AY$13,"ONE",'1_바디시그널'!$AM$5:$AM$13,"&gt;=1")+COUNTIFS('2_개행동'!$AD$5:$AD$28,"ATT",'2_개행동'!$AY$5:$AY$28,"ONE",'2_개행동'!$AM$5:$AM$28,"&gt;=1")+COUNTIFS('3_보호자행동'!$AD$5:$AD$15,"ATT",'3_보호자행동'!$AY$5:$AY$15,"ONE",'3_보호자행동'!$AM$5:$AM$15,"&gt;=1"))=0,"",ROUND((SUMIFS('1_바디시그널'!$AM$5:$AM$13,'1_바디시그널'!$AD$5:$AD$13,"ATT",'1_바디시그널'!$AY$5:$AY$13,"ONE",'1_바디시그널'!$AM$5:$AM$13,"&gt;=1")+SUMIFS('2_개행동'!$AM$5:$AM$28,'2_개행동'!$AD$5:$AD$28,"ATT",'2_개행동'!$AY$5:$AY$28,"ONE",'2_개행동'!$AM$5:$AM$28,"&gt;=1")+SUMIFS('3_보호자행동'!$AM$5:$AM$15,'3_보호자행동'!$AD$5:$AD$15,"ATT",'3_보호자행동'!$AY$5:$AY$15,"ONE",'3_보호자행동'!$AM$5:$AM$15,"&gt;=1"))/(COUNTIFS('1_바디시그널'!$AD$5:$AD$13,"ATT",'1_바디시그널'!$AY$5:$AY$13,"ONE",'1_바디시그널'!$AM$5:$AM$13,"&gt;=1")+COUNTIFS('2_개행동'!$AD$5:$AD$28,"ATT",'2_개행동'!$AY$5:$AY$28,"ONE",'2_개행동'!$AM$5:$AM$28,"&gt;=1")+COUNTIFS('3_보호자행동'!$AD$5:$AD$15,"ATT",'3_보호자행동'!$AY$5:$AY$15,"ONE",'3_보호자행동'!$AM$5:$AM$15,"&gt;=1")),2))</f>
        <v/>
      </c>
      <c r="P14" s="48">
        <f>IF((COUNTIFS('1_바디시그널'!$AD$5:$AD$13,"SYN",'1_바디시그널'!$AY$5:$AY$13,"BI",'1_바디시그널'!$AM$5:$AM$13,"&gt;=1")+COUNTIFS('2_개행동'!$AD$5:$AD$28,"SYN",'2_개행동'!$AY$5:$AY$28,"BI",'2_개행동'!$AM$5:$AM$28,"&gt;=1")+COUNTIFS('3_보호자행동'!$AD$5:$AD$15,"SYN",'3_보호자행동'!$AY$5:$AY$15,"BI",'3_보호자행동'!$AM$5:$AM$15,"&gt;=1"))=0,"",ROUND((SUMIFS('1_바디시그널'!$AM$5:$AM$13,'1_바디시그널'!$AD$5:$AD$13,"SYN",'1_바디시그널'!$AY$5:$AY$13,"BI",'1_바디시그널'!$AM$5:$AM$13,"&gt;=1")+SUMIFS('2_개행동'!$AM$5:$AM$28,'2_개행동'!$AD$5:$AD$28,"SYN",'2_개행동'!$AY$5:$AY$28,"BI",'2_개행동'!$AM$5:$AM$28,"&gt;=1")+SUMIFS('3_보호자행동'!$AM$5:$AM$15,'3_보호자행동'!$AD$5:$AD$15,"SYN",'3_보호자행동'!$AY$5:$AY$15,"BI",'3_보호자행동'!$AM$5:$AM$15,"&gt;=1"))/(COUNTIFS('1_바디시그널'!$AD$5:$AD$13,"SYN",'1_바디시그널'!$AY$5:$AY$13,"BI",'1_바디시그널'!$AM$5:$AM$13,"&gt;=1")+COUNTIFS('2_개행동'!$AD$5:$AD$28,"SYN",'2_개행동'!$AY$5:$AY$28,"BI",'2_개행동'!$AM$5:$AM$28,"&gt;=1")+COUNTIFS('3_보호자행동'!$AD$5:$AD$15,"SYN",'3_보호자행동'!$AY$5:$AY$15,"BI",'3_보호자행동'!$AM$5:$AM$15,"&gt;=1"))-3,2))</f>
        <v/>
      </c>
      <c r="Q14" s="39">
        <f>IF((COUNTIFS('1_바디시그널'!$AD$5:$AD$13,"SYN",'1_바디시그널'!$AM$5:$AM$13,"&gt;=1")+COUNTIFS('2_개행동'!$AD$5:$AD$28,"SYN",'2_개행동'!$AM$5:$AM$28,"&gt;=1")+COUNTIFS('3_보호자행동'!$AD$5:$AD$15,"SYN",'3_보호자행동'!$AM$5:$AM$15,"&gt;=1"))=0,"",MAX(MAX(SUMPRODUCT(MAX(('1_바디시그널'!$AD$5:$AD$13="SYN")*('1_바디시그널'!$AM$5:$AM$13-3))),SUMPRODUCT(MAX(('2_개행동'!$AD$5:$AD$28="SYN")*('2_개행동'!$AM$5:$AM$28-3))),SUMPRODUCT(MAX(('3_보호자행동'!$AD$5:$AD$15="SYN")*('3_보호자행동'!$AM$5:$AM$15-3)))),MAX(SUMPRODUCT(MAX(('1_바디시그널'!$AD$5:$AD$13="SYN")*('1_바디시그널'!$AM$5:$AM$13&gt;=1)*(3-'1_바디시그널'!$AM$5:$AM$13))),SUMPRODUCT(MAX(('2_개행동'!$AD$5:$AD$28="SYN")*('2_개행동'!$AM$5:$AM$28&gt;=1)*(3-'2_개행동'!$AM$5:$AM$28))),SUMPRODUCT(MAX(('3_보호자행동'!$AD$5:$AD$15="SYN")*('3_보호자행동'!$AM$5:$AM$15&gt;=1)*(3-'3_보호자행동'!$AM$5:$AM$15))))))</f>
        <v/>
      </c>
      <c r="R14" s="39">
        <f>IF((COUNTIFS('1_바디시그널'!$AD$5:$AD$13,"SYN",'1_바디시그널'!$AY$5:$AY$13,"ONE",'1_바디시그널'!$AM$5:$AM$13,"&gt;=1")+COUNTIFS('2_개행동'!$AD$5:$AD$28,"SYN",'2_개행동'!$AY$5:$AY$28,"ONE",'2_개행동'!$AM$5:$AM$28,"&gt;=1")+COUNTIFS('3_보호자행동'!$AD$5:$AD$15,"SYN",'3_보호자행동'!$AY$5:$AY$15,"ONE",'3_보호자행동'!$AM$5:$AM$15,"&gt;=1"))=0,"",ROUND((SUMIFS('1_바디시그널'!$AM$5:$AM$13,'1_바디시그널'!$AD$5:$AD$13,"SYN",'1_바디시그널'!$AY$5:$AY$13,"ONE",'1_바디시그널'!$AM$5:$AM$13,"&gt;=1")+SUMIFS('2_개행동'!$AM$5:$AM$28,'2_개행동'!$AD$5:$AD$28,"SYN",'2_개행동'!$AY$5:$AY$28,"ONE",'2_개행동'!$AM$5:$AM$28,"&gt;=1")+SUMIFS('3_보호자행동'!$AM$5:$AM$15,'3_보호자행동'!$AD$5:$AD$15,"SYN",'3_보호자행동'!$AY$5:$AY$15,"ONE",'3_보호자행동'!$AM$5:$AM$15,"&gt;=1"))/(COUNTIFS('1_바디시그널'!$AD$5:$AD$13,"SYN",'1_바디시그널'!$AY$5:$AY$13,"ONE",'1_바디시그널'!$AM$5:$AM$13,"&gt;=1")+COUNTIFS('2_개행동'!$AD$5:$AD$28,"SYN",'2_개행동'!$AY$5:$AY$28,"ONE",'2_개행동'!$AM$5:$AM$28,"&gt;=1")+COUNTIFS('3_보호자행동'!$AD$5:$AD$15,"SYN",'3_보호자행동'!$AY$5:$AY$15,"ONE",'3_보호자행동'!$AM$5:$AM$15,"&gt;=1")),2))</f>
        <v/>
      </c>
      <c r="S14" s="48">
        <f>IF((COUNTIFS('1_바디시그널'!$AD$5:$AD$13,"EXIT",'1_바디시그널'!$AY$5:$AY$13,"BI",'1_바디시그널'!$AM$5:$AM$13,"&gt;=1")+COUNTIFS('2_개행동'!$AD$5:$AD$28,"EXIT",'2_개행동'!$AY$5:$AY$28,"BI",'2_개행동'!$AM$5:$AM$28,"&gt;=1")+COUNTIFS('3_보호자행동'!$AD$5:$AD$15,"EXIT",'3_보호자행동'!$AY$5:$AY$15,"BI",'3_보호자행동'!$AM$5:$AM$15,"&gt;=1"))=0,"",ROUND((SUMIFS('1_바디시그널'!$AM$5:$AM$13,'1_바디시그널'!$AD$5:$AD$13,"EXIT",'1_바디시그널'!$AY$5:$AY$13,"BI",'1_바디시그널'!$AM$5:$AM$13,"&gt;=1")+SUMIFS('2_개행동'!$AM$5:$AM$28,'2_개행동'!$AD$5:$AD$28,"EXIT",'2_개행동'!$AY$5:$AY$28,"BI",'2_개행동'!$AM$5:$AM$28,"&gt;=1")+SUMIFS('3_보호자행동'!$AM$5:$AM$15,'3_보호자행동'!$AD$5:$AD$15,"EXIT",'3_보호자행동'!$AY$5:$AY$15,"BI",'3_보호자행동'!$AM$5:$AM$15,"&gt;=1"))/(COUNTIFS('1_바디시그널'!$AD$5:$AD$13,"EXIT",'1_바디시그널'!$AY$5:$AY$13,"BI",'1_바디시그널'!$AM$5:$AM$13,"&gt;=1")+COUNTIFS('2_개행동'!$AD$5:$AD$28,"EXIT",'2_개행동'!$AY$5:$AY$28,"BI",'2_개행동'!$AM$5:$AM$28,"&gt;=1")+COUNTIFS('3_보호자행동'!$AD$5:$AD$15,"EXIT",'3_보호자행동'!$AY$5:$AY$15,"BI",'3_보호자행동'!$AM$5:$AM$15,"&gt;=1"))-3,2))</f>
        <v/>
      </c>
      <c r="T14" s="39">
        <f>IF((COUNTIFS('1_바디시그널'!$AD$5:$AD$13,"EXIT",'1_바디시그널'!$AM$5:$AM$13,"&gt;=1")+COUNTIFS('2_개행동'!$AD$5:$AD$28,"EXIT",'2_개행동'!$AM$5:$AM$28,"&gt;=1")+COUNTIFS('3_보호자행동'!$AD$5:$AD$15,"EXIT",'3_보호자행동'!$AM$5:$AM$15,"&gt;=1"))=0,"",MAX(MAX(SUMPRODUCT(MAX(('1_바디시그널'!$AD$5:$AD$13="EXIT")*('1_바디시그널'!$AM$5:$AM$13-3))),SUMPRODUCT(MAX(('2_개행동'!$AD$5:$AD$28="EXIT")*('2_개행동'!$AM$5:$AM$28-3))),SUMPRODUCT(MAX(('3_보호자행동'!$AD$5:$AD$15="EXIT")*('3_보호자행동'!$AM$5:$AM$15-3)))),MAX(SUMPRODUCT(MAX(('1_바디시그널'!$AD$5:$AD$13="EXIT")*('1_바디시그널'!$AM$5:$AM$13&gt;=1)*(3-'1_바디시그널'!$AM$5:$AM$13))),SUMPRODUCT(MAX(('2_개행동'!$AD$5:$AD$28="EXIT")*('2_개행동'!$AM$5:$AM$28&gt;=1)*(3-'2_개행동'!$AM$5:$AM$28))),SUMPRODUCT(MAX(('3_보호자행동'!$AD$5:$AD$15="EXIT")*('3_보호자행동'!$AM$5:$AM$15&gt;=1)*(3-'3_보호자행동'!$AM$5:$AM$15))))))</f>
        <v/>
      </c>
      <c r="U14" s="39">
        <f>IF((COUNTIFS('1_바디시그널'!$AD$5:$AD$13,"EXIT",'1_바디시그널'!$AY$5:$AY$13,"ONE",'1_바디시그널'!$AM$5:$AM$13,"&gt;=1")+COUNTIFS('2_개행동'!$AD$5:$AD$28,"EXIT",'2_개행동'!$AY$5:$AY$28,"ONE",'2_개행동'!$AM$5:$AM$28,"&gt;=1")+COUNTIFS('3_보호자행동'!$AD$5:$AD$15,"EXIT",'3_보호자행동'!$AY$5:$AY$15,"ONE",'3_보호자행동'!$AM$5:$AM$15,"&gt;=1"))=0,"",ROUND((SUMIFS('1_바디시그널'!$AM$5:$AM$13,'1_바디시그널'!$AD$5:$AD$13,"EXIT",'1_바디시그널'!$AY$5:$AY$13,"ONE",'1_바디시그널'!$AM$5:$AM$13,"&gt;=1")+SUMIFS('2_개행동'!$AM$5:$AM$28,'2_개행동'!$AD$5:$AD$28,"EXIT",'2_개행동'!$AY$5:$AY$28,"ONE",'2_개행동'!$AM$5:$AM$28,"&gt;=1")+SUMIFS('3_보호자행동'!$AM$5:$AM$15,'3_보호자행동'!$AD$5:$AD$15,"EXIT",'3_보호자행동'!$AY$5:$AY$15,"ONE",'3_보호자행동'!$AM$5:$AM$15,"&gt;=1"))/(COUNTIFS('1_바디시그널'!$AD$5:$AD$13,"EXIT",'1_바디시그널'!$AY$5:$AY$13,"ONE",'1_바디시그널'!$AM$5:$AM$13,"&gt;=1")+COUNTIFS('2_개행동'!$AD$5:$AD$28,"EXIT",'2_개행동'!$AY$5:$AY$28,"ONE",'2_개행동'!$AM$5:$AM$28,"&gt;=1")+COUNTIFS('3_보호자행동'!$AD$5:$AD$15,"EXIT",'3_보호자행동'!$AY$5:$AY$15,"ONE",'3_보호자행동'!$AM$5:$AM$15,"&gt;=1")),2))</f>
        <v/>
      </c>
      <c r="V14" s="49">
        <f>IF(OR('2_개행동'!$R$8="",'2_개행동'!$R$22=""),"",ABS('2_개행동'!$R$8-3)-ABS('2_개행동'!$R$22-3))</f>
        <v/>
      </c>
      <c r="W14" s="49">
        <f>IF(OR('2_개행동'!$R$10="",'2_개행동'!$R$17=""),"",ABS('2_개행동'!$R$10-3)-ABS('2_개행동'!$R$17-3))</f>
        <v/>
      </c>
      <c r="X14" s="49">
        <f>IF(OR('2_개행동'!$R$10="",'2_개행동'!$R$14=""),"",ABS('2_개행동'!$R$10-3)-ABS('2_개행동'!$R$14-3))</f>
        <v/>
      </c>
      <c r="Y14" s="39">
        <f>IF('2_개행동'!$R$8="","",'2_개행동'!$R$8)</f>
        <v/>
      </c>
      <c r="Z14" s="40">
        <f>IF('2_개행동'!$R$25="","",IF('3_보호자행동'!$R$13=3,"무효",'2_개행동'!$R$25/6))</f>
        <v/>
      </c>
      <c r="AA14" s="35" t="n"/>
    </row>
    <row r="15">
      <c r="A15" s="39" t="n">
        <v>10</v>
      </c>
      <c r="B15" s="39" t="n"/>
      <c r="C15" s="39" t="n"/>
      <c r="D15" s="48">
        <f>IF((COUNTIFS('1_바디시그널'!$AD$5:$AD$13,"EDU",'1_바디시그널'!$AY$5:$AY$13,"BI",'1_바디시그널'!$AN$5:$AN$13,"&gt;=1")+COUNTIFS('2_개행동'!$AD$5:$AD$28,"EDU",'2_개행동'!$AY$5:$AY$28,"BI",'2_개행동'!$AN$5:$AN$28,"&gt;=1")+COUNTIFS('3_보호자행동'!$AD$5:$AD$15,"EDU",'3_보호자행동'!$AY$5:$AY$15,"BI",'3_보호자행동'!$AN$5:$AN$15,"&gt;=1"))=0,"",ROUND((SUMIFS('1_바디시그널'!$AN$5:$AN$13,'1_바디시그널'!$AD$5:$AD$13,"EDU",'1_바디시그널'!$AY$5:$AY$13,"BI",'1_바디시그널'!$AN$5:$AN$13,"&gt;=1")+SUMIFS('2_개행동'!$AN$5:$AN$28,'2_개행동'!$AD$5:$AD$28,"EDU",'2_개행동'!$AY$5:$AY$28,"BI",'2_개행동'!$AN$5:$AN$28,"&gt;=1")+SUMIFS('3_보호자행동'!$AN$5:$AN$15,'3_보호자행동'!$AD$5:$AD$15,"EDU",'3_보호자행동'!$AY$5:$AY$15,"BI",'3_보호자행동'!$AN$5:$AN$15,"&gt;=1"))/(COUNTIFS('1_바디시그널'!$AD$5:$AD$13,"EDU",'1_바디시그널'!$AY$5:$AY$13,"BI",'1_바디시그널'!$AN$5:$AN$13,"&gt;=1")+COUNTIFS('2_개행동'!$AD$5:$AD$28,"EDU",'2_개행동'!$AY$5:$AY$28,"BI",'2_개행동'!$AN$5:$AN$28,"&gt;=1")+COUNTIFS('3_보호자행동'!$AD$5:$AD$15,"EDU",'3_보호자행동'!$AY$5:$AY$15,"BI",'3_보호자행동'!$AN$5:$AN$15,"&gt;=1"))-3,2))</f>
        <v/>
      </c>
      <c r="E15" s="39">
        <f>IF((COUNTIFS('1_바디시그널'!$AD$5:$AD$13,"EDU",'1_바디시그널'!$AN$5:$AN$13,"&gt;=1")+COUNTIFS('2_개행동'!$AD$5:$AD$28,"EDU",'2_개행동'!$AN$5:$AN$28,"&gt;=1")+COUNTIFS('3_보호자행동'!$AD$5:$AD$15,"EDU",'3_보호자행동'!$AN$5:$AN$15,"&gt;=1"))=0,"",MAX(MAX(SUMPRODUCT(MAX(('1_바디시그널'!$AD$5:$AD$13="EDU")*('1_바디시그널'!$AN$5:$AN$13-3))),SUMPRODUCT(MAX(('2_개행동'!$AD$5:$AD$28="EDU")*('2_개행동'!$AN$5:$AN$28-3))),SUMPRODUCT(MAX(('3_보호자행동'!$AD$5:$AD$15="EDU")*('3_보호자행동'!$AN$5:$AN$15-3)))),MAX(SUMPRODUCT(MAX(('1_바디시그널'!$AD$5:$AD$13="EDU")*('1_바디시그널'!$AN$5:$AN$13&gt;=1)*(3-'1_바디시그널'!$AN$5:$AN$13))),SUMPRODUCT(MAX(('2_개행동'!$AD$5:$AD$28="EDU")*('2_개행동'!$AN$5:$AN$28&gt;=1)*(3-'2_개행동'!$AN$5:$AN$28))),SUMPRODUCT(MAX(('3_보호자행동'!$AD$5:$AD$15="EDU")*('3_보호자행동'!$AN$5:$AN$15&gt;=1)*(3-'3_보호자행동'!$AN$5:$AN$15))))))</f>
        <v/>
      </c>
      <c r="F15" s="39">
        <f>IF((COUNTIFS('1_바디시그널'!$AD$5:$AD$13,"EDU",'1_바디시그널'!$AY$5:$AY$13,"ONE",'1_바디시그널'!$AN$5:$AN$13,"&gt;=1")+COUNTIFS('2_개행동'!$AD$5:$AD$28,"EDU",'2_개행동'!$AY$5:$AY$28,"ONE",'2_개행동'!$AN$5:$AN$28,"&gt;=1")+COUNTIFS('3_보호자행동'!$AD$5:$AD$15,"EDU",'3_보호자행동'!$AY$5:$AY$15,"ONE",'3_보호자행동'!$AN$5:$AN$15,"&gt;=1"))=0,"",ROUND((SUMIFS('1_바디시그널'!$AN$5:$AN$13,'1_바디시그널'!$AD$5:$AD$13,"EDU",'1_바디시그널'!$AY$5:$AY$13,"ONE",'1_바디시그널'!$AN$5:$AN$13,"&gt;=1")+SUMIFS('2_개행동'!$AN$5:$AN$28,'2_개행동'!$AD$5:$AD$28,"EDU",'2_개행동'!$AY$5:$AY$28,"ONE",'2_개행동'!$AN$5:$AN$28,"&gt;=1")+SUMIFS('3_보호자행동'!$AN$5:$AN$15,'3_보호자행동'!$AD$5:$AD$15,"EDU",'3_보호자행동'!$AY$5:$AY$15,"ONE",'3_보호자행동'!$AN$5:$AN$15,"&gt;=1"))/(COUNTIFS('1_바디시그널'!$AD$5:$AD$13,"EDU",'1_바디시그널'!$AY$5:$AY$13,"ONE",'1_바디시그널'!$AN$5:$AN$13,"&gt;=1")+COUNTIFS('2_개행동'!$AD$5:$AD$28,"EDU",'2_개행동'!$AY$5:$AY$28,"ONE",'2_개행동'!$AN$5:$AN$28,"&gt;=1")+COUNTIFS('3_보호자행동'!$AD$5:$AD$15,"EDU",'3_보호자행동'!$AY$5:$AY$15,"ONE",'3_보호자행동'!$AN$5:$AN$15,"&gt;=1")),2))</f>
        <v/>
      </c>
      <c r="G15" s="48">
        <f>IF((COUNTIFS('1_바디시그널'!$AD$5:$AD$13,"SOC_E",'1_바디시그널'!$AY$5:$AY$13,"BI",'1_바디시그널'!$AN$5:$AN$13,"&gt;=1")+COUNTIFS('2_개행동'!$AD$5:$AD$28,"SOC_E",'2_개행동'!$AY$5:$AY$28,"BI",'2_개행동'!$AN$5:$AN$28,"&gt;=1")+COUNTIFS('3_보호자행동'!$AD$5:$AD$15,"SOC_E",'3_보호자행동'!$AY$5:$AY$15,"BI",'3_보호자행동'!$AN$5:$AN$15,"&gt;=1"))=0,"",ROUND((SUMIFS('1_바디시그널'!$AN$5:$AN$13,'1_바디시그널'!$AD$5:$AD$13,"SOC_E",'1_바디시그널'!$AY$5:$AY$13,"BI",'1_바디시그널'!$AN$5:$AN$13,"&gt;=1")+SUMIFS('2_개행동'!$AN$5:$AN$28,'2_개행동'!$AD$5:$AD$28,"SOC_E",'2_개행동'!$AY$5:$AY$28,"BI",'2_개행동'!$AN$5:$AN$28,"&gt;=1")+SUMIFS('3_보호자행동'!$AN$5:$AN$15,'3_보호자행동'!$AD$5:$AD$15,"SOC_E",'3_보호자행동'!$AY$5:$AY$15,"BI",'3_보호자행동'!$AN$5:$AN$15,"&gt;=1"))/(COUNTIFS('1_바디시그널'!$AD$5:$AD$13,"SOC_E",'1_바디시그널'!$AY$5:$AY$13,"BI",'1_바디시그널'!$AN$5:$AN$13,"&gt;=1")+COUNTIFS('2_개행동'!$AD$5:$AD$28,"SOC_E",'2_개행동'!$AY$5:$AY$28,"BI",'2_개행동'!$AN$5:$AN$28,"&gt;=1")+COUNTIFS('3_보호자행동'!$AD$5:$AD$15,"SOC_E",'3_보호자행동'!$AY$5:$AY$15,"BI",'3_보호자행동'!$AN$5:$AN$15,"&gt;=1"))-3,2))</f>
        <v/>
      </c>
      <c r="H15" s="39">
        <f>IF((COUNTIFS('1_바디시그널'!$AD$5:$AD$13,"SOC_E",'1_바디시그널'!$AN$5:$AN$13,"&gt;=1")+COUNTIFS('2_개행동'!$AD$5:$AD$28,"SOC_E",'2_개행동'!$AN$5:$AN$28,"&gt;=1")+COUNTIFS('3_보호자행동'!$AD$5:$AD$15,"SOC_E",'3_보호자행동'!$AN$5:$AN$15,"&gt;=1"))=0,"",MAX(MAX(SUMPRODUCT(MAX(('1_바디시그널'!$AD$5:$AD$13="SOC_E")*('1_바디시그널'!$AN$5:$AN$13-3))),SUMPRODUCT(MAX(('2_개행동'!$AD$5:$AD$28="SOC_E")*('2_개행동'!$AN$5:$AN$28-3))),SUMPRODUCT(MAX(('3_보호자행동'!$AD$5:$AD$15="SOC_E")*('3_보호자행동'!$AN$5:$AN$15-3)))),MAX(SUMPRODUCT(MAX(('1_바디시그널'!$AD$5:$AD$13="SOC_E")*('1_바디시그널'!$AN$5:$AN$13&gt;=1)*(3-'1_바디시그널'!$AN$5:$AN$13))),SUMPRODUCT(MAX(('2_개행동'!$AD$5:$AD$28="SOC_E")*('2_개행동'!$AN$5:$AN$28&gt;=1)*(3-'2_개행동'!$AN$5:$AN$28))),SUMPRODUCT(MAX(('3_보호자행동'!$AD$5:$AD$15="SOC_E")*('3_보호자행동'!$AN$5:$AN$15&gt;=1)*(3-'3_보호자행동'!$AN$5:$AN$15))))))</f>
        <v/>
      </c>
      <c r="I15" s="39">
        <f>IF((COUNTIFS('1_바디시그널'!$AD$5:$AD$13,"SOC_E",'1_바디시그널'!$AY$5:$AY$13,"ONE",'1_바디시그널'!$AN$5:$AN$13,"&gt;=1")+COUNTIFS('2_개행동'!$AD$5:$AD$28,"SOC_E",'2_개행동'!$AY$5:$AY$28,"ONE",'2_개행동'!$AN$5:$AN$28,"&gt;=1")+COUNTIFS('3_보호자행동'!$AD$5:$AD$15,"SOC_E",'3_보호자행동'!$AY$5:$AY$15,"ONE",'3_보호자행동'!$AN$5:$AN$15,"&gt;=1"))=0,"",ROUND((SUMIFS('1_바디시그널'!$AN$5:$AN$13,'1_바디시그널'!$AD$5:$AD$13,"SOC_E",'1_바디시그널'!$AY$5:$AY$13,"ONE",'1_바디시그널'!$AN$5:$AN$13,"&gt;=1")+SUMIFS('2_개행동'!$AN$5:$AN$28,'2_개행동'!$AD$5:$AD$28,"SOC_E",'2_개행동'!$AY$5:$AY$28,"ONE",'2_개행동'!$AN$5:$AN$28,"&gt;=1")+SUMIFS('3_보호자행동'!$AN$5:$AN$15,'3_보호자행동'!$AD$5:$AD$15,"SOC_E",'3_보호자행동'!$AY$5:$AY$15,"ONE",'3_보호자행동'!$AN$5:$AN$15,"&gt;=1"))/(COUNTIFS('1_바디시그널'!$AD$5:$AD$13,"SOC_E",'1_바디시그널'!$AY$5:$AY$13,"ONE",'1_바디시그널'!$AN$5:$AN$13,"&gt;=1")+COUNTIFS('2_개행동'!$AD$5:$AD$28,"SOC_E",'2_개행동'!$AY$5:$AY$28,"ONE",'2_개행동'!$AN$5:$AN$28,"&gt;=1")+COUNTIFS('3_보호자행동'!$AD$5:$AD$15,"SOC_E",'3_보호자행동'!$AY$5:$AY$15,"ONE",'3_보호자행동'!$AN$5:$AN$15,"&gt;=1")),2))</f>
        <v/>
      </c>
      <c r="J15" s="39">
        <f>IF(OR('2_개행동'!$S$13="",'2_개행동'!$S$14=""),"",IF('2_개행동'!$S$13&gt;=3,IF(ABS('2_개행동'!$S$14-3)&lt;=1,"편안·우호","우호·들뜸"),IF(ABS('2_개행동'!$S$14-3)&lt;=1,"담담·거리둠","경계·긴장")))</f>
        <v/>
      </c>
      <c r="K15" s="39">
        <f>IF((COUNTIFS('1_바디시그널'!$AD$5:$AD$13,"SOC_H",'1_바디시그널'!$AN$5:$AN$13,"&gt;=1")+COUNTIFS('2_개행동'!$AD$5:$AD$28,"SOC_H",'2_개행동'!$AN$5:$AN$28,"&gt;=1")+COUNTIFS('3_보호자행동'!$AD$5:$AD$15,"SOC_H",'3_보호자행동'!$AN$5:$AN$15,"&gt;=1"))=0,"",MAX(MAX(SUMPRODUCT(MAX(('1_바디시그널'!$AD$5:$AD$13="SOC_H")*('1_바디시그널'!$AN$5:$AN$13-3))),SUMPRODUCT(MAX(('2_개행동'!$AD$5:$AD$28="SOC_H")*('2_개행동'!$AN$5:$AN$28-3))),SUMPRODUCT(MAX(('3_보호자행동'!$AD$5:$AD$15="SOC_H")*('3_보호자행동'!$AN$5:$AN$15-3)))),MAX(SUMPRODUCT(MAX(('1_바디시그널'!$AD$5:$AD$13="SOC_H")*('1_바디시그널'!$AN$5:$AN$13&gt;=1)*(3-'1_바디시그널'!$AN$5:$AN$13))),SUMPRODUCT(MAX(('2_개행동'!$AD$5:$AD$28="SOC_H")*('2_개행동'!$AN$5:$AN$28&gt;=1)*(3-'2_개행동'!$AN$5:$AN$28))),SUMPRODUCT(MAX(('3_보호자행동'!$AD$5:$AD$15="SOC_H")*('3_보호자행동'!$AN$5:$AN$15&gt;=1)*(3-'3_보호자행동'!$AN$5:$AN$15))))))</f>
        <v/>
      </c>
      <c r="L15" s="39">
        <f>IF((COUNTIFS('1_바디시그널'!$AD$5:$AD$13,"SOC_H",'1_바디시그널'!$AY$5:$AY$13,"ONE",'1_바디시그널'!$AN$5:$AN$13,"&gt;=1")+COUNTIFS('2_개행동'!$AD$5:$AD$28,"SOC_H",'2_개행동'!$AY$5:$AY$28,"ONE",'2_개행동'!$AN$5:$AN$28,"&gt;=1")+COUNTIFS('3_보호자행동'!$AD$5:$AD$15,"SOC_H",'3_보호자행동'!$AY$5:$AY$15,"ONE",'3_보호자행동'!$AN$5:$AN$15,"&gt;=1"))=0,"",ROUND((SUMIFS('1_바디시그널'!$AN$5:$AN$13,'1_바디시그널'!$AD$5:$AD$13,"SOC_H",'1_바디시그널'!$AY$5:$AY$13,"ONE",'1_바디시그널'!$AN$5:$AN$13,"&gt;=1")+SUMIFS('2_개행동'!$AN$5:$AN$28,'2_개행동'!$AD$5:$AD$28,"SOC_H",'2_개행동'!$AY$5:$AY$28,"ONE",'2_개행동'!$AN$5:$AN$28,"&gt;=1")+SUMIFS('3_보호자행동'!$AN$5:$AN$15,'3_보호자행동'!$AD$5:$AD$15,"SOC_H",'3_보호자행동'!$AY$5:$AY$15,"ONE",'3_보호자행동'!$AN$5:$AN$15,"&gt;=1"))/(COUNTIFS('1_바디시그널'!$AD$5:$AD$13,"SOC_H",'1_바디시그널'!$AY$5:$AY$13,"ONE",'1_바디시그널'!$AN$5:$AN$13,"&gt;=1")+COUNTIFS('2_개행동'!$AD$5:$AD$28,"SOC_H",'2_개행동'!$AY$5:$AY$28,"ONE",'2_개행동'!$AN$5:$AN$28,"&gt;=1")+COUNTIFS('3_보호자행동'!$AD$5:$AD$15,"SOC_H",'3_보호자행동'!$AY$5:$AY$15,"ONE",'3_보호자행동'!$AN$5:$AN$15,"&gt;=1")),2))</f>
        <v/>
      </c>
      <c r="M15" s="39">
        <f>IF(OR('2_개행동'!$S$21="",'2_개행동'!$S$9="",'2_개행동'!$S$16="",'2_개행동'!$S$17=""),"",IF(N('2_개행동'!$S$20)&gt;=1,"일관되지 않음",IF(AVERAGE('2_개행동'!$S$21,'2_개행동'!$S$9,'2_개행동'!$S$16,'2_개행동'!$S$18)&lt;=3.5,IF(ABS('2_개행동'!$S$17-3)&lt;=1,"안정","불안"),IF(ABS('2_개행동'!$S$17-3)&lt;=1,"거리 둠","일관되지 않음"))))</f>
        <v/>
      </c>
      <c r="N15" s="39">
        <f>IF((COUNTIFS('1_바디시그널'!$AD$5:$AD$13,"ATT",'1_바디시그널'!$AN$5:$AN$13,"&gt;=1")+COUNTIFS('2_개행동'!$AD$5:$AD$28,"ATT",'2_개행동'!$AN$5:$AN$28,"&gt;=1")+COUNTIFS('3_보호자행동'!$AD$5:$AD$15,"ATT",'3_보호자행동'!$AN$5:$AN$15,"&gt;=1"))=0,"",MAX(MAX(SUMPRODUCT(MAX(('1_바디시그널'!$AD$5:$AD$13="ATT")*('1_바디시그널'!$AN$5:$AN$13-3))),SUMPRODUCT(MAX(('2_개행동'!$AD$5:$AD$28="ATT")*('2_개행동'!$AN$5:$AN$28-3))),SUMPRODUCT(MAX(('3_보호자행동'!$AD$5:$AD$15="ATT")*('3_보호자행동'!$AN$5:$AN$15-3)))),MAX(SUMPRODUCT(MAX(('1_바디시그널'!$AD$5:$AD$13="ATT")*('1_바디시그널'!$AN$5:$AN$13&gt;=1)*(3-'1_바디시그널'!$AN$5:$AN$13))),SUMPRODUCT(MAX(('2_개행동'!$AD$5:$AD$28="ATT")*('2_개행동'!$AN$5:$AN$28&gt;=1)*(3-'2_개행동'!$AN$5:$AN$28))),SUMPRODUCT(MAX(('3_보호자행동'!$AD$5:$AD$15="ATT")*('3_보호자행동'!$AN$5:$AN$15&gt;=1)*(3-'3_보호자행동'!$AN$5:$AN$15))))))</f>
        <v/>
      </c>
      <c r="O15" s="39">
        <f>IF((COUNTIFS('1_바디시그널'!$AD$5:$AD$13,"ATT",'1_바디시그널'!$AY$5:$AY$13,"ONE",'1_바디시그널'!$AN$5:$AN$13,"&gt;=1")+COUNTIFS('2_개행동'!$AD$5:$AD$28,"ATT",'2_개행동'!$AY$5:$AY$28,"ONE",'2_개행동'!$AN$5:$AN$28,"&gt;=1")+COUNTIFS('3_보호자행동'!$AD$5:$AD$15,"ATT",'3_보호자행동'!$AY$5:$AY$15,"ONE",'3_보호자행동'!$AN$5:$AN$15,"&gt;=1"))=0,"",ROUND((SUMIFS('1_바디시그널'!$AN$5:$AN$13,'1_바디시그널'!$AD$5:$AD$13,"ATT",'1_바디시그널'!$AY$5:$AY$13,"ONE",'1_바디시그널'!$AN$5:$AN$13,"&gt;=1")+SUMIFS('2_개행동'!$AN$5:$AN$28,'2_개행동'!$AD$5:$AD$28,"ATT",'2_개행동'!$AY$5:$AY$28,"ONE",'2_개행동'!$AN$5:$AN$28,"&gt;=1")+SUMIFS('3_보호자행동'!$AN$5:$AN$15,'3_보호자행동'!$AD$5:$AD$15,"ATT",'3_보호자행동'!$AY$5:$AY$15,"ONE",'3_보호자행동'!$AN$5:$AN$15,"&gt;=1"))/(COUNTIFS('1_바디시그널'!$AD$5:$AD$13,"ATT",'1_바디시그널'!$AY$5:$AY$13,"ONE",'1_바디시그널'!$AN$5:$AN$13,"&gt;=1")+COUNTIFS('2_개행동'!$AD$5:$AD$28,"ATT",'2_개행동'!$AY$5:$AY$28,"ONE",'2_개행동'!$AN$5:$AN$28,"&gt;=1")+COUNTIFS('3_보호자행동'!$AD$5:$AD$15,"ATT",'3_보호자행동'!$AY$5:$AY$15,"ONE",'3_보호자행동'!$AN$5:$AN$15,"&gt;=1")),2))</f>
        <v/>
      </c>
      <c r="P15" s="48">
        <f>IF((COUNTIFS('1_바디시그널'!$AD$5:$AD$13,"SYN",'1_바디시그널'!$AY$5:$AY$13,"BI",'1_바디시그널'!$AN$5:$AN$13,"&gt;=1")+COUNTIFS('2_개행동'!$AD$5:$AD$28,"SYN",'2_개행동'!$AY$5:$AY$28,"BI",'2_개행동'!$AN$5:$AN$28,"&gt;=1")+COUNTIFS('3_보호자행동'!$AD$5:$AD$15,"SYN",'3_보호자행동'!$AY$5:$AY$15,"BI",'3_보호자행동'!$AN$5:$AN$15,"&gt;=1"))=0,"",ROUND((SUMIFS('1_바디시그널'!$AN$5:$AN$13,'1_바디시그널'!$AD$5:$AD$13,"SYN",'1_바디시그널'!$AY$5:$AY$13,"BI",'1_바디시그널'!$AN$5:$AN$13,"&gt;=1")+SUMIFS('2_개행동'!$AN$5:$AN$28,'2_개행동'!$AD$5:$AD$28,"SYN",'2_개행동'!$AY$5:$AY$28,"BI",'2_개행동'!$AN$5:$AN$28,"&gt;=1")+SUMIFS('3_보호자행동'!$AN$5:$AN$15,'3_보호자행동'!$AD$5:$AD$15,"SYN",'3_보호자행동'!$AY$5:$AY$15,"BI",'3_보호자행동'!$AN$5:$AN$15,"&gt;=1"))/(COUNTIFS('1_바디시그널'!$AD$5:$AD$13,"SYN",'1_바디시그널'!$AY$5:$AY$13,"BI",'1_바디시그널'!$AN$5:$AN$13,"&gt;=1")+COUNTIFS('2_개행동'!$AD$5:$AD$28,"SYN",'2_개행동'!$AY$5:$AY$28,"BI",'2_개행동'!$AN$5:$AN$28,"&gt;=1")+COUNTIFS('3_보호자행동'!$AD$5:$AD$15,"SYN",'3_보호자행동'!$AY$5:$AY$15,"BI",'3_보호자행동'!$AN$5:$AN$15,"&gt;=1"))-3,2))</f>
        <v/>
      </c>
      <c r="Q15" s="39">
        <f>IF((COUNTIFS('1_바디시그널'!$AD$5:$AD$13,"SYN",'1_바디시그널'!$AN$5:$AN$13,"&gt;=1")+COUNTIFS('2_개행동'!$AD$5:$AD$28,"SYN",'2_개행동'!$AN$5:$AN$28,"&gt;=1")+COUNTIFS('3_보호자행동'!$AD$5:$AD$15,"SYN",'3_보호자행동'!$AN$5:$AN$15,"&gt;=1"))=0,"",MAX(MAX(SUMPRODUCT(MAX(('1_바디시그널'!$AD$5:$AD$13="SYN")*('1_바디시그널'!$AN$5:$AN$13-3))),SUMPRODUCT(MAX(('2_개행동'!$AD$5:$AD$28="SYN")*('2_개행동'!$AN$5:$AN$28-3))),SUMPRODUCT(MAX(('3_보호자행동'!$AD$5:$AD$15="SYN")*('3_보호자행동'!$AN$5:$AN$15-3)))),MAX(SUMPRODUCT(MAX(('1_바디시그널'!$AD$5:$AD$13="SYN")*('1_바디시그널'!$AN$5:$AN$13&gt;=1)*(3-'1_바디시그널'!$AN$5:$AN$13))),SUMPRODUCT(MAX(('2_개행동'!$AD$5:$AD$28="SYN")*('2_개행동'!$AN$5:$AN$28&gt;=1)*(3-'2_개행동'!$AN$5:$AN$28))),SUMPRODUCT(MAX(('3_보호자행동'!$AD$5:$AD$15="SYN")*('3_보호자행동'!$AN$5:$AN$15&gt;=1)*(3-'3_보호자행동'!$AN$5:$AN$15))))))</f>
        <v/>
      </c>
      <c r="R15" s="39">
        <f>IF((COUNTIFS('1_바디시그널'!$AD$5:$AD$13,"SYN",'1_바디시그널'!$AY$5:$AY$13,"ONE",'1_바디시그널'!$AN$5:$AN$13,"&gt;=1")+COUNTIFS('2_개행동'!$AD$5:$AD$28,"SYN",'2_개행동'!$AY$5:$AY$28,"ONE",'2_개행동'!$AN$5:$AN$28,"&gt;=1")+COUNTIFS('3_보호자행동'!$AD$5:$AD$15,"SYN",'3_보호자행동'!$AY$5:$AY$15,"ONE",'3_보호자행동'!$AN$5:$AN$15,"&gt;=1"))=0,"",ROUND((SUMIFS('1_바디시그널'!$AN$5:$AN$13,'1_바디시그널'!$AD$5:$AD$13,"SYN",'1_바디시그널'!$AY$5:$AY$13,"ONE",'1_바디시그널'!$AN$5:$AN$13,"&gt;=1")+SUMIFS('2_개행동'!$AN$5:$AN$28,'2_개행동'!$AD$5:$AD$28,"SYN",'2_개행동'!$AY$5:$AY$28,"ONE",'2_개행동'!$AN$5:$AN$28,"&gt;=1")+SUMIFS('3_보호자행동'!$AN$5:$AN$15,'3_보호자행동'!$AD$5:$AD$15,"SYN",'3_보호자행동'!$AY$5:$AY$15,"ONE",'3_보호자행동'!$AN$5:$AN$15,"&gt;=1"))/(COUNTIFS('1_바디시그널'!$AD$5:$AD$13,"SYN",'1_바디시그널'!$AY$5:$AY$13,"ONE",'1_바디시그널'!$AN$5:$AN$13,"&gt;=1")+COUNTIFS('2_개행동'!$AD$5:$AD$28,"SYN",'2_개행동'!$AY$5:$AY$28,"ONE",'2_개행동'!$AN$5:$AN$28,"&gt;=1")+COUNTIFS('3_보호자행동'!$AD$5:$AD$15,"SYN",'3_보호자행동'!$AY$5:$AY$15,"ONE",'3_보호자행동'!$AN$5:$AN$15,"&gt;=1")),2))</f>
        <v/>
      </c>
      <c r="S15" s="48">
        <f>IF((COUNTIFS('1_바디시그널'!$AD$5:$AD$13,"EXIT",'1_바디시그널'!$AY$5:$AY$13,"BI",'1_바디시그널'!$AN$5:$AN$13,"&gt;=1")+COUNTIFS('2_개행동'!$AD$5:$AD$28,"EXIT",'2_개행동'!$AY$5:$AY$28,"BI",'2_개행동'!$AN$5:$AN$28,"&gt;=1")+COUNTIFS('3_보호자행동'!$AD$5:$AD$15,"EXIT",'3_보호자행동'!$AY$5:$AY$15,"BI",'3_보호자행동'!$AN$5:$AN$15,"&gt;=1"))=0,"",ROUND((SUMIFS('1_바디시그널'!$AN$5:$AN$13,'1_바디시그널'!$AD$5:$AD$13,"EXIT",'1_바디시그널'!$AY$5:$AY$13,"BI",'1_바디시그널'!$AN$5:$AN$13,"&gt;=1")+SUMIFS('2_개행동'!$AN$5:$AN$28,'2_개행동'!$AD$5:$AD$28,"EXIT",'2_개행동'!$AY$5:$AY$28,"BI",'2_개행동'!$AN$5:$AN$28,"&gt;=1")+SUMIFS('3_보호자행동'!$AN$5:$AN$15,'3_보호자행동'!$AD$5:$AD$15,"EXIT",'3_보호자행동'!$AY$5:$AY$15,"BI",'3_보호자행동'!$AN$5:$AN$15,"&gt;=1"))/(COUNTIFS('1_바디시그널'!$AD$5:$AD$13,"EXIT",'1_바디시그널'!$AY$5:$AY$13,"BI",'1_바디시그널'!$AN$5:$AN$13,"&gt;=1")+COUNTIFS('2_개행동'!$AD$5:$AD$28,"EXIT",'2_개행동'!$AY$5:$AY$28,"BI",'2_개행동'!$AN$5:$AN$28,"&gt;=1")+COUNTIFS('3_보호자행동'!$AD$5:$AD$15,"EXIT",'3_보호자행동'!$AY$5:$AY$15,"BI",'3_보호자행동'!$AN$5:$AN$15,"&gt;=1"))-3,2))</f>
        <v/>
      </c>
      <c r="T15" s="39">
        <f>IF((COUNTIFS('1_바디시그널'!$AD$5:$AD$13,"EXIT",'1_바디시그널'!$AN$5:$AN$13,"&gt;=1")+COUNTIFS('2_개행동'!$AD$5:$AD$28,"EXIT",'2_개행동'!$AN$5:$AN$28,"&gt;=1")+COUNTIFS('3_보호자행동'!$AD$5:$AD$15,"EXIT",'3_보호자행동'!$AN$5:$AN$15,"&gt;=1"))=0,"",MAX(MAX(SUMPRODUCT(MAX(('1_바디시그널'!$AD$5:$AD$13="EXIT")*('1_바디시그널'!$AN$5:$AN$13-3))),SUMPRODUCT(MAX(('2_개행동'!$AD$5:$AD$28="EXIT")*('2_개행동'!$AN$5:$AN$28-3))),SUMPRODUCT(MAX(('3_보호자행동'!$AD$5:$AD$15="EXIT")*('3_보호자행동'!$AN$5:$AN$15-3)))),MAX(SUMPRODUCT(MAX(('1_바디시그널'!$AD$5:$AD$13="EXIT")*('1_바디시그널'!$AN$5:$AN$13&gt;=1)*(3-'1_바디시그널'!$AN$5:$AN$13))),SUMPRODUCT(MAX(('2_개행동'!$AD$5:$AD$28="EXIT")*('2_개행동'!$AN$5:$AN$28&gt;=1)*(3-'2_개행동'!$AN$5:$AN$28))),SUMPRODUCT(MAX(('3_보호자행동'!$AD$5:$AD$15="EXIT")*('3_보호자행동'!$AN$5:$AN$15&gt;=1)*(3-'3_보호자행동'!$AN$5:$AN$15))))))</f>
        <v/>
      </c>
      <c r="U15" s="39">
        <f>IF((COUNTIFS('1_바디시그널'!$AD$5:$AD$13,"EXIT",'1_바디시그널'!$AY$5:$AY$13,"ONE",'1_바디시그널'!$AN$5:$AN$13,"&gt;=1")+COUNTIFS('2_개행동'!$AD$5:$AD$28,"EXIT",'2_개행동'!$AY$5:$AY$28,"ONE",'2_개행동'!$AN$5:$AN$28,"&gt;=1")+COUNTIFS('3_보호자행동'!$AD$5:$AD$15,"EXIT",'3_보호자행동'!$AY$5:$AY$15,"ONE",'3_보호자행동'!$AN$5:$AN$15,"&gt;=1"))=0,"",ROUND((SUMIFS('1_바디시그널'!$AN$5:$AN$13,'1_바디시그널'!$AD$5:$AD$13,"EXIT",'1_바디시그널'!$AY$5:$AY$13,"ONE",'1_바디시그널'!$AN$5:$AN$13,"&gt;=1")+SUMIFS('2_개행동'!$AN$5:$AN$28,'2_개행동'!$AD$5:$AD$28,"EXIT",'2_개행동'!$AY$5:$AY$28,"ONE",'2_개행동'!$AN$5:$AN$28,"&gt;=1")+SUMIFS('3_보호자행동'!$AN$5:$AN$15,'3_보호자행동'!$AD$5:$AD$15,"EXIT",'3_보호자행동'!$AY$5:$AY$15,"ONE",'3_보호자행동'!$AN$5:$AN$15,"&gt;=1"))/(COUNTIFS('1_바디시그널'!$AD$5:$AD$13,"EXIT",'1_바디시그널'!$AY$5:$AY$13,"ONE",'1_바디시그널'!$AN$5:$AN$13,"&gt;=1")+COUNTIFS('2_개행동'!$AD$5:$AD$28,"EXIT",'2_개행동'!$AY$5:$AY$28,"ONE",'2_개행동'!$AN$5:$AN$28,"&gt;=1")+COUNTIFS('3_보호자행동'!$AD$5:$AD$15,"EXIT",'3_보호자행동'!$AY$5:$AY$15,"ONE",'3_보호자행동'!$AN$5:$AN$15,"&gt;=1")),2))</f>
        <v/>
      </c>
      <c r="V15" s="49">
        <f>IF(OR('2_개행동'!$S$8="",'2_개행동'!$S$22=""),"",ABS('2_개행동'!$S$8-3)-ABS('2_개행동'!$S$22-3))</f>
        <v/>
      </c>
      <c r="W15" s="49">
        <f>IF(OR('2_개행동'!$S$10="",'2_개행동'!$S$17=""),"",ABS('2_개행동'!$S$10-3)-ABS('2_개행동'!$S$17-3))</f>
        <v/>
      </c>
      <c r="X15" s="49">
        <f>IF(OR('2_개행동'!$S$10="",'2_개행동'!$S$14=""),"",ABS('2_개행동'!$S$10-3)-ABS('2_개행동'!$S$14-3))</f>
        <v/>
      </c>
      <c r="Y15" s="39">
        <f>IF('2_개행동'!$S$8="","",'2_개행동'!$S$8)</f>
        <v/>
      </c>
      <c r="Z15" s="40">
        <f>IF('2_개행동'!$S$25="","",IF('3_보호자행동'!$S$13=3,"무효",'2_개행동'!$S$25/6))</f>
        <v/>
      </c>
      <c r="AA15" s="35" t="n"/>
    </row>
    <row r="16">
      <c r="A16" s="39" t="n">
        <v>11</v>
      </c>
      <c r="B16" s="39" t="n"/>
      <c r="C16" s="39" t="n"/>
      <c r="D16" s="48">
        <f>IF((COUNTIFS('1_바디시그널'!$AD$5:$AD$13,"EDU",'1_바디시그널'!$AY$5:$AY$13,"BI",'1_바디시그널'!$AO$5:$AO$13,"&gt;=1")+COUNTIFS('2_개행동'!$AD$5:$AD$28,"EDU",'2_개행동'!$AY$5:$AY$28,"BI",'2_개행동'!$AO$5:$AO$28,"&gt;=1")+COUNTIFS('3_보호자행동'!$AD$5:$AD$15,"EDU",'3_보호자행동'!$AY$5:$AY$15,"BI",'3_보호자행동'!$AO$5:$AO$15,"&gt;=1"))=0,"",ROUND((SUMIFS('1_바디시그널'!$AO$5:$AO$13,'1_바디시그널'!$AD$5:$AD$13,"EDU",'1_바디시그널'!$AY$5:$AY$13,"BI",'1_바디시그널'!$AO$5:$AO$13,"&gt;=1")+SUMIFS('2_개행동'!$AO$5:$AO$28,'2_개행동'!$AD$5:$AD$28,"EDU",'2_개행동'!$AY$5:$AY$28,"BI",'2_개행동'!$AO$5:$AO$28,"&gt;=1")+SUMIFS('3_보호자행동'!$AO$5:$AO$15,'3_보호자행동'!$AD$5:$AD$15,"EDU",'3_보호자행동'!$AY$5:$AY$15,"BI",'3_보호자행동'!$AO$5:$AO$15,"&gt;=1"))/(COUNTIFS('1_바디시그널'!$AD$5:$AD$13,"EDU",'1_바디시그널'!$AY$5:$AY$13,"BI",'1_바디시그널'!$AO$5:$AO$13,"&gt;=1")+COUNTIFS('2_개행동'!$AD$5:$AD$28,"EDU",'2_개행동'!$AY$5:$AY$28,"BI",'2_개행동'!$AO$5:$AO$28,"&gt;=1")+COUNTIFS('3_보호자행동'!$AD$5:$AD$15,"EDU",'3_보호자행동'!$AY$5:$AY$15,"BI",'3_보호자행동'!$AO$5:$AO$15,"&gt;=1"))-3,2))</f>
        <v/>
      </c>
      <c r="E16" s="39">
        <f>IF((COUNTIFS('1_바디시그널'!$AD$5:$AD$13,"EDU",'1_바디시그널'!$AO$5:$AO$13,"&gt;=1")+COUNTIFS('2_개행동'!$AD$5:$AD$28,"EDU",'2_개행동'!$AO$5:$AO$28,"&gt;=1")+COUNTIFS('3_보호자행동'!$AD$5:$AD$15,"EDU",'3_보호자행동'!$AO$5:$AO$15,"&gt;=1"))=0,"",MAX(MAX(SUMPRODUCT(MAX(('1_바디시그널'!$AD$5:$AD$13="EDU")*('1_바디시그널'!$AO$5:$AO$13-3))),SUMPRODUCT(MAX(('2_개행동'!$AD$5:$AD$28="EDU")*('2_개행동'!$AO$5:$AO$28-3))),SUMPRODUCT(MAX(('3_보호자행동'!$AD$5:$AD$15="EDU")*('3_보호자행동'!$AO$5:$AO$15-3)))),MAX(SUMPRODUCT(MAX(('1_바디시그널'!$AD$5:$AD$13="EDU")*('1_바디시그널'!$AO$5:$AO$13&gt;=1)*(3-'1_바디시그널'!$AO$5:$AO$13))),SUMPRODUCT(MAX(('2_개행동'!$AD$5:$AD$28="EDU")*('2_개행동'!$AO$5:$AO$28&gt;=1)*(3-'2_개행동'!$AO$5:$AO$28))),SUMPRODUCT(MAX(('3_보호자행동'!$AD$5:$AD$15="EDU")*('3_보호자행동'!$AO$5:$AO$15&gt;=1)*(3-'3_보호자행동'!$AO$5:$AO$15))))))</f>
        <v/>
      </c>
      <c r="F16" s="39">
        <f>IF((COUNTIFS('1_바디시그널'!$AD$5:$AD$13,"EDU",'1_바디시그널'!$AY$5:$AY$13,"ONE",'1_바디시그널'!$AO$5:$AO$13,"&gt;=1")+COUNTIFS('2_개행동'!$AD$5:$AD$28,"EDU",'2_개행동'!$AY$5:$AY$28,"ONE",'2_개행동'!$AO$5:$AO$28,"&gt;=1")+COUNTIFS('3_보호자행동'!$AD$5:$AD$15,"EDU",'3_보호자행동'!$AY$5:$AY$15,"ONE",'3_보호자행동'!$AO$5:$AO$15,"&gt;=1"))=0,"",ROUND((SUMIFS('1_바디시그널'!$AO$5:$AO$13,'1_바디시그널'!$AD$5:$AD$13,"EDU",'1_바디시그널'!$AY$5:$AY$13,"ONE",'1_바디시그널'!$AO$5:$AO$13,"&gt;=1")+SUMIFS('2_개행동'!$AO$5:$AO$28,'2_개행동'!$AD$5:$AD$28,"EDU",'2_개행동'!$AY$5:$AY$28,"ONE",'2_개행동'!$AO$5:$AO$28,"&gt;=1")+SUMIFS('3_보호자행동'!$AO$5:$AO$15,'3_보호자행동'!$AD$5:$AD$15,"EDU",'3_보호자행동'!$AY$5:$AY$15,"ONE",'3_보호자행동'!$AO$5:$AO$15,"&gt;=1"))/(COUNTIFS('1_바디시그널'!$AD$5:$AD$13,"EDU",'1_바디시그널'!$AY$5:$AY$13,"ONE",'1_바디시그널'!$AO$5:$AO$13,"&gt;=1")+COUNTIFS('2_개행동'!$AD$5:$AD$28,"EDU",'2_개행동'!$AY$5:$AY$28,"ONE",'2_개행동'!$AO$5:$AO$28,"&gt;=1")+COUNTIFS('3_보호자행동'!$AD$5:$AD$15,"EDU",'3_보호자행동'!$AY$5:$AY$15,"ONE",'3_보호자행동'!$AO$5:$AO$15,"&gt;=1")),2))</f>
        <v/>
      </c>
      <c r="G16" s="48">
        <f>IF((COUNTIFS('1_바디시그널'!$AD$5:$AD$13,"SOC_E",'1_바디시그널'!$AY$5:$AY$13,"BI",'1_바디시그널'!$AO$5:$AO$13,"&gt;=1")+COUNTIFS('2_개행동'!$AD$5:$AD$28,"SOC_E",'2_개행동'!$AY$5:$AY$28,"BI",'2_개행동'!$AO$5:$AO$28,"&gt;=1")+COUNTIFS('3_보호자행동'!$AD$5:$AD$15,"SOC_E",'3_보호자행동'!$AY$5:$AY$15,"BI",'3_보호자행동'!$AO$5:$AO$15,"&gt;=1"))=0,"",ROUND((SUMIFS('1_바디시그널'!$AO$5:$AO$13,'1_바디시그널'!$AD$5:$AD$13,"SOC_E",'1_바디시그널'!$AY$5:$AY$13,"BI",'1_바디시그널'!$AO$5:$AO$13,"&gt;=1")+SUMIFS('2_개행동'!$AO$5:$AO$28,'2_개행동'!$AD$5:$AD$28,"SOC_E",'2_개행동'!$AY$5:$AY$28,"BI",'2_개행동'!$AO$5:$AO$28,"&gt;=1")+SUMIFS('3_보호자행동'!$AO$5:$AO$15,'3_보호자행동'!$AD$5:$AD$15,"SOC_E",'3_보호자행동'!$AY$5:$AY$15,"BI",'3_보호자행동'!$AO$5:$AO$15,"&gt;=1"))/(COUNTIFS('1_바디시그널'!$AD$5:$AD$13,"SOC_E",'1_바디시그널'!$AY$5:$AY$13,"BI",'1_바디시그널'!$AO$5:$AO$13,"&gt;=1")+COUNTIFS('2_개행동'!$AD$5:$AD$28,"SOC_E",'2_개행동'!$AY$5:$AY$28,"BI",'2_개행동'!$AO$5:$AO$28,"&gt;=1")+COUNTIFS('3_보호자행동'!$AD$5:$AD$15,"SOC_E",'3_보호자행동'!$AY$5:$AY$15,"BI",'3_보호자행동'!$AO$5:$AO$15,"&gt;=1"))-3,2))</f>
        <v/>
      </c>
      <c r="H16" s="39">
        <f>IF((COUNTIFS('1_바디시그널'!$AD$5:$AD$13,"SOC_E",'1_바디시그널'!$AO$5:$AO$13,"&gt;=1")+COUNTIFS('2_개행동'!$AD$5:$AD$28,"SOC_E",'2_개행동'!$AO$5:$AO$28,"&gt;=1")+COUNTIFS('3_보호자행동'!$AD$5:$AD$15,"SOC_E",'3_보호자행동'!$AO$5:$AO$15,"&gt;=1"))=0,"",MAX(MAX(SUMPRODUCT(MAX(('1_바디시그널'!$AD$5:$AD$13="SOC_E")*('1_바디시그널'!$AO$5:$AO$13-3))),SUMPRODUCT(MAX(('2_개행동'!$AD$5:$AD$28="SOC_E")*('2_개행동'!$AO$5:$AO$28-3))),SUMPRODUCT(MAX(('3_보호자행동'!$AD$5:$AD$15="SOC_E")*('3_보호자행동'!$AO$5:$AO$15-3)))),MAX(SUMPRODUCT(MAX(('1_바디시그널'!$AD$5:$AD$13="SOC_E")*('1_바디시그널'!$AO$5:$AO$13&gt;=1)*(3-'1_바디시그널'!$AO$5:$AO$13))),SUMPRODUCT(MAX(('2_개행동'!$AD$5:$AD$28="SOC_E")*('2_개행동'!$AO$5:$AO$28&gt;=1)*(3-'2_개행동'!$AO$5:$AO$28))),SUMPRODUCT(MAX(('3_보호자행동'!$AD$5:$AD$15="SOC_E")*('3_보호자행동'!$AO$5:$AO$15&gt;=1)*(3-'3_보호자행동'!$AO$5:$AO$15))))))</f>
        <v/>
      </c>
      <c r="I16" s="39">
        <f>IF((COUNTIFS('1_바디시그널'!$AD$5:$AD$13,"SOC_E",'1_바디시그널'!$AY$5:$AY$13,"ONE",'1_바디시그널'!$AO$5:$AO$13,"&gt;=1")+COUNTIFS('2_개행동'!$AD$5:$AD$28,"SOC_E",'2_개행동'!$AY$5:$AY$28,"ONE",'2_개행동'!$AO$5:$AO$28,"&gt;=1")+COUNTIFS('3_보호자행동'!$AD$5:$AD$15,"SOC_E",'3_보호자행동'!$AY$5:$AY$15,"ONE",'3_보호자행동'!$AO$5:$AO$15,"&gt;=1"))=0,"",ROUND((SUMIFS('1_바디시그널'!$AO$5:$AO$13,'1_바디시그널'!$AD$5:$AD$13,"SOC_E",'1_바디시그널'!$AY$5:$AY$13,"ONE",'1_바디시그널'!$AO$5:$AO$13,"&gt;=1")+SUMIFS('2_개행동'!$AO$5:$AO$28,'2_개행동'!$AD$5:$AD$28,"SOC_E",'2_개행동'!$AY$5:$AY$28,"ONE",'2_개행동'!$AO$5:$AO$28,"&gt;=1")+SUMIFS('3_보호자행동'!$AO$5:$AO$15,'3_보호자행동'!$AD$5:$AD$15,"SOC_E",'3_보호자행동'!$AY$5:$AY$15,"ONE",'3_보호자행동'!$AO$5:$AO$15,"&gt;=1"))/(COUNTIFS('1_바디시그널'!$AD$5:$AD$13,"SOC_E",'1_바디시그널'!$AY$5:$AY$13,"ONE",'1_바디시그널'!$AO$5:$AO$13,"&gt;=1")+COUNTIFS('2_개행동'!$AD$5:$AD$28,"SOC_E",'2_개행동'!$AY$5:$AY$28,"ONE",'2_개행동'!$AO$5:$AO$28,"&gt;=1")+COUNTIFS('3_보호자행동'!$AD$5:$AD$15,"SOC_E",'3_보호자행동'!$AY$5:$AY$15,"ONE",'3_보호자행동'!$AO$5:$AO$15,"&gt;=1")),2))</f>
        <v/>
      </c>
      <c r="J16" s="39">
        <f>IF(OR('2_개행동'!$T$13="",'2_개행동'!$T$14=""),"",IF('2_개행동'!$T$13&gt;=3,IF(ABS('2_개행동'!$T$14-3)&lt;=1,"편안·우호","우호·들뜸"),IF(ABS('2_개행동'!$T$14-3)&lt;=1,"담담·거리둠","경계·긴장")))</f>
        <v/>
      </c>
      <c r="K16" s="39">
        <f>IF((COUNTIFS('1_바디시그널'!$AD$5:$AD$13,"SOC_H",'1_바디시그널'!$AO$5:$AO$13,"&gt;=1")+COUNTIFS('2_개행동'!$AD$5:$AD$28,"SOC_H",'2_개행동'!$AO$5:$AO$28,"&gt;=1")+COUNTIFS('3_보호자행동'!$AD$5:$AD$15,"SOC_H",'3_보호자행동'!$AO$5:$AO$15,"&gt;=1"))=0,"",MAX(MAX(SUMPRODUCT(MAX(('1_바디시그널'!$AD$5:$AD$13="SOC_H")*('1_바디시그널'!$AO$5:$AO$13-3))),SUMPRODUCT(MAX(('2_개행동'!$AD$5:$AD$28="SOC_H")*('2_개행동'!$AO$5:$AO$28-3))),SUMPRODUCT(MAX(('3_보호자행동'!$AD$5:$AD$15="SOC_H")*('3_보호자행동'!$AO$5:$AO$15-3)))),MAX(SUMPRODUCT(MAX(('1_바디시그널'!$AD$5:$AD$13="SOC_H")*('1_바디시그널'!$AO$5:$AO$13&gt;=1)*(3-'1_바디시그널'!$AO$5:$AO$13))),SUMPRODUCT(MAX(('2_개행동'!$AD$5:$AD$28="SOC_H")*('2_개행동'!$AO$5:$AO$28&gt;=1)*(3-'2_개행동'!$AO$5:$AO$28))),SUMPRODUCT(MAX(('3_보호자행동'!$AD$5:$AD$15="SOC_H")*('3_보호자행동'!$AO$5:$AO$15&gt;=1)*(3-'3_보호자행동'!$AO$5:$AO$15))))))</f>
        <v/>
      </c>
      <c r="L16" s="39">
        <f>IF((COUNTIFS('1_바디시그널'!$AD$5:$AD$13,"SOC_H",'1_바디시그널'!$AY$5:$AY$13,"ONE",'1_바디시그널'!$AO$5:$AO$13,"&gt;=1")+COUNTIFS('2_개행동'!$AD$5:$AD$28,"SOC_H",'2_개행동'!$AY$5:$AY$28,"ONE",'2_개행동'!$AO$5:$AO$28,"&gt;=1")+COUNTIFS('3_보호자행동'!$AD$5:$AD$15,"SOC_H",'3_보호자행동'!$AY$5:$AY$15,"ONE",'3_보호자행동'!$AO$5:$AO$15,"&gt;=1"))=0,"",ROUND((SUMIFS('1_바디시그널'!$AO$5:$AO$13,'1_바디시그널'!$AD$5:$AD$13,"SOC_H",'1_바디시그널'!$AY$5:$AY$13,"ONE",'1_바디시그널'!$AO$5:$AO$13,"&gt;=1")+SUMIFS('2_개행동'!$AO$5:$AO$28,'2_개행동'!$AD$5:$AD$28,"SOC_H",'2_개행동'!$AY$5:$AY$28,"ONE",'2_개행동'!$AO$5:$AO$28,"&gt;=1")+SUMIFS('3_보호자행동'!$AO$5:$AO$15,'3_보호자행동'!$AD$5:$AD$15,"SOC_H",'3_보호자행동'!$AY$5:$AY$15,"ONE",'3_보호자행동'!$AO$5:$AO$15,"&gt;=1"))/(COUNTIFS('1_바디시그널'!$AD$5:$AD$13,"SOC_H",'1_바디시그널'!$AY$5:$AY$13,"ONE",'1_바디시그널'!$AO$5:$AO$13,"&gt;=1")+COUNTIFS('2_개행동'!$AD$5:$AD$28,"SOC_H",'2_개행동'!$AY$5:$AY$28,"ONE",'2_개행동'!$AO$5:$AO$28,"&gt;=1")+COUNTIFS('3_보호자행동'!$AD$5:$AD$15,"SOC_H",'3_보호자행동'!$AY$5:$AY$15,"ONE",'3_보호자행동'!$AO$5:$AO$15,"&gt;=1")),2))</f>
        <v/>
      </c>
      <c r="M16" s="39">
        <f>IF(OR('2_개행동'!$T$21="",'2_개행동'!$T$9="",'2_개행동'!$T$16="",'2_개행동'!$T$17=""),"",IF(N('2_개행동'!$T$20)&gt;=1,"일관되지 않음",IF(AVERAGE('2_개행동'!$T$21,'2_개행동'!$T$9,'2_개행동'!$T$16,'2_개행동'!$T$18)&lt;=3.5,IF(ABS('2_개행동'!$T$17-3)&lt;=1,"안정","불안"),IF(ABS('2_개행동'!$T$17-3)&lt;=1,"거리 둠","일관되지 않음"))))</f>
        <v/>
      </c>
      <c r="N16" s="39">
        <f>IF((COUNTIFS('1_바디시그널'!$AD$5:$AD$13,"ATT",'1_바디시그널'!$AO$5:$AO$13,"&gt;=1")+COUNTIFS('2_개행동'!$AD$5:$AD$28,"ATT",'2_개행동'!$AO$5:$AO$28,"&gt;=1")+COUNTIFS('3_보호자행동'!$AD$5:$AD$15,"ATT",'3_보호자행동'!$AO$5:$AO$15,"&gt;=1"))=0,"",MAX(MAX(SUMPRODUCT(MAX(('1_바디시그널'!$AD$5:$AD$13="ATT")*('1_바디시그널'!$AO$5:$AO$13-3))),SUMPRODUCT(MAX(('2_개행동'!$AD$5:$AD$28="ATT")*('2_개행동'!$AO$5:$AO$28-3))),SUMPRODUCT(MAX(('3_보호자행동'!$AD$5:$AD$15="ATT")*('3_보호자행동'!$AO$5:$AO$15-3)))),MAX(SUMPRODUCT(MAX(('1_바디시그널'!$AD$5:$AD$13="ATT")*('1_바디시그널'!$AO$5:$AO$13&gt;=1)*(3-'1_바디시그널'!$AO$5:$AO$13))),SUMPRODUCT(MAX(('2_개행동'!$AD$5:$AD$28="ATT")*('2_개행동'!$AO$5:$AO$28&gt;=1)*(3-'2_개행동'!$AO$5:$AO$28))),SUMPRODUCT(MAX(('3_보호자행동'!$AD$5:$AD$15="ATT")*('3_보호자행동'!$AO$5:$AO$15&gt;=1)*(3-'3_보호자행동'!$AO$5:$AO$15))))))</f>
        <v/>
      </c>
      <c r="O16" s="39">
        <f>IF((COUNTIFS('1_바디시그널'!$AD$5:$AD$13,"ATT",'1_바디시그널'!$AY$5:$AY$13,"ONE",'1_바디시그널'!$AO$5:$AO$13,"&gt;=1")+COUNTIFS('2_개행동'!$AD$5:$AD$28,"ATT",'2_개행동'!$AY$5:$AY$28,"ONE",'2_개행동'!$AO$5:$AO$28,"&gt;=1")+COUNTIFS('3_보호자행동'!$AD$5:$AD$15,"ATT",'3_보호자행동'!$AY$5:$AY$15,"ONE",'3_보호자행동'!$AO$5:$AO$15,"&gt;=1"))=0,"",ROUND((SUMIFS('1_바디시그널'!$AO$5:$AO$13,'1_바디시그널'!$AD$5:$AD$13,"ATT",'1_바디시그널'!$AY$5:$AY$13,"ONE",'1_바디시그널'!$AO$5:$AO$13,"&gt;=1")+SUMIFS('2_개행동'!$AO$5:$AO$28,'2_개행동'!$AD$5:$AD$28,"ATT",'2_개행동'!$AY$5:$AY$28,"ONE",'2_개행동'!$AO$5:$AO$28,"&gt;=1")+SUMIFS('3_보호자행동'!$AO$5:$AO$15,'3_보호자행동'!$AD$5:$AD$15,"ATT",'3_보호자행동'!$AY$5:$AY$15,"ONE",'3_보호자행동'!$AO$5:$AO$15,"&gt;=1"))/(COUNTIFS('1_바디시그널'!$AD$5:$AD$13,"ATT",'1_바디시그널'!$AY$5:$AY$13,"ONE",'1_바디시그널'!$AO$5:$AO$13,"&gt;=1")+COUNTIFS('2_개행동'!$AD$5:$AD$28,"ATT",'2_개행동'!$AY$5:$AY$28,"ONE",'2_개행동'!$AO$5:$AO$28,"&gt;=1")+COUNTIFS('3_보호자행동'!$AD$5:$AD$15,"ATT",'3_보호자행동'!$AY$5:$AY$15,"ONE",'3_보호자행동'!$AO$5:$AO$15,"&gt;=1")),2))</f>
        <v/>
      </c>
      <c r="P16" s="48">
        <f>IF((COUNTIFS('1_바디시그널'!$AD$5:$AD$13,"SYN",'1_바디시그널'!$AY$5:$AY$13,"BI",'1_바디시그널'!$AO$5:$AO$13,"&gt;=1")+COUNTIFS('2_개행동'!$AD$5:$AD$28,"SYN",'2_개행동'!$AY$5:$AY$28,"BI",'2_개행동'!$AO$5:$AO$28,"&gt;=1")+COUNTIFS('3_보호자행동'!$AD$5:$AD$15,"SYN",'3_보호자행동'!$AY$5:$AY$15,"BI",'3_보호자행동'!$AO$5:$AO$15,"&gt;=1"))=0,"",ROUND((SUMIFS('1_바디시그널'!$AO$5:$AO$13,'1_바디시그널'!$AD$5:$AD$13,"SYN",'1_바디시그널'!$AY$5:$AY$13,"BI",'1_바디시그널'!$AO$5:$AO$13,"&gt;=1")+SUMIFS('2_개행동'!$AO$5:$AO$28,'2_개행동'!$AD$5:$AD$28,"SYN",'2_개행동'!$AY$5:$AY$28,"BI",'2_개행동'!$AO$5:$AO$28,"&gt;=1")+SUMIFS('3_보호자행동'!$AO$5:$AO$15,'3_보호자행동'!$AD$5:$AD$15,"SYN",'3_보호자행동'!$AY$5:$AY$15,"BI",'3_보호자행동'!$AO$5:$AO$15,"&gt;=1"))/(COUNTIFS('1_바디시그널'!$AD$5:$AD$13,"SYN",'1_바디시그널'!$AY$5:$AY$13,"BI",'1_바디시그널'!$AO$5:$AO$13,"&gt;=1")+COUNTIFS('2_개행동'!$AD$5:$AD$28,"SYN",'2_개행동'!$AY$5:$AY$28,"BI",'2_개행동'!$AO$5:$AO$28,"&gt;=1")+COUNTIFS('3_보호자행동'!$AD$5:$AD$15,"SYN",'3_보호자행동'!$AY$5:$AY$15,"BI",'3_보호자행동'!$AO$5:$AO$15,"&gt;=1"))-3,2))</f>
        <v/>
      </c>
      <c r="Q16" s="39">
        <f>IF((COUNTIFS('1_바디시그널'!$AD$5:$AD$13,"SYN",'1_바디시그널'!$AO$5:$AO$13,"&gt;=1")+COUNTIFS('2_개행동'!$AD$5:$AD$28,"SYN",'2_개행동'!$AO$5:$AO$28,"&gt;=1")+COUNTIFS('3_보호자행동'!$AD$5:$AD$15,"SYN",'3_보호자행동'!$AO$5:$AO$15,"&gt;=1"))=0,"",MAX(MAX(SUMPRODUCT(MAX(('1_바디시그널'!$AD$5:$AD$13="SYN")*('1_바디시그널'!$AO$5:$AO$13-3))),SUMPRODUCT(MAX(('2_개행동'!$AD$5:$AD$28="SYN")*('2_개행동'!$AO$5:$AO$28-3))),SUMPRODUCT(MAX(('3_보호자행동'!$AD$5:$AD$15="SYN")*('3_보호자행동'!$AO$5:$AO$15-3)))),MAX(SUMPRODUCT(MAX(('1_바디시그널'!$AD$5:$AD$13="SYN")*('1_바디시그널'!$AO$5:$AO$13&gt;=1)*(3-'1_바디시그널'!$AO$5:$AO$13))),SUMPRODUCT(MAX(('2_개행동'!$AD$5:$AD$28="SYN")*('2_개행동'!$AO$5:$AO$28&gt;=1)*(3-'2_개행동'!$AO$5:$AO$28))),SUMPRODUCT(MAX(('3_보호자행동'!$AD$5:$AD$15="SYN")*('3_보호자행동'!$AO$5:$AO$15&gt;=1)*(3-'3_보호자행동'!$AO$5:$AO$15))))))</f>
        <v/>
      </c>
      <c r="R16" s="39">
        <f>IF((COUNTIFS('1_바디시그널'!$AD$5:$AD$13,"SYN",'1_바디시그널'!$AY$5:$AY$13,"ONE",'1_바디시그널'!$AO$5:$AO$13,"&gt;=1")+COUNTIFS('2_개행동'!$AD$5:$AD$28,"SYN",'2_개행동'!$AY$5:$AY$28,"ONE",'2_개행동'!$AO$5:$AO$28,"&gt;=1")+COUNTIFS('3_보호자행동'!$AD$5:$AD$15,"SYN",'3_보호자행동'!$AY$5:$AY$15,"ONE",'3_보호자행동'!$AO$5:$AO$15,"&gt;=1"))=0,"",ROUND((SUMIFS('1_바디시그널'!$AO$5:$AO$13,'1_바디시그널'!$AD$5:$AD$13,"SYN",'1_바디시그널'!$AY$5:$AY$13,"ONE",'1_바디시그널'!$AO$5:$AO$13,"&gt;=1")+SUMIFS('2_개행동'!$AO$5:$AO$28,'2_개행동'!$AD$5:$AD$28,"SYN",'2_개행동'!$AY$5:$AY$28,"ONE",'2_개행동'!$AO$5:$AO$28,"&gt;=1")+SUMIFS('3_보호자행동'!$AO$5:$AO$15,'3_보호자행동'!$AD$5:$AD$15,"SYN",'3_보호자행동'!$AY$5:$AY$15,"ONE",'3_보호자행동'!$AO$5:$AO$15,"&gt;=1"))/(COUNTIFS('1_바디시그널'!$AD$5:$AD$13,"SYN",'1_바디시그널'!$AY$5:$AY$13,"ONE",'1_바디시그널'!$AO$5:$AO$13,"&gt;=1")+COUNTIFS('2_개행동'!$AD$5:$AD$28,"SYN",'2_개행동'!$AY$5:$AY$28,"ONE",'2_개행동'!$AO$5:$AO$28,"&gt;=1")+COUNTIFS('3_보호자행동'!$AD$5:$AD$15,"SYN",'3_보호자행동'!$AY$5:$AY$15,"ONE",'3_보호자행동'!$AO$5:$AO$15,"&gt;=1")),2))</f>
        <v/>
      </c>
      <c r="S16" s="48">
        <f>IF((COUNTIFS('1_바디시그널'!$AD$5:$AD$13,"EXIT",'1_바디시그널'!$AY$5:$AY$13,"BI",'1_바디시그널'!$AO$5:$AO$13,"&gt;=1")+COUNTIFS('2_개행동'!$AD$5:$AD$28,"EXIT",'2_개행동'!$AY$5:$AY$28,"BI",'2_개행동'!$AO$5:$AO$28,"&gt;=1")+COUNTIFS('3_보호자행동'!$AD$5:$AD$15,"EXIT",'3_보호자행동'!$AY$5:$AY$15,"BI",'3_보호자행동'!$AO$5:$AO$15,"&gt;=1"))=0,"",ROUND((SUMIFS('1_바디시그널'!$AO$5:$AO$13,'1_바디시그널'!$AD$5:$AD$13,"EXIT",'1_바디시그널'!$AY$5:$AY$13,"BI",'1_바디시그널'!$AO$5:$AO$13,"&gt;=1")+SUMIFS('2_개행동'!$AO$5:$AO$28,'2_개행동'!$AD$5:$AD$28,"EXIT",'2_개행동'!$AY$5:$AY$28,"BI",'2_개행동'!$AO$5:$AO$28,"&gt;=1")+SUMIFS('3_보호자행동'!$AO$5:$AO$15,'3_보호자행동'!$AD$5:$AD$15,"EXIT",'3_보호자행동'!$AY$5:$AY$15,"BI",'3_보호자행동'!$AO$5:$AO$15,"&gt;=1"))/(COUNTIFS('1_바디시그널'!$AD$5:$AD$13,"EXIT",'1_바디시그널'!$AY$5:$AY$13,"BI",'1_바디시그널'!$AO$5:$AO$13,"&gt;=1")+COUNTIFS('2_개행동'!$AD$5:$AD$28,"EXIT",'2_개행동'!$AY$5:$AY$28,"BI",'2_개행동'!$AO$5:$AO$28,"&gt;=1")+COUNTIFS('3_보호자행동'!$AD$5:$AD$15,"EXIT",'3_보호자행동'!$AY$5:$AY$15,"BI",'3_보호자행동'!$AO$5:$AO$15,"&gt;=1"))-3,2))</f>
        <v/>
      </c>
      <c r="T16" s="39">
        <f>IF((COUNTIFS('1_바디시그널'!$AD$5:$AD$13,"EXIT",'1_바디시그널'!$AO$5:$AO$13,"&gt;=1")+COUNTIFS('2_개행동'!$AD$5:$AD$28,"EXIT",'2_개행동'!$AO$5:$AO$28,"&gt;=1")+COUNTIFS('3_보호자행동'!$AD$5:$AD$15,"EXIT",'3_보호자행동'!$AO$5:$AO$15,"&gt;=1"))=0,"",MAX(MAX(SUMPRODUCT(MAX(('1_바디시그널'!$AD$5:$AD$13="EXIT")*('1_바디시그널'!$AO$5:$AO$13-3))),SUMPRODUCT(MAX(('2_개행동'!$AD$5:$AD$28="EXIT")*('2_개행동'!$AO$5:$AO$28-3))),SUMPRODUCT(MAX(('3_보호자행동'!$AD$5:$AD$15="EXIT")*('3_보호자행동'!$AO$5:$AO$15-3)))),MAX(SUMPRODUCT(MAX(('1_바디시그널'!$AD$5:$AD$13="EXIT")*('1_바디시그널'!$AO$5:$AO$13&gt;=1)*(3-'1_바디시그널'!$AO$5:$AO$13))),SUMPRODUCT(MAX(('2_개행동'!$AD$5:$AD$28="EXIT")*('2_개행동'!$AO$5:$AO$28&gt;=1)*(3-'2_개행동'!$AO$5:$AO$28))),SUMPRODUCT(MAX(('3_보호자행동'!$AD$5:$AD$15="EXIT")*('3_보호자행동'!$AO$5:$AO$15&gt;=1)*(3-'3_보호자행동'!$AO$5:$AO$15))))))</f>
        <v/>
      </c>
      <c r="U16" s="39">
        <f>IF((COUNTIFS('1_바디시그널'!$AD$5:$AD$13,"EXIT",'1_바디시그널'!$AY$5:$AY$13,"ONE",'1_바디시그널'!$AO$5:$AO$13,"&gt;=1")+COUNTIFS('2_개행동'!$AD$5:$AD$28,"EXIT",'2_개행동'!$AY$5:$AY$28,"ONE",'2_개행동'!$AO$5:$AO$28,"&gt;=1")+COUNTIFS('3_보호자행동'!$AD$5:$AD$15,"EXIT",'3_보호자행동'!$AY$5:$AY$15,"ONE",'3_보호자행동'!$AO$5:$AO$15,"&gt;=1"))=0,"",ROUND((SUMIFS('1_바디시그널'!$AO$5:$AO$13,'1_바디시그널'!$AD$5:$AD$13,"EXIT",'1_바디시그널'!$AY$5:$AY$13,"ONE",'1_바디시그널'!$AO$5:$AO$13,"&gt;=1")+SUMIFS('2_개행동'!$AO$5:$AO$28,'2_개행동'!$AD$5:$AD$28,"EXIT",'2_개행동'!$AY$5:$AY$28,"ONE",'2_개행동'!$AO$5:$AO$28,"&gt;=1")+SUMIFS('3_보호자행동'!$AO$5:$AO$15,'3_보호자행동'!$AD$5:$AD$15,"EXIT",'3_보호자행동'!$AY$5:$AY$15,"ONE",'3_보호자행동'!$AO$5:$AO$15,"&gt;=1"))/(COUNTIFS('1_바디시그널'!$AD$5:$AD$13,"EXIT",'1_바디시그널'!$AY$5:$AY$13,"ONE",'1_바디시그널'!$AO$5:$AO$13,"&gt;=1")+COUNTIFS('2_개행동'!$AD$5:$AD$28,"EXIT",'2_개행동'!$AY$5:$AY$28,"ONE",'2_개행동'!$AO$5:$AO$28,"&gt;=1")+COUNTIFS('3_보호자행동'!$AD$5:$AD$15,"EXIT",'3_보호자행동'!$AY$5:$AY$15,"ONE",'3_보호자행동'!$AO$5:$AO$15,"&gt;=1")),2))</f>
        <v/>
      </c>
      <c r="V16" s="49">
        <f>IF(OR('2_개행동'!$T$8="",'2_개행동'!$T$22=""),"",ABS('2_개행동'!$T$8-3)-ABS('2_개행동'!$T$22-3))</f>
        <v/>
      </c>
      <c r="W16" s="49">
        <f>IF(OR('2_개행동'!$T$10="",'2_개행동'!$T$17=""),"",ABS('2_개행동'!$T$10-3)-ABS('2_개행동'!$T$17-3))</f>
        <v/>
      </c>
      <c r="X16" s="49">
        <f>IF(OR('2_개행동'!$T$10="",'2_개행동'!$T$14=""),"",ABS('2_개행동'!$T$10-3)-ABS('2_개행동'!$T$14-3))</f>
        <v/>
      </c>
      <c r="Y16" s="39">
        <f>IF('2_개행동'!$T$8="","",'2_개행동'!$T$8)</f>
        <v/>
      </c>
      <c r="Z16" s="40">
        <f>IF('2_개행동'!$T$25="","",IF('3_보호자행동'!$T$13=3,"무효",'2_개행동'!$T$25/6))</f>
        <v/>
      </c>
      <c r="AA16" s="35" t="n"/>
    </row>
    <row r="17">
      <c r="A17" s="39" t="n">
        <v>12</v>
      </c>
      <c r="B17" s="39" t="n"/>
      <c r="C17" s="39" t="n"/>
      <c r="D17" s="48">
        <f>IF((COUNTIFS('1_바디시그널'!$AD$5:$AD$13,"EDU",'1_바디시그널'!$AY$5:$AY$13,"BI",'1_바디시그널'!$AP$5:$AP$13,"&gt;=1")+COUNTIFS('2_개행동'!$AD$5:$AD$28,"EDU",'2_개행동'!$AY$5:$AY$28,"BI",'2_개행동'!$AP$5:$AP$28,"&gt;=1")+COUNTIFS('3_보호자행동'!$AD$5:$AD$15,"EDU",'3_보호자행동'!$AY$5:$AY$15,"BI",'3_보호자행동'!$AP$5:$AP$15,"&gt;=1"))=0,"",ROUND((SUMIFS('1_바디시그널'!$AP$5:$AP$13,'1_바디시그널'!$AD$5:$AD$13,"EDU",'1_바디시그널'!$AY$5:$AY$13,"BI",'1_바디시그널'!$AP$5:$AP$13,"&gt;=1")+SUMIFS('2_개행동'!$AP$5:$AP$28,'2_개행동'!$AD$5:$AD$28,"EDU",'2_개행동'!$AY$5:$AY$28,"BI",'2_개행동'!$AP$5:$AP$28,"&gt;=1")+SUMIFS('3_보호자행동'!$AP$5:$AP$15,'3_보호자행동'!$AD$5:$AD$15,"EDU",'3_보호자행동'!$AY$5:$AY$15,"BI",'3_보호자행동'!$AP$5:$AP$15,"&gt;=1"))/(COUNTIFS('1_바디시그널'!$AD$5:$AD$13,"EDU",'1_바디시그널'!$AY$5:$AY$13,"BI",'1_바디시그널'!$AP$5:$AP$13,"&gt;=1")+COUNTIFS('2_개행동'!$AD$5:$AD$28,"EDU",'2_개행동'!$AY$5:$AY$28,"BI",'2_개행동'!$AP$5:$AP$28,"&gt;=1")+COUNTIFS('3_보호자행동'!$AD$5:$AD$15,"EDU",'3_보호자행동'!$AY$5:$AY$15,"BI",'3_보호자행동'!$AP$5:$AP$15,"&gt;=1"))-3,2))</f>
        <v/>
      </c>
      <c r="E17" s="39">
        <f>IF((COUNTIFS('1_바디시그널'!$AD$5:$AD$13,"EDU",'1_바디시그널'!$AP$5:$AP$13,"&gt;=1")+COUNTIFS('2_개행동'!$AD$5:$AD$28,"EDU",'2_개행동'!$AP$5:$AP$28,"&gt;=1")+COUNTIFS('3_보호자행동'!$AD$5:$AD$15,"EDU",'3_보호자행동'!$AP$5:$AP$15,"&gt;=1"))=0,"",MAX(MAX(SUMPRODUCT(MAX(('1_바디시그널'!$AD$5:$AD$13="EDU")*('1_바디시그널'!$AP$5:$AP$13-3))),SUMPRODUCT(MAX(('2_개행동'!$AD$5:$AD$28="EDU")*('2_개행동'!$AP$5:$AP$28-3))),SUMPRODUCT(MAX(('3_보호자행동'!$AD$5:$AD$15="EDU")*('3_보호자행동'!$AP$5:$AP$15-3)))),MAX(SUMPRODUCT(MAX(('1_바디시그널'!$AD$5:$AD$13="EDU")*('1_바디시그널'!$AP$5:$AP$13&gt;=1)*(3-'1_바디시그널'!$AP$5:$AP$13))),SUMPRODUCT(MAX(('2_개행동'!$AD$5:$AD$28="EDU")*('2_개행동'!$AP$5:$AP$28&gt;=1)*(3-'2_개행동'!$AP$5:$AP$28))),SUMPRODUCT(MAX(('3_보호자행동'!$AD$5:$AD$15="EDU")*('3_보호자행동'!$AP$5:$AP$15&gt;=1)*(3-'3_보호자행동'!$AP$5:$AP$15))))))</f>
        <v/>
      </c>
      <c r="F17" s="39">
        <f>IF((COUNTIFS('1_바디시그널'!$AD$5:$AD$13,"EDU",'1_바디시그널'!$AY$5:$AY$13,"ONE",'1_바디시그널'!$AP$5:$AP$13,"&gt;=1")+COUNTIFS('2_개행동'!$AD$5:$AD$28,"EDU",'2_개행동'!$AY$5:$AY$28,"ONE",'2_개행동'!$AP$5:$AP$28,"&gt;=1")+COUNTIFS('3_보호자행동'!$AD$5:$AD$15,"EDU",'3_보호자행동'!$AY$5:$AY$15,"ONE",'3_보호자행동'!$AP$5:$AP$15,"&gt;=1"))=0,"",ROUND((SUMIFS('1_바디시그널'!$AP$5:$AP$13,'1_바디시그널'!$AD$5:$AD$13,"EDU",'1_바디시그널'!$AY$5:$AY$13,"ONE",'1_바디시그널'!$AP$5:$AP$13,"&gt;=1")+SUMIFS('2_개행동'!$AP$5:$AP$28,'2_개행동'!$AD$5:$AD$28,"EDU",'2_개행동'!$AY$5:$AY$28,"ONE",'2_개행동'!$AP$5:$AP$28,"&gt;=1")+SUMIFS('3_보호자행동'!$AP$5:$AP$15,'3_보호자행동'!$AD$5:$AD$15,"EDU",'3_보호자행동'!$AY$5:$AY$15,"ONE",'3_보호자행동'!$AP$5:$AP$15,"&gt;=1"))/(COUNTIFS('1_바디시그널'!$AD$5:$AD$13,"EDU",'1_바디시그널'!$AY$5:$AY$13,"ONE",'1_바디시그널'!$AP$5:$AP$13,"&gt;=1")+COUNTIFS('2_개행동'!$AD$5:$AD$28,"EDU",'2_개행동'!$AY$5:$AY$28,"ONE",'2_개행동'!$AP$5:$AP$28,"&gt;=1")+COUNTIFS('3_보호자행동'!$AD$5:$AD$15,"EDU",'3_보호자행동'!$AY$5:$AY$15,"ONE",'3_보호자행동'!$AP$5:$AP$15,"&gt;=1")),2))</f>
        <v/>
      </c>
      <c r="G17" s="48">
        <f>IF((COUNTIFS('1_바디시그널'!$AD$5:$AD$13,"SOC_E",'1_바디시그널'!$AY$5:$AY$13,"BI",'1_바디시그널'!$AP$5:$AP$13,"&gt;=1")+COUNTIFS('2_개행동'!$AD$5:$AD$28,"SOC_E",'2_개행동'!$AY$5:$AY$28,"BI",'2_개행동'!$AP$5:$AP$28,"&gt;=1")+COUNTIFS('3_보호자행동'!$AD$5:$AD$15,"SOC_E",'3_보호자행동'!$AY$5:$AY$15,"BI",'3_보호자행동'!$AP$5:$AP$15,"&gt;=1"))=0,"",ROUND((SUMIFS('1_바디시그널'!$AP$5:$AP$13,'1_바디시그널'!$AD$5:$AD$13,"SOC_E",'1_바디시그널'!$AY$5:$AY$13,"BI",'1_바디시그널'!$AP$5:$AP$13,"&gt;=1")+SUMIFS('2_개행동'!$AP$5:$AP$28,'2_개행동'!$AD$5:$AD$28,"SOC_E",'2_개행동'!$AY$5:$AY$28,"BI",'2_개행동'!$AP$5:$AP$28,"&gt;=1")+SUMIFS('3_보호자행동'!$AP$5:$AP$15,'3_보호자행동'!$AD$5:$AD$15,"SOC_E",'3_보호자행동'!$AY$5:$AY$15,"BI",'3_보호자행동'!$AP$5:$AP$15,"&gt;=1"))/(COUNTIFS('1_바디시그널'!$AD$5:$AD$13,"SOC_E",'1_바디시그널'!$AY$5:$AY$13,"BI",'1_바디시그널'!$AP$5:$AP$13,"&gt;=1")+COUNTIFS('2_개행동'!$AD$5:$AD$28,"SOC_E",'2_개행동'!$AY$5:$AY$28,"BI",'2_개행동'!$AP$5:$AP$28,"&gt;=1")+COUNTIFS('3_보호자행동'!$AD$5:$AD$15,"SOC_E",'3_보호자행동'!$AY$5:$AY$15,"BI",'3_보호자행동'!$AP$5:$AP$15,"&gt;=1"))-3,2))</f>
        <v/>
      </c>
      <c r="H17" s="39">
        <f>IF((COUNTIFS('1_바디시그널'!$AD$5:$AD$13,"SOC_E",'1_바디시그널'!$AP$5:$AP$13,"&gt;=1")+COUNTIFS('2_개행동'!$AD$5:$AD$28,"SOC_E",'2_개행동'!$AP$5:$AP$28,"&gt;=1")+COUNTIFS('3_보호자행동'!$AD$5:$AD$15,"SOC_E",'3_보호자행동'!$AP$5:$AP$15,"&gt;=1"))=0,"",MAX(MAX(SUMPRODUCT(MAX(('1_바디시그널'!$AD$5:$AD$13="SOC_E")*('1_바디시그널'!$AP$5:$AP$13-3))),SUMPRODUCT(MAX(('2_개행동'!$AD$5:$AD$28="SOC_E")*('2_개행동'!$AP$5:$AP$28-3))),SUMPRODUCT(MAX(('3_보호자행동'!$AD$5:$AD$15="SOC_E")*('3_보호자행동'!$AP$5:$AP$15-3)))),MAX(SUMPRODUCT(MAX(('1_바디시그널'!$AD$5:$AD$13="SOC_E")*('1_바디시그널'!$AP$5:$AP$13&gt;=1)*(3-'1_바디시그널'!$AP$5:$AP$13))),SUMPRODUCT(MAX(('2_개행동'!$AD$5:$AD$28="SOC_E")*('2_개행동'!$AP$5:$AP$28&gt;=1)*(3-'2_개행동'!$AP$5:$AP$28))),SUMPRODUCT(MAX(('3_보호자행동'!$AD$5:$AD$15="SOC_E")*('3_보호자행동'!$AP$5:$AP$15&gt;=1)*(3-'3_보호자행동'!$AP$5:$AP$15))))))</f>
        <v/>
      </c>
      <c r="I17" s="39">
        <f>IF((COUNTIFS('1_바디시그널'!$AD$5:$AD$13,"SOC_E",'1_바디시그널'!$AY$5:$AY$13,"ONE",'1_바디시그널'!$AP$5:$AP$13,"&gt;=1")+COUNTIFS('2_개행동'!$AD$5:$AD$28,"SOC_E",'2_개행동'!$AY$5:$AY$28,"ONE",'2_개행동'!$AP$5:$AP$28,"&gt;=1")+COUNTIFS('3_보호자행동'!$AD$5:$AD$15,"SOC_E",'3_보호자행동'!$AY$5:$AY$15,"ONE",'3_보호자행동'!$AP$5:$AP$15,"&gt;=1"))=0,"",ROUND((SUMIFS('1_바디시그널'!$AP$5:$AP$13,'1_바디시그널'!$AD$5:$AD$13,"SOC_E",'1_바디시그널'!$AY$5:$AY$13,"ONE",'1_바디시그널'!$AP$5:$AP$13,"&gt;=1")+SUMIFS('2_개행동'!$AP$5:$AP$28,'2_개행동'!$AD$5:$AD$28,"SOC_E",'2_개행동'!$AY$5:$AY$28,"ONE",'2_개행동'!$AP$5:$AP$28,"&gt;=1")+SUMIFS('3_보호자행동'!$AP$5:$AP$15,'3_보호자행동'!$AD$5:$AD$15,"SOC_E",'3_보호자행동'!$AY$5:$AY$15,"ONE",'3_보호자행동'!$AP$5:$AP$15,"&gt;=1"))/(COUNTIFS('1_바디시그널'!$AD$5:$AD$13,"SOC_E",'1_바디시그널'!$AY$5:$AY$13,"ONE",'1_바디시그널'!$AP$5:$AP$13,"&gt;=1")+COUNTIFS('2_개행동'!$AD$5:$AD$28,"SOC_E",'2_개행동'!$AY$5:$AY$28,"ONE",'2_개행동'!$AP$5:$AP$28,"&gt;=1")+COUNTIFS('3_보호자행동'!$AD$5:$AD$15,"SOC_E",'3_보호자행동'!$AY$5:$AY$15,"ONE",'3_보호자행동'!$AP$5:$AP$15,"&gt;=1")),2))</f>
        <v/>
      </c>
      <c r="J17" s="39">
        <f>IF(OR('2_개행동'!$U$13="",'2_개행동'!$U$14=""),"",IF('2_개행동'!$U$13&gt;=3,IF(ABS('2_개행동'!$U$14-3)&lt;=1,"편안·우호","우호·들뜸"),IF(ABS('2_개행동'!$U$14-3)&lt;=1,"담담·거리둠","경계·긴장")))</f>
        <v/>
      </c>
      <c r="K17" s="39">
        <f>IF((COUNTIFS('1_바디시그널'!$AD$5:$AD$13,"SOC_H",'1_바디시그널'!$AP$5:$AP$13,"&gt;=1")+COUNTIFS('2_개행동'!$AD$5:$AD$28,"SOC_H",'2_개행동'!$AP$5:$AP$28,"&gt;=1")+COUNTIFS('3_보호자행동'!$AD$5:$AD$15,"SOC_H",'3_보호자행동'!$AP$5:$AP$15,"&gt;=1"))=0,"",MAX(MAX(SUMPRODUCT(MAX(('1_바디시그널'!$AD$5:$AD$13="SOC_H")*('1_바디시그널'!$AP$5:$AP$13-3))),SUMPRODUCT(MAX(('2_개행동'!$AD$5:$AD$28="SOC_H")*('2_개행동'!$AP$5:$AP$28-3))),SUMPRODUCT(MAX(('3_보호자행동'!$AD$5:$AD$15="SOC_H")*('3_보호자행동'!$AP$5:$AP$15-3)))),MAX(SUMPRODUCT(MAX(('1_바디시그널'!$AD$5:$AD$13="SOC_H")*('1_바디시그널'!$AP$5:$AP$13&gt;=1)*(3-'1_바디시그널'!$AP$5:$AP$13))),SUMPRODUCT(MAX(('2_개행동'!$AD$5:$AD$28="SOC_H")*('2_개행동'!$AP$5:$AP$28&gt;=1)*(3-'2_개행동'!$AP$5:$AP$28))),SUMPRODUCT(MAX(('3_보호자행동'!$AD$5:$AD$15="SOC_H")*('3_보호자행동'!$AP$5:$AP$15&gt;=1)*(3-'3_보호자행동'!$AP$5:$AP$15))))))</f>
        <v/>
      </c>
      <c r="L17" s="39">
        <f>IF((COUNTIFS('1_바디시그널'!$AD$5:$AD$13,"SOC_H",'1_바디시그널'!$AY$5:$AY$13,"ONE",'1_바디시그널'!$AP$5:$AP$13,"&gt;=1")+COUNTIFS('2_개행동'!$AD$5:$AD$28,"SOC_H",'2_개행동'!$AY$5:$AY$28,"ONE",'2_개행동'!$AP$5:$AP$28,"&gt;=1")+COUNTIFS('3_보호자행동'!$AD$5:$AD$15,"SOC_H",'3_보호자행동'!$AY$5:$AY$15,"ONE",'3_보호자행동'!$AP$5:$AP$15,"&gt;=1"))=0,"",ROUND((SUMIFS('1_바디시그널'!$AP$5:$AP$13,'1_바디시그널'!$AD$5:$AD$13,"SOC_H",'1_바디시그널'!$AY$5:$AY$13,"ONE",'1_바디시그널'!$AP$5:$AP$13,"&gt;=1")+SUMIFS('2_개행동'!$AP$5:$AP$28,'2_개행동'!$AD$5:$AD$28,"SOC_H",'2_개행동'!$AY$5:$AY$28,"ONE",'2_개행동'!$AP$5:$AP$28,"&gt;=1")+SUMIFS('3_보호자행동'!$AP$5:$AP$15,'3_보호자행동'!$AD$5:$AD$15,"SOC_H",'3_보호자행동'!$AY$5:$AY$15,"ONE",'3_보호자행동'!$AP$5:$AP$15,"&gt;=1"))/(COUNTIFS('1_바디시그널'!$AD$5:$AD$13,"SOC_H",'1_바디시그널'!$AY$5:$AY$13,"ONE",'1_바디시그널'!$AP$5:$AP$13,"&gt;=1")+COUNTIFS('2_개행동'!$AD$5:$AD$28,"SOC_H",'2_개행동'!$AY$5:$AY$28,"ONE",'2_개행동'!$AP$5:$AP$28,"&gt;=1")+COUNTIFS('3_보호자행동'!$AD$5:$AD$15,"SOC_H",'3_보호자행동'!$AY$5:$AY$15,"ONE",'3_보호자행동'!$AP$5:$AP$15,"&gt;=1")),2))</f>
        <v/>
      </c>
      <c r="M17" s="39">
        <f>IF(OR('2_개행동'!$U$21="",'2_개행동'!$U$9="",'2_개행동'!$U$16="",'2_개행동'!$U$17=""),"",IF(N('2_개행동'!$U$20)&gt;=1,"일관되지 않음",IF(AVERAGE('2_개행동'!$U$21,'2_개행동'!$U$9,'2_개행동'!$U$16,'2_개행동'!$U$18)&lt;=3.5,IF(ABS('2_개행동'!$U$17-3)&lt;=1,"안정","불안"),IF(ABS('2_개행동'!$U$17-3)&lt;=1,"거리 둠","일관되지 않음"))))</f>
        <v/>
      </c>
      <c r="N17" s="39">
        <f>IF((COUNTIFS('1_바디시그널'!$AD$5:$AD$13,"ATT",'1_바디시그널'!$AP$5:$AP$13,"&gt;=1")+COUNTIFS('2_개행동'!$AD$5:$AD$28,"ATT",'2_개행동'!$AP$5:$AP$28,"&gt;=1")+COUNTIFS('3_보호자행동'!$AD$5:$AD$15,"ATT",'3_보호자행동'!$AP$5:$AP$15,"&gt;=1"))=0,"",MAX(MAX(SUMPRODUCT(MAX(('1_바디시그널'!$AD$5:$AD$13="ATT")*('1_바디시그널'!$AP$5:$AP$13-3))),SUMPRODUCT(MAX(('2_개행동'!$AD$5:$AD$28="ATT")*('2_개행동'!$AP$5:$AP$28-3))),SUMPRODUCT(MAX(('3_보호자행동'!$AD$5:$AD$15="ATT")*('3_보호자행동'!$AP$5:$AP$15-3)))),MAX(SUMPRODUCT(MAX(('1_바디시그널'!$AD$5:$AD$13="ATT")*('1_바디시그널'!$AP$5:$AP$13&gt;=1)*(3-'1_바디시그널'!$AP$5:$AP$13))),SUMPRODUCT(MAX(('2_개행동'!$AD$5:$AD$28="ATT")*('2_개행동'!$AP$5:$AP$28&gt;=1)*(3-'2_개행동'!$AP$5:$AP$28))),SUMPRODUCT(MAX(('3_보호자행동'!$AD$5:$AD$15="ATT")*('3_보호자행동'!$AP$5:$AP$15&gt;=1)*(3-'3_보호자행동'!$AP$5:$AP$15))))))</f>
        <v/>
      </c>
      <c r="O17" s="39">
        <f>IF((COUNTIFS('1_바디시그널'!$AD$5:$AD$13,"ATT",'1_바디시그널'!$AY$5:$AY$13,"ONE",'1_바디시그널'!$AP$5:$AP$13,"&gt;=1")+COUNTIFS('2_개행동'!$AD$5:$AD$28,"ATT",'2_개행동'!$AY$5:$AY$28,"ONE",'2_개행동'!$AP$5:$AP$28,"&gt;=1")+COUNTIFS('3_보호자행동'!$AD$5:$AD$15,"ATT",'3_보호자행동'!$AY$5:$AY$15,"ONE",'3_보호자행동'!$AP$5:$AP$15,"&gt;=1"))=0,"",ROUND((SUMIFS('1_바디시그널'!$AP$5:$AP$13,'1_바디시그널'!$AD$5:$AD$13,"ATT",'1_바디시그널'!$AY$5:$AY$13,"ONE",'1_바디시그널'!$AP$5:$AP$13,"&gt;=1")+SUMIFS('2_개행동'!$AP$5:$AP$28,'2_개행동'!$AD$5:$AD$28,"ATT",'2_개행동'!$AY$5:$AY$28,"ONE",'2_개행동'!$AP$5:$AP$28,"&gt;=1")+SUMIFS('3_보호자행동'!$AP$5:$AP$15,'3_보호자행동'!$AD$5:$AD$15,"ATT",'3_보호자행동'!$AY$5:$AY$15,"ONE",'3_보호자행동'!$AP$5:$AP$15,"&gt;=1"))/(COUNTIFS('1_바디시그널'!$AD$5:$AD$13,"ATT",'1_바디시그널'!$AY$5:$AY$13,"ONE",'1_바디시그널'!$AP$5:$AP$13,"&gt;=1")+COUNTIFS('2_개행동'!$AD$5:$AD$28,"ATT",'2_개행동'!$AY$5:$AY$28,"ONE",'2_개행동'!$AP$5:$AP$28,"&gt;=1")+COUNTIFS('3_보호자행동'!$AD$5:$AD$15,"ATT",'3_보호자행동'!$AY$5:$AY$15,"ONE",'3_보호자행동'!$AP$5:$AP$15,"&gt;=1")),2))</f>
        <v/>
      </c>
      <c r="P17" s="48">
        <f>IF((COUNTIFS('1_바디시그널'!$AD$5:$AD$13,"SYN",'1_바디시그널'!$AY$5:$AY$13,"BI",'1_바디시그널'!$AP$5:$AP$13,"&gt;=1")+COUNTIFS('2_개행동'!$AD$5:$AD$28,"SYN",'2_개행동'!$AY$5:$AY$28,"BI",'2_개행동'!$AP$5:$AP$28,"&gt;=1")+COUNTIFS('3_보호자행동'!$AD$5:$AD$15,"SYN",'3_보호자행동'!$AY$5:$AY$15,"BI",'3_보호자행동'!$AP$5:$AP$15,"&gt;=1"))=0,"",ROUND((SUMIFS('1_바디시그널'!$AP$5:$AP$13,'1_바디시그널'!$AD$5:$AD$13,"SYN",'1_바디시그널'!$AY$5:$AY$13,"BI",'1_바디시그널'!$AP$5:$AP$13,"&gt;=1")+SUMIFS('2_개행동'!$AP$5:$AP$28,'2_개행동'!$AD$5:$AD$28,"SYN",'2_개행동'!$AY$5:$AY$28,"BI",'2_개행동'!$AP$5:$AP$28,"&gt;=1")+SUMIFS('3_보호자행동'!$AP$5:$AP$15,'3_보호자행동'!$AD$5:$AD$15,"SYN",'3_보호자행동'!$AY$5:$AY$15,"BI",'3_보호자행동'!$AP$5:$AP$15,"&gt;=1"))/(COUNTIFS('1_바디시그널'!$AD$5:$AD$13,"SYN",'1_바디시그널'!$AY$5:$AY$13,"BI",'1_바디시그널'!$AP$5:$AP$13,"&gt;=1")+COUNTIFS('2_개행동'!$AD$5:$AD$28,"SYN",'2_개행동'!$AY$5:$AY$28,"BI",'2_개행동'!$AP$5:$AP$28,"&gt;=1")+COUNTIFS('3_보호자행동'!$AD$5:$AD$15,"SYN",'3_보호자행동'!$AY$5:$AY$15,"BI",'3_보호자행동'!$AP$5:$AP$15,"&gt;=1"))-3,2))</f>
        <v/>
      </c>
      <c r="Q17" s="39">
        <f>IF((COUNTIFS('1_바디시그널'!$AD$5:$AD$13,"SYN",'1_바디시그널'!$AP$5:$AP$13,"&gt;=1")+COUNTIFS('2_개행동'!$AD$5:$AD$28,"SYN",'2_개행동'!$AP$5:$AP$28,"&gt;=1")+COUNTIFS('3_보호자행동'!$AD$5:$AD$15,"SYN",'3_보호자행동'!$AP$5:$AP$15,"&gt;=1"))=0,"",MAX(MAX(SUMPRODUCT(MAX(('1_바디시그널'!$AD$5:$AD$13="SYN")*('1_바디시그널'!$AP$5:$AP$13-3))),SUMPRODUCT(MAX(('2_개행동'!$AD$5:$AD$28="SYN")*('2_개행동'!$AP$5:$AP$28-3))),SUMPRODUCT(MAX(('3_보호자행동'!$AD$5:$AD$15="SYN")*('3_보호자행동'!$AP$5:$AP$15-3)))),MAX(SUMPRODUCT(MAX(('1_바디시그널'!$AD$5:$AD$13="SYN")*('1_바디시그널'!$AP$5:$AP$13&gt;=1)*(3-'1_바디시그널'!$AP$5:$AP$13))),SUMPRODUCT(MAX(('2_개행동'!$AD$5:$AD$28="SYN")*('2_개행동'!$AP$5:$AP$28&gt;=1)*(3-'2_개행동'!$AP$5:$AP$28))),SUMPRODUCT(MAX(('3_보호자행동'!$AD$5:$AD$15="SYN")*('3_보호자행동'!$AP$5:$AP$15&gt;=1)*(3-'3_보호자행동'!$AP$5:$AP$15))))))</f>
        <v/>
      </c>
      <c r="R17" s="39">
        <f>IF((COUNTIFS('1_바디시그널'!$AD$5:$AD$13,"SYN",'1_바디시그널'!$AY$5:$AY$13,"ONE",'1_바디시그널'!$AP$5:$AP$13,"&gt;=1")+COUNTIFS('2_개행동'!$AD$5:$AD$28,"SYN",'2_개행동'!$AY$5:$AY$28,"ONE",'2_개행동'!$AP$5:$AP$28,"&gt;=1")+COUNTIFS('3_보호자행동'!$AD$5:$AD$15,"SYN",'3_보호자행동'!$AY$5:$AY$15,"ONE",'3_보호자행동'!$AP$5:$AP$15,"&gt;=1"))=0,"",ROUND((SUMIFS('1_바디시그널'!$AP$5:$AP$13,'1_바디시그널'!$AD$5:$AD$13,"SYN",'1_바디시그널'!$AY$5:$AY$13,"ONE",'1_바디시그널'!$AP$5:$AP$13,"&gt;=1")+SUMIFS('2_개행동'!$AP$5:$AP$28,'2_개행동'!$AD$5:$AD$28,"SYN",'2_개행동'!$AY$5:$AY$28,"ONE",'2_개행동'!$AP$5:$AP$28,"&gt;=1")+SUMIFS('3_보호자행동'!$AP$5:$AP$15,'3_보호자행동'!$AD$5:$AD$15,"SYN",'3_보호자행동'!$AY$5:$AY$15,"ONE",'3_보호자행동'!$AP$5:$AP$15,"&gt;=1"))/(COUNTIFS('1_바디시그널'!$AD$5:$AD$13,"SYN",'1_바디시그널'!$AY$5:$AY$13,"ONE",'1_바디시그널'!$AP$5:$AP$13,"&gt;=1")+COUNTIFS('2_개행동'!$AD$5:$AD$28,"SYN",'2_개행동'!$AY$5:$AY$28,"ONE",'2_개행동'!$AP$5:$AP$28,"&gt;=1")+COUNTIFS('3_보호자행동'!$AD$5:$AD$15,"SYN",'3_보호자행동'!$AY$5:$AY$15,"ONE",'3_보호자행동'!$AP$5:$AP$15,"&gt;=1")),2))</f>
        <v/>
      </c>
      <c r="S17" s="48">
        <f>IF((COUNTIFS('1_바디시그널'!$AD$5:$AD$13,"EXIT",'1_바디시그널'!$AY$5:$AY$13,"BI",'1_바디시그널'!$AP$5:$AP$13,"&gt;=1")+COUNTIFS('2_개행동'!$AD$5:$AD$28,"EXIT",'2_개행동'!$AY$5:$AY$28,"BI",'2_개행동'!$AP$5:$AP$28,"&gt;=1")+COUNTIFS('3_보호자행동'!$AD$5:$AD$15,"EXIT",'3_보호자행동'!$AY$5:$AY$15,"BI",'3_보호자행동'!$AP$5:$AP$15,"&gt;=1"))=0,"",ROUND((SUMIFS('1_바디시그널'!$AP$5:$AP$13,'1_바디시그널'!$AD$5:$AD$13,"EXIT",'1_바디시그널'!$AY$5:$AY$13,"BI",'1_바디시그널'!$AP$5:$AP$13,"&gt;=1")+SUMIFS('2_개행동'!$AP$5:$AP$28,'2_개행동'!$AD$5:$AD$28,"EXIT",'2_개행동'!$AY$5:$AY$28,"BI",'2_개행동'!$AP$5:$AP$28,"&gt;=1")+SUMIFS('3_보호자행동'!$AP$5:$AP$15,'3_보호자행동'!$AD$5:$AD$15,"EXIT",'3_보호자행동'!$AY$5:$AY$15,"BI",'3_보호자행동'!$AP$5:$AP$15,"&gt;=1"))/(COUNTIFS('1_바디시그널'!$AD$5:$AD$13,"EXIT",'1_바디시그널'!$AY$5:$AY$13,"BI",'1_바디시그널'!$AP$5:$AP$13,"&gt;=1")+COUNTIFS('2_개행동'!$AD$5:$AD$28,"EXIT",'2_개행동'!$AY$5:$AY$28,"BI",'2_개행동'!$AP$5:$AP$28,"&gt;=1")+COUNTIFS('3_보호자행동'!$AD$5:$AD$15,"EXIT",'3_보호자행동'!$AY$5:$AY$15,"BI",'3_보호자행동'!$AP$5:$AP$15,"&gt;=1"))-3,2))</f>
        <v/>
      </c>
      <c r="T17" s="39">
        <f>IF((COUNTIFS('1_바디시그널'!$AD$5:$AD$13,"EXIT",'1_바디시그널'!$AP$5:$AP$13,"&gt;=1")+COUNTIFS('2_개행동'!$AD$5:$AD$28,"EXIT",'2_개행동'!$AP$5:$AP$28,"&gt;=1")+COUNTIFS('3_보호자행동'!$AD$5:$AD$15,"EXIT",'3_보호자행동'!$AP$5:$AP$15,"&gt;=1"))=0,"",MAX(MAX(SUMPRODUCT(MAX(('1_바디시그널'!$AD$5:$AD$13="EXIT")*('1_바디시그널'!$AP$5:$AP$13-3))),SUMPRODUCT(MAX(('2_개행동'!$AD$5:$AD$28="EXIT")*('2_개행동'!$AP$5:$AP$28-3))),SUMPRODUCT(MAX(('3_보호자행동'!$AD$5:$AD$15="EXIT")*('3_보호자행동'!$AP$5:$AP$15-3)))),MAX(SUMPRODUCT(MAX(('1_바디시그널'!$AD$5:$AD$13="EXIT")*('1_바디시그널'!$AP$5:$AP$13&gt;=1)*(3-'1_바디시그널'!$AP$5:$AP$13))),SUMPRODUCT(MAX(('2_개행동'!$AD$5:$AD$28="EXIT")*('2_개행동'!$AP$5:$AP$28&gt;=1)*(3-'2_개행동'!$AP$5:$AP$28))),SUMPRODUCT(MAX(('3_보호자행동'!$AD$5:$AD$15="EXIT")*('3_보호자행동'!$AP$5:$AP$15&gt;=1)*(3-'3_보호자행동'!$AP$5:$AP$15))))))</f>
        <v/>
      </c>
      <c r="U17" s="39">
        <f>IF((COUNTIFS('1_바디시그널'!$AD$5:$AD$13,"EXIT",'1_바디시그널'!$AY$5:$AY$13,"ONE",'1_바디시그널'!$AP$5:$AP$13,"&gt;=1")+COUNTIFS('2_개행동'!$AD$5:$AD$28,"EXIT",'2_개행동'!$AY$5:$AY$28,"ONE",'2_개행동'!$AP$5:$AP$28,"&gt;=1")+COUNTIFS('3_보호자행동'!$AD$5:$AD$15,"EXIT",'3_보호자행동'!$AY$5:$AY$15,"ONE",'3_보호자행동'!$AP$5:$AP$15,"&gt;=1"))=0,"",ROUND((SUMIFS('1_바디시그널'!$AP$5:$AP$13,'1_바디시그널'!$AD$5:$AD$13,"EXIT",'1_바디시그널'!$AY$5:$AY$13,"ONE",'1_바디시그널'!$AP$5:$AP$13,"&gt;=1")+SUMIFS('2_개행동'!$AP$5:$AP$28,'2_개행동'!$AD$5:$AD$28,"EXIT",'2_개행동'!$AY$5:$AY$28,"ONE",'2_개행동'!$AP$5:$AP$28,"&gt;=1")+SUMIFS('3_보호자행동'!$AP$5:$AP$15,'3_보호자행동'!$AD$5:$AD$15,"EXIT",'3_보호자행동'!$AY$5:$AY$15,"ONE",'3_보호자행동'!$AP$5:$AP$15,"&gt;=1"))/(COUNTIFS('1_바디시그널'!$AD$5:$AD$13,"EXIT",'1_바디시그널'!$AY$5:$AY$13,"ONE",'1_바디시그널'!$AP$5:$AP$13,"&gt;=1")+COUNTIFS('2_개행동'!$AD$5:$AD$28,"EXIT",'2_개행동'!$AY$5:$AY$28,"ONE",'2_개행동'!$AP$5:$AP$28,"&gt;=1")+COUNTIFS('3_보호자행동'!$AD$5:$AD$15,"EXIT",'3_보호자행동'!$AY$5:$AY$15,"ONE",'3_보호자행동'!$AP$5:$AP$15,"&gt;=1")),2))</f>
        <v/>
      </c>
      <c r="V17" s="49">
        <f>IF(OR('2_개행동'!$U$8="",'2_개행동'!$U$22=""),"",ABS('2_개행동'!$U$8-3)-ABS('2_개행동'!$U$22-3))</f>
        <v/>
      </c>
      <c r="W17" s="49">
        <f>IF(OR('2_개행동'!$U$10="",'2_개행동'!$U$17=""),"",ABS('2_개행동'!$U$10-3)-ABS('2_개행동'!$U$17-3))</f>
        <v/>
      </c>
      <c r="X17" s="49">
        <f>IF(OR('2_개행동'!$U$10="",'2_개행동'!$U$14=""),"",ABS('2_개행동'!$U$10-3)-ABS('2_개행동'!$U$14-3))</f>
        <v/>
      </c>
      <c r="Y17" s="39">
        <f>IF('2_개행동'!$U$8="","",'2_개행동'!$U$8)</f>
        <v/>
      </c>
      <c r="Z17" s="40">
        <f>IF('2_개행동'!$U$25="","",IF('3_보호자행동'!$U$13=3,"무효",'2_개행동'!$U$25/6))</f>
        <v/>
      </c>
      <c r="AA17" s="35" t="n"/>
    </row>
    <row r="18">
      <c r="A18" s="39" t="n">
        <v>13</v>
      </c>
      <c r="B18" s="39" t="n"/>
      <c r="C18" s="39" t="n"/>
      <c r="D18" s="48">
        <f>IF((COUNTIFS('1_바디시그널'!$AD$5:$AD$13,"EDU",'1_바디시그널'!$AY$5:$AY$13,"BI",'1_바디시그널'!$AQ$5:$AQ$13,"&gt;=1")+COUNTIFS('2_개행동'!$AD$5:$AD$28,"EDU",'2_개행동'!$AY$5:$AY$28,"BI",'2_개행동'!$AQ$5:$AQ$28,"&gt;=1")+COUNTIFS('3_보호자행동'!$AD$5:$AD$15,"EDU",'3_보호자행동'!$AY$5:$AY$15,"BI",'3_보호자행동'!$AQ$5:$AQ$15,"&gt;=1"))=0,"",ROUND((SUMIFS('1_바디시그널'!$AQ$5:$AQ$13,'1_바디시그널'!$AD$5:$AD$13,"EDU",'1_바디시그널'!$AY$5:$AY$13,"BI",'1_바디시그널'!$AQ$5:$AQ$13,"&gt;=1")+SUMIFS('2_개행동'!$AQ$5:$AQ$28,'2_개행동'!$AD$5:$AD$28,"EDU",'2_개행동'!$AY$5:$AY$28,"BI",'2_개행동'!$AQ$5:$AQ$28,"&gt;=1")+SUMIFS('3_보호자행동'!$AQ$5:$AQ$15,'3_보호자행동'!$AD$5:$AD$15,"EDU",'3_보호자행동'!$AY$5:$AY$15,"BI",'3_보호자행동'!$AQ$5:$AQ$15,"&gt;=1"))/(COUNTIFS('1_바디시그널'!$AD$5:$AD$13,"EDU",'1_바디시그널'!$AY$5:$AY$13,"BI",'1_바디시그널'!$AQ$5:$AQ$13,"&gt;=1")+COUNTIFS('2_개행동'!$AD$5:$AD$28,"EDU",'2_개행동'!$AY$5:$AY$28,"BI",'2_개행동'!$AQ$5:$AQ$28,"&gt;=1")+COUNTIFS('3_보호자행동'!$AD$5:$AD$15,"EDU",'3_보호자행동'!$AY$5:$AY$15,"BI",'3_보호자행동'!$AQ$5:$AQ$15,"&gt;=1"))-3,2))</f>
        <v/>
      </c>
      <c r="E18" s="39">
        <f>IF((COUNTIFS('1_바디시그널'!$AD$5:$AD$13,"EDU",'1_바디시그널'!$AQ$5:$AQ$13,"&gt;=1")+COUNTIFS('2_개행동'!$AD$5:$AD$28,"EDU",'2_개행동'!$AQ$5:$AQ$28,"&gt;=1")+COUNTIFS('3_보호자행동'!$AD$5:$AD$15,"EDU",'3_보호자행동'!$AQ$5:$AQ$15,"&gt;=1"))=0,"",MAX(MAX(SUMPRODUCT(MAX(('1_바디시그널'!$AD$5:$AD$13="EDU")*('1_바디시그널'!$AQ$5:$AQ$13-3))),SUMPRODUCT(MAX(('2_개행동'!$AD$5:$AD$28="EDU")*('2_개행동'!$AQ$5:$AQ$28-3))),SUMPRODUCT(MAX(('3_보호자행동'!$AD$5:$AD$15="EDU")*('3_보호자행동'!$AQ$5:$AQ$15-3)))),MAX(SUMPRODUCT(MAX(('1_바디시그널'!$AD$5:$AD$13="EDU")*('1_바디시그널'!$AQ$5:$AQ$13&gt;=1)*(3-'1_바디시그널'!$AQ$5:$AQ$13))),SUMPRODUCT(MAX(('2_개행동'!$AD$5:$AD$28="EDU")*('2_개행동'!$AQ$5:$AQ$28&gt;=1)*(3-'2_개행동'!$AQ$5:$AQ$28))),SUMPRODUCT(MAX(('3_보호자행동'!$AD$5:$AD$15="EDU")*('3_보호자행동'!$AQ$5:$AQ$15&gt;=1)*(3-'3_보호자행동'!$AQ$5:$AQ$15))))))</f>
        <v/>
      </c>
      <c r="F18" s="39">
        <f>IF((COUNTIFS('1_바디시그널'!$AD$5:$AD$13,"EDU",'1_바디시그널'!$AY$5:$AY$13,"ONE",'1_바디시그널'!$AQ$5:$AQ$13,"&gt;=1")+COUNTIFS('2_개행동'!$AD$5:$AD$28,"EDU",'2_개행동'!$AY$5:$AY$28,"ONE",'2_개행동'!$AQ$5:$AQ$28,"&gt;=1")+COUNTIFS('3_보호자행동'!$AD$5:$AD$15,"EDU",'3_보호자행동'!$AY$5:$AY$15,"ONE",'3_보호자행동'!$AQ$5:$AQ$15,"&gt;=1"))=0,"",ROUND((SUMIFS('1_바디시그널'!$AQ$5:$AQ$13,'1_바디시그널'!$AD$5:$AD$13,"EDU",'1_바디시그널'!$AY$5:$AY$13,"ONE",'1_바디시그널'!$AQ$5:$AQ$13,"&gt;=1")+SUMIFS('2_개행동'!$AQ$5:$AQ$28,'2_개행동'!$AD$5:$AD$28,"EDU",'2_개행동'!$AY$5:$AY$28,"ONE",'2_개행동'!$AQ$5:$AQ$28,"&gt;=1")+SUMIFS('3_보호자행동'!$AQ$5:$AQ$15,'3_보호자행동'!$AD$5:$AD$15,"EDU",'3_보호자행동'!$AY$5:$AY$15,"ONE",'3_보호자행동'!$AQ$5:$AQ$15,"&gt;=1"))/(COUNTIFS('1_바디시그널'!$AD$5:$AD$13,"EDU",'1_바디시그널'!$AY$5:$AY$13,"ONE",'1_바디시그널'!$AQ$5:$AQ$13,"&gt;=1")+COUNTIFS('2_개행동'!$AD$5:$AD$28,"EDU",'2_개행동'!$AY$5:$AY$28,"ONE",'2_개행동'!$AQ$5:$AQ$28,"&gt;=1")+COUNTIFS('3_보호자행동'!$AD$5:$AD$15,"EDU",'3_보호자행동'!$AY$5:$AY$15,"ONE",'3_보호자행동'!$AQ$5:$AQ$15,"&gt;=1")),2))</f>
        <v/>
      </c>
      <c r="G18" s="48">
        <f>IF((COUNTIFS('1_바디시그널'!$AD$5:$AD$13,"SOC_E",'1_바디시그널'!$AY$5:$AY$13,"BI",'1_바디시그널'!$AQ$5:$AQ$13,"&gt;=1")+COUNTIFS('2_개행동'!$AD$5:$AD$28,"SOC_E",'2_개행동'!$AY$5:$AY$28,"BI",'2_개행동'!$AQ$5:$AQ$28,"&gt;=1")+COUNTIFS('3_보호자행동'!$AD$5:$AD$15,"SOC_E",'3_보호자행동'!$AY$5:$AY$15,"BI",'3_보호자행동'!$AQ$5:$AQ$15,"&gt;=1"))=0,"",ROUND((SUMIFS('1_바디시그널'!$AQ$5:$AQ$13,'1_바디시그널'!$AD$5:$AD$13,"SOC_E",'1_바디시그널'!$AY$5:$AY$13,"BI",'1_바디시그널'!$AQ$5:$AQ$13,"&gt;=1")+SUMIFS('2_개행동'!$AQ$5:$AQ$28,'2_개행동'!$AD$5:$AD$28,"SOC_E",'2_개행동'!$AY$5:$AY$28,"BI",'2_개행동'!$AQ$5:$AQ$28,"&gt;=1")+SUMIFS('3_보호자행동'!$AQ$5:$AQ$15,'3_보호자행동'!$AD$5:$AD$15,"SOC_E",'3_보호자행동'!$AY$5:$AY$15,"BI",'3_보호자행동'!$AQ$5:$AQ$15,"&gt;=1"))/(COUNTIFS('1_바디시그널'!$AD$5:$AD$13,"SOC_E",'1_바디시그널'!$AY$5:$AY$13,"BI",'1_바디시그널'!$AQ$5:$AQ$13,"&gt;=1")+COUNTIFS('2_개행동'!$AD$5:$AD$28,"SOC_E",'2_개행동'!$AY$5:$AY$28,"BI",'2_개행동'!$AQ$5:$AQ$28,"&gt;=1")+COUNTIFS('3_보호자행동'!$AD$5:$AD$15,"SOC_E",'3_보호자행동'!$AY$5:$AY$15,"BI",'3_보호자행동'!$AQ$5:$AQ$15,"&gt;=1"))-3,2))</f>
        <v/>
      </c>
      <c r="H18" s="39">
        <f>IF((COUNTIFS('1_바디시그널'!$AD$5:$AD$13,"SOC_E",'1_바디시그널'!$AQ$5:$AQ$13,"&gt;=1")+COUNTIFS('2_개행동'!$AD$5:$AD$28,"SOC_E",'2_개행동'!$AQ$5:$AQ$28,"&gt;=1")+COUNTIFS('3_보호자행동'!$AD$5:$AD$15,"SOC_E",'3_보호자행동'!$AQ$5:$AQ$15,"&gt;=1"))=0,"",MAX(MAX(SUMPRODUCT(MAX(('1_바디시그널'!$AD$5:$AD$13="SOC_E")*('1_바디시그널'!$AQ$5:$AQ$13-3))),SUMPRODUCT(MAX(('2_개행동'!$AD$5:$AD$28="SOC_E")*('2_개행동'!$AQ$5:$AQ$28-3))),SUMPRODUCT(MAX(('3_보호자행동'!$AD$5:$AD$15="SOC_E")*('3_보호자행동'!$AQ$5:$AQ$15-3)))),MAX(SUMPRODUCT(MAX(('1_바디시그널'!$AD$5:$AD$13="SOC_E")*('1_바디시그널'!$AQ$5:$AQ$13&gt;=1)*(3-'1_바디시그널'!$AQ$5:$AQ$13))),SUMPRODUCT(MAX(('2_개행동'!$AD$5:$AD$28="SOC_E")*('2_개행동'!$AQ$5:$AQ$28&gt;=1)*(3-'2_개행동'!$AQ$5:$AQ$28))),SUMPRODUCT(MAX(('3_보호자행동'!$AD$5:$AD$15="SOC_E")*('3_보호자행동'!$AQ$5:$AQ$15&gt;=1)*(3-'3_보호자행동'!$AQ$5:$AQ$15))))))</f>
        <v/>
      </c>
      <c r="I18" s="39">
        <f>IF((COUNTIFS('1_바디시그널'!$AD$5:$AD$13,"SOC_E",'1_바디시그널'!$AY$5:$AY$13,"ONE",'1_바디시그널'!$AQ$5:$AQ$13,"&gt;=1")+COUNTIFS('2_개행동'!$AD$5:$AD$28,"SOC_E",'2_개행동'!$AY$5:$AY$28,"ONE",'2_개행동'!$AQ$5:$AQ$28,"&gt;=1")+COUNTIFS('3_보호자행동'!$AD$5:$AD$15,"SOC_E",'3_보호자행동'!$AY$5:$AY$15,"ONE",'3_보호자행동'!$AQ$5:$AQ$15,"&gt;=1"))=0,"",ROUND((SUMIFS('1_바디시그널'!$AQ$5:$AQ$13,'1_바디시그널'!$AD$5:$AD$13,"SOC_E",'1_바디시그널'!$AY$5:$AY$13,"ONE",'1_바디시그널'!$AQ$5:$AQ$13,"&gt;=1")+SUMIFS('2_개행동'!$AQ$5:$AQ$28,'2_개행동'!$AD$5:$AD$28,"SOC_E",'2_개행동'!$AY$5:$AY$28,"ONE",'2_개행동'!$AQ$5:$AQ$28,"&gt;=1")+SUMIFS('3_보호자행동'!$AQ$5:$AQ$15,'3_보호자행동'!$AD$5:$AD$15,"SOC_E",'3_보호자행동'!$AY$5:$AY$15,"ONE",'3_보호자행동'!$AQ$5:$AQ$15,"&gt;=1"))/(COUNTIFS('1_바디시그널'!$AD$5:$AD$13,"SOC_E",'1_바디시그널'!$AY$5:$AY$13,"ONE",'1_바디시그널'!$AQ$5:$AQ$13,"&gt;=1")+COUNTIFS('2_개행동'!$AD$5:$AD$28,"SOC_E",'2_개행동'!$AY$5:$AY$28,"ONE",'2_개행동'!$AQ$5:$AQ$28,"&gt;=1")+COUNTIFS('3_보호자행동'!$AD$5:$AD$15,"SOC_E",'3_보호자행동'!$AY$5:$AY$15,"ONE",'3_보호자행동'!$AQ$5:$AQ$15,"&gt;=1")),2))</f>
        <v/>
      </c>
      <c r="J18" s="39">
        <f>IF(OR('2_개행동'!$V$13="",'2_개행동'!$V$14=""),"",IF('2_개행동'!$V$13&gt;=3,IF(ABS('2_개행동'!$V$14-3)&lt;=1,"편안·우호","우호·들뜸"),IF(ABS('2_개행동'!$V$14-3)&lt;=1,"담담·거리둠","경계·긴장")))</f>
        <v/>
      </c>
      <c r="K18" s="39">
        <f>IF((COUNTIFS('1_바디시그널'!$AD$5:$AD$13,"SOC_H",'1_바디시그널'!$AQ$5:$AQ$13,"&gt;=1")+COUNTIFS('2_개행동'!$AD$5:$AD$28,"SOC_H",'2_개행동'!$AQ$5:$AQ$28,"&gt;=1")+COUNTIFS('3_보호자행동'!$AD$5:$AD$15,"SOC_H",'3_보호자행동'!$AQ$5:$AQ$15,"&gt;=1"))=0,"",MAX(MAX(SUMPRODUCT(MAX(('1_바디시그널'!$AD$5:$AD$13="SOC_H")*('1_바디시그널'!$AQ$5:$AQ$13-3))),SUMPRODUCT(MAX(('2_개행동'!$AD$5:$AD$28="SOC_H")*('2_개행동'!$AQ$5:$AQ$28-3))),SUMPRODUCT(MAX(('3_보호자행동'!$AD$5:$AD$15="SOC_H")*('3_보호자행동'!$AQ$5:$AQ$15-3)))),MAX(SUMPRODUCT(MAX(('1_바디시그널'!$AD$5:$AD$13="SOC_H")*('1_바디시그널'!$AQ$5:$AQ$13&gt;=1)*(3-'1_바디시그널'!$AQ$5:$AQ$13))),SUMPRODUCT(MAX(('2_개행동'!$AD$5:$AD$28="SOC_H")*('2_개행동'!$AQ$5:$AQ$28&gt;=1)*(3-'2_개행동'!$AQ$5:$AQ$28))),SUMPRODUCT(MAX(('3_보호자행동'!$AD$5:$AD$15="SOC_H")*('3_보호자행동'!$AQ$5:$AQ$15&gt;=1)*(3-'3_보호자행동'!$AQ$5:$AQ$15))))))</f>
        <v/>
      </c>
      <c r="L18" s="39">
        <f>IF((COUNTIFS('1_바디시그널'!$AD$5:$AD$13,"SOC_H",'1_바디시그널'!$AY$5:$AY$13,"ONE",'1_바디시그널'!$AQ$5:$AQ$13,"&gt;=1")+COUNTIFS('2_개행동'!$AD$5:$AD$28,"SOC_H",'2_개행동'!$AY$5:$AY$28,"ONE",'2_개행동'!$AQ$5:$AQ$28,"&gt;=1")+COUNTIFS('3_보호자행동'!$AD$5:$AD$15,"SOC_H",'3_보호자행동'!$AY$5:$AY$15,"ONE",'3_보호자행동'!$AQ$5:$AQ$15,"&gt;=1"))=0,"",ROUND((SUMIFS('1_바디시그널'!$AQ$5:$AQ$13,'1_바디시그널'!$AD$5:$AD$13,"SOC_H",'1_바디시그널'!$AY$5:$AY$13,"ONE",'1_바디시그널'!$AQ$5:$AQ$13,"&gt;=1")+SUMIFS('2_개행동'!$AQ$5:$AQ$28,'2_개행동'!$AD$5:$AD$28,"SOC_H",'2_개행동'!$AY$5:$AY$28,"ONE",'2_개행동'!$AQ$5:$AQ$28,"&gt;=1")+SUMIFS('3_보호자행동'!$AQ$5:$AQ$15,'3_보호자행동'!$AD$5:$AD$15,"SOC_H",'3_보호자행동'!$AY$5:$AY$15,"ONE",'3_보호자행동'!$AQ$5:$AQ$15,"&gt;=1"))/(COUNTIFS('1_바디시그널'!$AD$5:$AD$13,"SOC_H",'1_바디시그널'!$AY$5:$AY$13,"ONE",'1_바디시그널'!$AQ$5:$AQ$13,"&gt;=1")+COUNTIFS('2_개행동'!$AD$5:$AD$28,"SOC_H",'2_개행동'!$AY$5:$AY$28,"ONE",'2_개행동'!$AQ$5:$AQ$28,"&gt;=1")+COUNTIFS('3_보호자행동'!$AD$5:$AD$15,"SOC_H",'3_보호자행동'!$AY$5:$AY$15,"ONE",'3_보호자행동'!$AQ$5:$AQ$15,"&gt;=1")),2))</f>
        <v/>
      </c>
      <c r="M18" s="39">
        <f>IF(OR('2_개행동'!$V$21="",'2_개행동'!$V$9="",'2_개행동'!$V$16="",'2_개행동'!$V$17=""),"",IF(N('2_개행동'!$V$20)&gt;=1,"일관되지 않음",IF(AVERAGE('2_개행동'!$V$21,'2_개행동'!$V$9,'2_개행동'!$V$16,'2_개행동'!$V$18)&lt;=3.5,IF(ABS('2_개행동'!$V$17-3)&lt;=1,"안정","불안"),IF(ABS('2_개행동'!$V$17-3)&lt;=1,"거리 둠","일관되지 않음"))))</f>
        <v/>
      </c>
      <c r="N18" s="39">
        <f>IF((COUNTIFS('1_바디시그널'!$AD$5:$AD$13,"ATT",'1_바디시그널'!$AQ$5:$AQ$13,"&gt;=1")+COUNTIFS('2_개행동'!$AD$5:$AD$28,"ATT",'2_개행동'!$AQ$5:$AQ$28,"&gt;=1")+COUNTIFS('3_보호자행동'!$AD$5:$AD$15,"ATT",'3_보호자행동'!$AQ$5:$AQ$15,"&gt;=1"))=0,"",MAX(MAX(SUMPRODUCT(MAX(('1_바디시그널'!$AD$5:$AD$13="ATT")*('1_바디시그널'!$AQ$5:$AQ$13-3))),SUMPRODUCT(MAX(('2_개행동'!$AD$5:$AD$28="ATT")*('2_개행동'!$AQ$5:$AQ$28-3))),SUMPRODUCT(MAX(('3_보호자행동'!$AD$5:$AD$15="ATT")*('3_보호자행동'!$AQ$5:$AQ$15-3)))),MAX(SUMPRODUCT(MAX(('1_바디시그널'!$AD$5:$AD$13="ATT")*('1_바디시그널'!$AQ$5:$AQ$13&gt;=1)*(3-'1_바디시그널'!$AQ$5:$AQ$13))),SUMPRODUCT(MAX(('2_개행동'!$AD$5:$AD$28="ATT")*('2_개행동'!$AQ$5:$AQ$28&gt;=1)*(3-'2_개행동'!$AQ$5:$AQ$28))),SUMPRODUCT(MAX(('3_보호자행동'!$AD$5:$AD$15="ATT")*('3_보호자행동'!$AQ$5:$AQ$15&gt;=1)*(3-'3_보호자행동'!$AQ$5:$AQ$15))))))</f>
        <v/>
      </c>
      <c r="O18" s="39">
        <f>IF((COUNTIFS('1_바디시그널'!$AD$5:$AD$13,"ATT",'1_바디시그널'!$AY$5:$AY$13,"ONE",'1_바디시그널'!$AQ$5:$AQ$13,"&gt;=1")+COUNTIFS('2_개행동'!$AD$5:$AD$28,"ATT",'2_개행동'!$AY$5:$AY$28,"ONE",'2_개행동'!$AQ$5:$AQ$28,"&gt;=1")+COUNTIFS('3_보호자행동'!$AD$5:$AD$15,"ATT",'3_보호자행동'!$AY$5:$AY$15,"ONE",'3_보호자행동'!$AQ$5:$AQ$15,"&gt;=1"))=0,"",ROUND((SUMIFS('1_바디시그널'!$AQ$5:$AQ$13,'1_바디시그널'!$AD$5:$AD$13,"ATT",'1_바디시그널'!$AY$5:$AY$13,"ONE",'1_바디시그널'!$AQ$5:$AQ$13,"&gt;=1")+SUMIFS('2_개행동'!$AQ$5:$AQ$28,'2_개행동'!$AD$5:$AD$28,"ATT",'2_개행동'!$AY$5:$AY$28,"ONE",'2_개행동'!$AQ$5:$AQ$28,"&gt;=1")+SUMIFS('3_보호자행동'!$AQ$5:$AQ$15,'3_보호자행동'!$AD$5:$AD$15,"ATT",'3_보호자행동'!$AY$5:$AY$15,"ONE",'3_보호자행동'!$AQ$5:$AQ$15,"&gt;=1"))/(COUNTIFS('1_바디시그널'!$AD$5:$AD$13,"ATT",'1_바디시그널'!$AY$5:$AY$13,"ONE",'1_바디시그널'!$AQ$5:$AQ$13,"&gt;=1")+COUNTIFS('2_개행동'!$AD$5:$AD$28,"ATT",'2_개행동'!$AY$5:$AY$28,"ONE",'2_개행동'!$AQ$5:$AQ$28,"&gt;=1")+COUNTIFS('3_보호자행동'!$AD$5:$AD$15,"ATT",'3_보호자행동'!$AY$5:$AY$15,"ONE",'3_보호자행동'!$AQ$5:$AQ$15,"&gt;=1")),2))</f>
        <v/>
      </c>
      <c r="P18" s="48">
        <f>IF((COUNTIFS('1_바디시그널'!$AD$5:$AD$13,"SYN",'1_바디시그널'!$AY$5:$AY$13,"BI",'1_바디시그널'!$AQ$5:$AQ$13,"&gt;=1")+COUNTIFS('2_개행동'!$AD$5:$AD$28,"SYN",'2_개행동'!$AY$5:$AY$28,"BI",'2_개행동'!$AQ$5:$AQ$28,"&gt;=1")+COUNTIFS('3_보호자행동'!$AD$5:$AD$15,"SYN",'3_보호자행동'!$AY$5:$AY$15,"BI",'3_보호자행동'!$AQ$5:$AQ$15,"&gt;=1"))=0,"",ROUND((SUMIFS('1_바디시그널'!$AQ$5:$AQ$13,'1_바디시그널'!$AD$5:$AD$13,"SYN",'1_바디시그널'!$AY$5:$AY$13,"BI",'1_바디시그널'!$AQ$5:$AQ$13,"&gt;=1")+SUMIFS('2_개행동'!$AQ$5:$AQ$28,'2_개행동'!$AD$5:$AD$28,"SYN",'2_개행동'!$AY$5:$AY$28,"BI",'2_개행동'!$AQ$5:$AQ$28,"&gt;=1")+SUMIFS('3_보호자행동'!$AQ$5:$AQ$15,'3_보호자행동'!$AD$5:$AD$15,"SYN",'3_보호자행동'!$AY$5:$AY$15,"BI",'3_보호자행동'!$AQ$5:$AQ$15,"&gt;=1"))/(COUNTIFS('1_바디시그널'!$AD$5:$AD$13,"SYN",'1_바디시그널'!$AY$5:$AY$13,"BI",'1_바디시그널'!$AQ$5:$AQ$13,"&gt;=1")+COUNTIFS('2_개행동'!$AD$5:$AD$28,"SYN",'2_개행동'!$AY$5:$AY$28,"BI",'2_개행동'!$AQ$5:$AQ$28,"&gt;=1")+COUNTIFS('3_보호자행동'!$AD$5:$AD$15,"SYN",'3_보호자행동'!$AY$5:$AY$15,"BI",'3_보호자행동'!$AQ$5:$AQ$15,"&gt;=1"))-3,2))</f>
        <v/>
      </c>
      <c r="Q18" s="39">
        <f>IF((COUNTIFS('1_바디시그널'!$AD$5:$AD$13,"SYN",'1_바디시그널'!$AQ$5:$AQ$13,"&gt;=1")+COUNTIFS('2_개행동'!$AD$5:$AD$28,"SYN",'2_개행동'!$AQ$5:$AQ$28,"&gt;=1")+COUNTIFS('3_보호자행동'!$AD$5:$AD$15,"SYN",'3_보호자행동'!$AQ$5:$AQ$15,"&gt;=1"))=0,"",MAX(MAX(SUMPRODUCT(MAX(('1_바디시그널'!$AD$5:$AD$13="SYN")*('1_바디시그널'!$AQ$5:$AQ$13-3))),SUMPRODUCT(MAX(('2_개행동'!$AD$5:$AD$28="SYN")*('2_개행동'!$AQ$5:$AQ$28-3))),SUMPRODUCT(MAX(('3_보호자행동'!$AD$5:$AD$15="SYN")*('3_보호자행동'!$AQ$5:$AQ$15-3)))),MAX(SUMPRODUCT(MAX(('1_바디시그널'!$AD$5:$AD$13="SYN")*('1_바디시그널'!$AQ$5:$AQ$13&gt;=1)*(3-'1_바디시그널'!$AQ$5:$AQ$13))),SUMPRODUCT(MAX(('2_개행동'!$AD$5:$AD$28="SYN")*('2_개행동'!$AQ$5:$AQ$28&gt;=1)*(3-'2_개행동'!$AQ$5:$AQ$28))),SUMPRODUCT(MAX(('3_보호자행동'!$AD$5:$AD$15="SYN")*('3_보호자행동'!$AQ$5:$AQ$15&gt;=1)*(3-'3_보호자행동'!$AQ$5:$AQ$15))))))</f>
        <v/>
      </c>
      <c r="R18" s="39">
        <f>IF((COUNTIFS('1_바디시그널'!$AD$5:$AD$13,"SYN",'1_바디시그널'!$AY$5:$AY$13,"ONE",'1_바디시그널'!$AQ$5:$AQ$13,"&gt;=1")+COUNTIFS('2_개행동'!$AD$5:$AD$28,"SYN",'2_개행동'!$AY$5:$AY$28,"ONE",'2_개행동'!$AQ$5:$AQ$28,"&gt;=1")+COUNTIFS('3_보호자행동'!$AD$5:$AD$15,"SYN",'3_보호자행동'!$AY$5:$AY$15,"ONE",'3_보호자행동'!$AQ$5:$AQ$15,"&gt;=1"))=0,"",ROUND((SUMIFS('1_바디시그널'!$AQ$5:$AQ$13,'1_바디시그널'!$AD$5:$AD$13,"SYN",'1_바디시그널'!$AY$5:$AY$13,"ONE",'1_바디시그널'!$AQ$5:$AQ$13,"&gt;=1")+SUMIFS('2_개행동'!$AQ$5:$AQ$28,'2_개행동'!$AD$5:$AD$28,"SYN",'2_개행동'!$AY$5:$AY$28,"ONE",'2_개행동'!$AQ$5:$AQ$28,"&gt;=1")+SUMIFS('3_보호자행동'!$AQ$5:$AQ$15,'3_보호자행동'!$AD$5:$AD$15,"SYN",'3_보호자행동'!$AY$5:$AY$15,"ONE",'3_보호자행동'!$AQ$5:$AQ$15,"&gt;=1"))/(COUNTIFS('1_바디시그널'!$AD$5:$AD$13,"SYN",'1_바디시그널'!$AY$5:$AY$13,"ONE",'1_바디시그널'!$AQ$5:$AQ$13,"&gt;=1")+COUNTIFS('2_개행동'!$AD$5:$AD$28,"SYN",'2_개행동'!$AY$5:$AY$28,"ONE",'2_개행동'!$AQ$5:$AQ$28,"&gt;=1")+COUNTIFS('3_보호자행동'!$AD$5:$AD$15,"SYN",'3_보호자행동'!$AY$5:$AY$15,"ONE",'3_보호자행동'!$AQ$5:$AQ$15,"&gt;=1")),2))</f>
        <v/>
      </c>
      <c r="S18" s="48">
        <f>IF((COUNTIFS('1_바디시그널'!$AD$5:$AD$13,"EXIT",'1_바디시그널'!$AY$5:$AY$13,"BI",'1_바디시그널'!$AQ$5:$AQ$13,"&gt;=1")+COUNTIFS('2_개행동'!$AD$5:$AD$28,"EXIT",'2_개행동'!$AY$5:$AY$28,"BI",'2_개행동'!$AQ$5:$AQ$28,"&gt;=1")+COUNTIFS('3_보호자행동'!$AD$5:$AD$15,"EXIT",'3_보호자행동'!$AY$5:$AY$15,"BI",'3_보호자행동'!$AQ$5:$AQ$15,"&gt;=1"))=0,"",ROUND((SUMIFS('1_바디시그널'!$AQ$5:$AQ$13,'1_바디시그널'!$AD$5:$AD$13,"EXIT",'1_바디시그널'!$AY$5:$AY$13,"BI",'1_바디시그널'!$AQ$5:$AQ$13,"&gt;=1")+SUMIFS('2_개행동'!$AQ$5:$AQ$28,'2_개행동'!$AD$5:$AD$28,"EXIT",'2_개행동'!$AY$5:$AY$28,"BI",'2_개행동'!$AQ$5:$AQ$28,"&gt;=1")+SUMIFS('3_보호자행동'!$AQ$5:$AQ$15,'3_보호자행동'!$AD$5:$AD$15,"EXIT",'3_보호자행동'!$AY$5:$AY$15,"BI",'3_보호자행동'!$AQ$5:$AQ$15,"&gt;=1"))/(COUNTIFS('1_바디시그널'!$AD$5:$AD$13,"EXIT",'1_바디시그널'!$AY$5:$AY$13,"BI",'1_바디시그널'!$AQ$5:$AQ$13,"&gt;=1")+COUNTIFS('2_개행동'!$AD$5:$AD$28,"EXIT",'2_개행동'!$AY$5:$AY$28,"BI",'2_개행동'!$AQ$5:$AQ$28,"&gt;=1")+COUNTIFS('3_보호자행동'!$AD$5:$AD$15,"EXIT",'3_보호자행동'!$AY$5:$AY$15,"BI",'3_보호자행동'!$AQ$5:$AQ$15,"&gt;=1"))-3,2))</f>
        <v/>
      </c>
      <c r="T18" s="39">
        <f>IF((COUNTIFS('1_바디시그널'!$AD$5:$AD$13,"EXIT",'1_바디시그널'!$AQ$5:$AQ$13,"&gt;=1")+COUNTIFS('2_개행동'!$AD$5:$AD$28,"EXIT",'2_개행동'!$AQ$5:$AQ$28,"&gt;=1")+COUNTIFS('3_보호자행동'!$AD$5:$AD$15,"EXIT",'3_보호자행동'!$AQ$5:$AQ$15,"&gt;=1"))=0,"",MAX(MAX(SUMPRODUCT(MAX(('1_바디시그널'!$AD$5:$AD$13="EXIT")*('1_바디시그널'!$AQ$5:$AQ$13-3))),SUMPRODUCT(MAX(('2_개행동'!$AD$5:$AD$28="EXIT")*('2_개행동'!$AQ$5:$AQ$28-3))),SUMPRODUCT(MAX(('3_보호자행동'!$AD$5:$AD$15="EXIT")*('3_보호자행동'!$AQ$5:$AQ$15-3)))),MAX(SUMPRODUCT(MAX(('1_바디시그널'!$AD$5:$AD$13="EXIT")*('1_바디시그널'!$AQ$5:$AQ$13&gt;=1)*(3-'1_바디시그널'!$AQ$5:$AQ$13))),SUMPRODUCT(MAX(('2_개행동'!$AD$5:$AD$28="EXIT")*('2_개행동'!$AQ$5:$AQ$28&gt;=1)*(3-'2_개행동'!$AQ$5:$AQ$28))),SUMPRODUCT(MAX(('3_보호자행동'!$AD$5:$AD$15="EXIT")*('3_보호자행동'!$AQ$5:$AQ$15&gt;=1)*(3-'3_보호자행동'!$AQ$5:$AQ$15))))))</f>
        <v/>
      </c>
      <c r="U18" s="39">
        <f>IF((COUNTIFS('1_바디시그널'!$AD$5:$AD$13,"EXIT",'1_바디시그널'!$AY$5:$AY$13,"ONE",'1_바디시그널'!$AQ$5:$AQ$13,"&gt;=1")+COUNTIFS('2_개행동'!$AD$5:$AD$28,"EXIT",'2_개행동'!$AY$5:$AY$28,"ONE",'2_개행동'!$AQ$5:$AQ$28,"&gt;=1")+COUNTIFS('3_보호자행동'!$AD$5:$AD$15,"EXIT",'3_보호자행동'!$AY$5:$AY$15,"ONE",'3_보호자행동'!$AQ$5:$AQ$15,"&gt;=1"))=0,"",ROUND((SUMIFS('1_바디시그널'!$AQ$5:$AQ$13,'1_바디시그널'!$AD$5:$AD$13,"EXIT",'1_바디시그널'!$AY$5:$AY$13,"ONE",'1_바디시그널'!$AQ$5:$AQ$13,"&gt;=1")+SUMIFS('2_개행동'!$AQ$5:$AQ$28,'2_개행동'!$AD$5:$AD$28,"EXIT",'2_개행동'!$AY$5:$AY$28,"ONE",'2_개행동'!$AQ$5:$AQ$28,"&gt;=1")+SUMIFS('3_보호자행동'!$AQ$5:$AQ$15,'3_보호자행동'!$AD$5:$AD$15,"EXIT",'3_보호자행동'!$AY$5:$AY$15,"ONE",'3_보호자행동'!$AQ$5:$AQ$15,"&gt;=1"))/(COUNTIFS('1_바디시그널'!$AD$5:$AD$13,"EXIT",'1_바디시그널'!$AY$5:$AY$13,"ONE",'1_바디시그널'!$AQ$5:$AQ$13,"&gt;=1")+COUNTIFS('2_개행동'!$AD$5:$AD$28,"EXIT",'2_개행동'!$AY$5:$AY$28,"ONE",'2_개행동'!$AQ$5:$AQ$28,"&gt;=1")+COUNTIFS('3_보호자행동'!$AD$5:$AD$15,"EXIT",'3_보호자행동'!$AY$5:$AY$15,"ONE",'3_보호자행동'!$AQ$5:$AQ$15,"&gt;=1")),2))</f>
        <v/>
      </c>
      <c r="V18" s="49">
        <f>IF(OR('2_개행동'!$V$8="",'2_개행동'!$V$22=""),"",ABS('2_개행동'!$V$8-3)-ABS('2_개행동'!$V$22-3))</f>
        <v/>
      </c>
      <c r="W18" s="49">
        <f>IF(OR('2_개행동'!$V$10="",'2_개행동'!$V$17=""),"",ABS('2_개행동'!$V$10-3)-ABS('2_개행동'!$V$17-3))</f>
        <v/>
      </c>
      <c r="X18" s="49">
        <f>IF(OR('2_개행동'!$V$10="",'2_개행동'!$V$14=""),"",ABS('2_개행동'!$V$10-3)-ABS('2_개행동'!$V$14-3))</f>
        <v/>
      </c>
      <c r="Y18" s="39">
        <f>IF('2_개행동'!$V$8="","",'2_개행동'!$V$8)</f>
        <v/>
      </c>
      <c r="Z18" s="40">
        <f>IF('2_개행동'!$V$25="","",IF('3_보호자행동'!$V$13=3,"무효",'2_개행동'!$V$25/6))</f>
        <v/>
      </c>
      <c r="AA18" s="35" t="n"/>
    </row>
    <row r="19">
      <c r="A19" s="39" t="n">
        <v>14</v>
      </c>
      <c r="B19" s="39" t="n"/>
      <c r="C19" s="39" t="n"/>
      <c r="D19" s="48">
        <f>IF((COUNTIFS('1_바디시그널'!$AD$5:$AD$13,"EDU",'1_바디시그널'!$AY$5:$AY$13,"BI",'1_바디시그널'!$AR$5:$AR$13,"&gt;=1")+COUNTIFS('2_개행동'!$AD$5:$AD$28,"EDU",'2_개행동'!$AY$5:$AY$28,"BI",'2_개행동'!$AR$5:$AR$28,"&gt;=1")+COUNTIFS('3_보호자행동'!$AD$5:$AD$15,"EDU",'3_보호자행동'!$AY$5:$AY$15,"BI",'3_보호자행동'!$AR$5:$AR$15,"&gt;=1"))=0,"",ROUND((SUMIFS('1_바디시그널'!$AR$5:$AR$13,'1_바디시그널'!$AD$5:$AD$13,"EDU",'1_바디시그널'!$AY$5:$AY$13,"BI",'1_바디시그널'!$AR$5:$AR$13,"&gt;=1")+SUMIFS('2_개행동'!$AR$5:$AR$28,'2_개행동'!$AD$5:$AD$28,"EDU",'2_개행동'!$AY$5:$AY$28,"BI",'2_개행동'!$AR$5:$AR$28,"&gt;=1")+SUMIFS('3_보호자행동'!$AR$5:$AR$15,'3_보호자행동'!$AD$5:$AD$15,"EDU",'3_보호자행동'!$AY$5:$AY$15,"BI",'3_보호자행동'!$AR$5:$AR$15,"&gt;=1"))/(COUNTIFS('1_바디시그널'!$AD$5:$AD$13,"EDU",'1_바디시그널'!$AY$5:$AY$13,"BI",'1_바디시그널'!$AR$5:$AR$13,"&gt;=1")+COUNTIFS('2_개행동'!$AD$5:$AD$28,"EDU",'2_개행동'!$AY$5:$AY$28,"BI",'2_개행동'!$AR$5:$AR$28,"&gt;=1")+COUNTIFS('3_보호자행동'!$AD$5:$AD$15,"EDU",'3_보호자행동'!$AY$5:$AY$15,"BI",'3_보호자행동'!$AR$5:$AR$15,"&gt;=1"))-3,2))</f>
        <v/>
      </c>
      <c r="E19" s="39">
        <f>IF((COUNTIFS('1_바디시그널'!$AD$5:$AD$13,"EDU",'1_바디시그널'!$AR$5:$AR$13,"&gt;=1")+COUNTIFS('2_개행동'!$AD$5:$AD$28,"EDU",'2_개행동'!$AR$5:$AR$28,"&gt;=1")+COUNTIFS('3_보호자행동'!$AD$5:$AD$15,"EDU",'3_보호자행동'!$AR$5:$AR$15,"&gt;=1"))=0,"",MAX(MAX(SUMPRODUCT(MAX(('1_바디시그널'!$AD$5:$AD$13="EDU")*('1_바디시그널'!$AR$5:$AR$13-3))),SUMPRODUCT(MAX(('2_개행동'!$AD$5:$AD$28="EDU")*('2_개행동'!$AR$5:$AR$28-3))),SUMPRODUCT(MAX(('3_보호자행동'!$AD$5:$AD$15="EDU")*('3_보호자행동'!$AR$5:$AR$15-3)))),MAX(SUMPRODUCT(MAX(('1_바디시그널'!$AD$5:$AD$13="EDU")*('1_바디시그널'!$AR$5:$AR$13&gt;=1)*(3-'1_바디시그널'!$AR$5:$AR$13))),SUMPRODUCT(MAX(('2_개행동'!$AD$5:$AD$28="EDU")*('2_개행동'!$AR$5:$AR$28&gt;=1)*(3-'2_개행동'!$AR$5:$AR$28))),SUMPRODUCT(MAX(('3_보호자행동'!$AD$5:$AD$15="EDU")*('3_보호자행동'!$AR$5:$AR$15&gt;=1)*(3-'3_보호자행동'!$AR$5:$AR$15))))))</f>
        <v/>
      </c>
      <c r="F19" s="39">
        <f>IF((COUNTIFS('1_바디시그널'!$AD$5:$AD$13,"EDU",'1_바디시그널'!$AY$5:$AY$13,"ONE",'1_바디시그널'!$AR$5:$AR$13,"&gt;=1")+COUNTIFS('2_개행동'!$AD$5:$AD$28,"EDU",'2_개행동'!$AY$5:$AY$28,"ONE",'2_개행동'!$AR$5:$AR$28,"&gt;=1")+COUNTIFS('3_보호자행동'!$AD$5:$AD$15,"EDU",'3_보호자행동'!$AY$5:$AY$15,"ONE",'3_보호자행동'!$AR$5:$AR$15,"&gt;=1"))=0,"",ROUND((SUMIFS('1_바디시그널'!$AR$5:$AR$13,'1_바디시그널'!$AD$5:$AD$13,"EDU",'1_바디시그널'!$AY$5:$AY$13,"ONE",'1_바디시그널'!$AR$5:$AR$13,"&gt;=1")+SUMIFS('2_개행동'!$AR$5:$AR$28,'2_개행동'!$AD$5:$AD$28,"EDU",'2_개행동'!$AY$5:$AY$28,"ONE",'2_개행동'!$AR$5:$AR$28,"&gt;=1")+SUMIFS('3_보호자행동'!$AR$5:$AR$15,'3_보호자행동'!$AD$5:$AD$15,"EDU",'3_보호자행동'!$AY$5:$AY$15,"ONE",'3_보호자행동'!$AR$5:$AR$15,"&gt;=1"))/(COUNTIFS('1_바디시그널'!$AD$5:$AD$13,"EDU",'1_바디시그널'!$AY$5:$AY$13,"ONE",'1_바디시그널'!$AR$5:$AR$13,"&gt;=1")+COUNTIFS('2_개행동'!$AD$5:$AD$28,"EDU",'2_개행동'!$AY$5:$AY$28,"ONE",'2_개행동'!$AR$5:$AR$28,"&gt;=1")+COUNTIFS('3_보호자행동'!$AD$5:$AD$15,"EDU",'3_보호자행동'!$AY$5:$AY$15,"ONE",'3_보호자행동'!$AR$5:$AR$15,"&gt;=1")),2))</f>
        <v/>
      </c>
      <c r="G19" s="48">
        <f>IF((COUNTIFS('1_바디시그널'!$AD$5:$AD$13,"SOC_E",'1_바디시그널'!$AY$5:$AY$13,"BI",'1_바디시그널'!$AR$5:$AR$13,"&gt;=1")+COUNTIFS('2_개행동'!$AD$5:$AD$28,"SOC_E",'2_개행동'!$AY$5:$AY$28,"BI",'2_개행동'!$AR$5:$AR$28,"&gt;=1")+COUNTIFS('3_보호자행동'!$AD$5:$AD$15,"SOC_E",'3_보호자행동'!$AY$5:$AY$15,"BI",'3_보호자행동'!$AR$5:$AR$15,"&gt;=1"))=0,"",ROUND((SUMIFS('1_바디시그널'!$AR$5:$AR$13,'1_바디시그널'!$AD$5:$AD$13,"SOC_E",'1_바디시그널'!$AY$5:$AY$13,"BI",'1_바디시그널'!$AR$5:$AR$13,"&gt;=1")+SUMIFS('2_개행동'!$AR$5:$AR$28,'2_개행동'!$AD$5:$AD$28,"SOC_E",'2_개행동'!$AY$5:$AY$28,"BI",'2_개행동'!$AR$5:$AR$28,"&gt;=1")+SUMIFS('3_보호자행동'!$AR$5:$AR$15,'3_보호자행동'!$AD$5:$AD$15,"SOC_E",'3_보호자행동'!$AY$5:$AY$15,"BI",'3_보호자행동'!$AR$5:$AR$15,"&gt;=1"))/(COUNTIFS('1_바디시그널'!$AD$5:$AD$13,"SOC_E",'1_바디시그널'!$AY$5:$AY$13,"BI",'1_바디시그널'!$AR$5:$AR$13,"&gt;=1")+COUNTIFS('2_개행동'!$AD$5:$AD$28,"SOC_E",'2_개행동'!$AY$5:$AY$28,"BI",'2_개행동'!$AR$5:$AR$28,"&gt;=1")+COUNTIFS('3_보호자행동'!$AD$5:$AD$15,"SOC_E",'3_보호자행동'!$AY$5:$AY$15,"BI",'3_보호자행동'!$AR$5:$AR$15,"&gt;=1"))-3,2))</f>
        <v/>
      </c>
      <c r="H19" s="39">
        <f>IF((COUNTIFS('1_바디시그널'!$AD$5:$AD$13,"SOC_E",'1_바디시그널'!$AR$5:$AR$13,"&gt;=1")+COUNTIFS('2_개행동'!$AD$5:$AD$28,"SOC_E",'2_개행동'!$AR$5:$AR$28,"&gt;=1")+COUNTIFS('3_보호자행동'!$AD$5:$AD$15,"SOC_E",'3_보호자행동'!$AR$5:$AR$15,"&gt;=1"))=0,"",MAX(MAX(SUMPRODUCT(MAX(('1_바디시그널'!$AD$5:$AD$13="SOC_E")*('1_바디시그널'!$AR$5:$AR$13-3))),SUMPRODUCT(MAX(('2_개행동'!$AD$5:$AD$28="SOC_E")*('2_개행동'!$AR$5:$AR$28-3))),SUMPRODUCT(MAX(('3_보호자행동'!$AD$5:$AD$15="SOC_E")*('3_보호자행동'!$AR$5:$AR$15-3)))),MAX(SUMPRODUCT(MAX(('1_바디시그널'!$AD$5:$AD$13="SOC_E")*('1_바디시그널'!$AR$5:$AR$13&gt;=1)*(3-'1_바디시그널'!$AR$5:$AR$13))),SUMPRODUCT(MAX(('2_개행동'!$AD$5:$AD$28="SOC_E")*('2_개행동'!$AR$5:$AR$28&gt;=1)*(3-'2_개행동'!$AR$5:$AR$28))),SUMPRODUCT(MAX(('3_보호자행동'!$AD$5:$AD$15="SOC_E")*('3_보호자행동'!$AR$5:$AR$15&gt;=1)*(3-'3_보호자행동'!$AR$5:$AR$15))))))</f>
        <v/>
      </c>
      <c r="I19" s="39">
        <f>IF((COUNTIFS('1_바디시그널'!$AD$5:$AD$13,"SOC_E",'1_바디시그널'!$AY$5:$AY$13,"ONE",'1_바디시그널'!$AR$5:$AR$13,"&gt;=1")+COUNTIFS('2_개행동'!$AD$5:$AD$28,"SOC_E",'2_개행동'!$AY$5:$AY$28,"ONE",'2_개행동'!$AR$5:$AR$28,"&gt;=1")+COUNTIFS('3_보호자행동'!$AD$5:$AD$15,"SOC_E",'3_보호자행동'!$AY$5:$AY$15,"ONE",'3_보호자행동'!$AR$5:$AR$15,"&gt;=1"))=0,"",ROUND((SUMIFS('1_바디시그널'!$AR$5:$AR$13,'1_바디시그널'!$AD$5:$AD$13,"SOC_E",'1_바디시그널'!$AY$5:$AY$13,"ONE",'1_바디시그널'!$AR$5:$AR$13,"&gt;=1")+SUMIFS('2_개행동'!$AR$5:$AR$28,'2_개행동'!$AD$5:$AD$28,"SOC_E",'2_개행동'!$AY$5:$AY$28,"ONE",'2_개행동'!$AR$5:$AR$28,"&gt;=1")+SUMIFS('3_보호자행동'!$AR$5:$AR$15,'3_보호자행동'!$AD$5:$AD$15,"SOC_E",'3_보호자행동'!$AY$5:$AY$15,"ONE",'3_보호자행동'!$AR$5:$AR$15,"&gt;=1"))/(COUNTIFS('1_바디시그널'!$AD$5:$AD$13,"SOC_E",'1_바디시그널'!$AY$5:$AY$13,"ONE",'1_바디시그널'!$AR$5:$AR$13,"&gt;=1")+COUNTIFS('2_개행동'!$AD$5:$AD$28,"SOC_E",'2_개행동'!$AY$5:$AY$28,"ONE",'2_개행동'!$AR$5:$AR$28,"&gt;=1")+COUNTIFS('3_보호자행동'!$AD$5:$AD$15,"SOC_E",'3_보호자행동'!$AY$5:$AY$15,"ONE",'3_보호자행동'!$AR$5:$AR$15,"&gt;=1")),2))</f>
        <v/>
      </c>
      <c r="J19" s="39">
        <f>IF(OR('2_개행동'!$W$13="",'2_개행동'!$W$14=""),"",IF('2_개행동'!$W$13&gt;=3,IF(ABS('2_개행동'!$W$14-3)&lt;=1,"편안·우호","우호·들뜸"),IF(ABS('2_개행동'!$W$14-3)&lt;=1,"담담·거리둠","경계·긴장")))</f>
        <v/>
      </c>
      <c r="K19" s="39">
        <f>IF((COUNTIFS('1_바디시그널'!$AD$5:$AD$13,"SOC_H",'1_바디시그널'!$AR$5:$AR$13,"&gt;=1")+COUNTIFS('2_개행동'!$AD$5:$AD$28,"SOC_H",'2_개행동'!$AR$5:$AR$28,"&gt;=1")+COUNTIFS('3_보호자행동'!$AD$5:$AD$15,"SOC_H",'3_보호자행동'!$AR$5:$AR$15,"&gt;=1"))=0,"",MAX(MAX(SUMPRODUCT(MAX(('1_바디시그널'!$AD$5:$AD$13="SOC_H")*('1_바디시그널'!$AR$5:$AR$13-3))),SUMPRODUCT(MAX(('2_개행동'!$AD$5:$AD$28="SOC_H")*('2_개행동'!$AR$5:$AR$28-3))),SUMPRODUCT(MAX(('3_보호자행동'!$AD$5:$AD$15="SOC_H")*('3_보호자행동'!$AR$5:$AR$15-3)))),MAX(SUMPRODUCT(MAX(('1_바디시그널'!$AD$5:$AD$13="SOC_H")*('1_바디시그널'!$AR$5:$AR$13&gt;=1)*(3-'1_바디시그널'!$AR$5:$AR$13))),SUMPRODUCT(MAX(('2_개행동'!$AD$5:$AD$28="SOC_H")*('2_개행동'!$AR$5:$AR$28&gt;=1)*(3-'2_개행동'!$AR$5:$AR$28))),SUMPRODUCT(MAX(('3_보호자행동'!$AD$5:$AD$15="SOC_H")*('3_보호자행동'!$AR$5:$AR$15&gt;=1)*(3-'3_보호자행동'!$AR$5:$AR$15))))))</f>
        <v/>
      </c>
      <c r="L19" s="39">
        <f>IF((COUNTIFS('1_바디시그널'!$AD$5:$AD$13,"SOC_H",'1_바디시그널'!$AY$5:$AY$13,"ONE",'1_바디시그널'!$AR$5:$AR$13,"&gt;=1")+COUNTIFS('2_개행동'!$AD$5:$AD$28,"SOC_H",'2_개행동'!$AY$5:$AY$28,"ONE",'2_개행동'!$AR$5:$AR$28,"&gt;=1")+COUNTIFS('3_보호자행동'!$AD$5:$AD$15,"SOC_H",'3_보호자행동'!$AY$5:$AY$15,"ONE",'3_보호자행동'!$AR$5:$AR$15,"&gt;=1"))=0,"",ROUND((SUMIFS('1_바디시그널'!$AR$5:$AR$13,'1_바디시그널'!$AD$5:$AD$13,"SOC_H",'1_바디시그널'!$AY$5:$AY$13,"ONE",'1_바디시그널'!$AR$5:$AR$13,"&gt;=1")+SUMIFS('2_개행동'!$AR$5:$AR$28,'2_개행동'!$AD$5:$AD$28,"SOC_H",'2_개행동'!$AY$5:$AY$28,"ONE",'2_개행동'!$AR$5:$AR$28,"&gt;=1")+SUMIFS('3_보호자행동'!$AR$5:$AR$15,'3_보호자행동'!$AD$5:$AD$15,"SOC_H",'3_보호자행동'!$AY$5:$AY$15,"ONE",'3_보호자행동'!$AR$5:$AR$15,"&gt;=1"))/(COUNTIFS('1_바디시그널'!$AD$5:$AD$13,"SOC_H",'1_바디시그널'!$AY$5:$AY$13,"ONE",'1_바디시그널'!$AR$5:$AR$13,"&gt;=1")+COUNTIFS('2_개행동'!$AD$5:$AD$28,"SOC_H",'2_개행동'!$AY$5:$AY$28,"ONE",'2_개행동'!$AR$5:$AR$28,"&gt;=1")+COUNTIFS('3_보호자행동'!$AD$5:$AD$15,"SOC_H",'3_보호자행동'!$AY$5:$AY$15,"ONE",'3_보호자행동'!$AR$5:$AR$15,"&gt;=1")),2))</f>
        <v/>
      </c>
      <c r="M19" s="39">
        <f>IF(OR('2_개행동'!$W$21="",'2_개행동'!$W$9="",'2_개행동'!$W$16="",'2_개행동'!$W$17=""),"",IF(N('2_개행동'!$W$20)&gt;=1,"일관되지 않음",IF(AVERAGE('2_개행동'!$W$21,'2_개행동'!$W$9,'2_개행동'!$W$16,'2_개행동'!$W$18)&lt;=3.5,IF(ABS('2_개행동'!$W$17-3)&lt;=1,"안정","불안"),IF(ABS('2_개행동'!$W$17-3)&lt;=1,"거리 둠","일관되지 않음"))))</f>
        <v/>
      </c>
      <c r="N19" s="39">
        <f>IF((COUNTIFS('1_바디시그널'!$AD$5:$AD$13,"ATT",'1_바디시그널'!$AR$5:$AR$13,"&gt;=1")+COUNTIFS('2_개행동'!$AD$5:$AD$28,"ATT",'2_개행동'!$AR$5:$AR$28,"&gt;=1")+COUNTIFS('3_보호자행동'!$AD$5:$AD$15,"ATT",'3_보호자행동'!$AR$5:$AR$15,"&gt;=1"))=0,"",MAX(MAX(SUMPRODUCT(MAX(('1_바디시그널'!$AD$5:$AD$13="ATT")*('1_바디시그널'!$AR$5:$AR$13-3))),SUMPRODUCT(MAX(('2_개행동'!$AD$5:$AD$28="ATT")*('2_개행동'!$AR$5:$AR$28-3))),SUMPRODUCT(MAX(('3_보호자행동'!$AD$5:$AD$15="ATT")*('3_보호자행동'!$AR$5:$AR$15-3)))),MAX(SUMPRODUCT(MAX(('1_바디시그널'!$AD$5:$AD$13="ATT")*('1_바디시그널'!$AR$5:$AR$13&gt;=1)*(3-'1_바디시그널'!$AR$5:$AR$13))),SUMPRODUCT(MAX(('2_개행동'!$AD$5:$AD$28="ATT")*('2_개행동'!$AR$5:$AR$28&gt;=1)*(3-'2_개행동'!$AR$5:$AR$28))),SUMPRODUCT(MAX(('3_보호자행동'!$AD$5:$AD$15="ATT")*('3_보호자행동'!$AR$5:$AR$15&gt;=1)*(3-'3_보호자행동'!$AR$5:$AR$15))))))</f>
        <v/>
      </c>
      <c r="O19" s="39">
        <f>IF((COUNTIFS('1_바디시그널'!$AD$5:$AD$13,"ATT",'1_바디시그널'!$AY$5:$AY$13,"ONE",'1_바디시그널'!$AR$5:$AR$13,"&gt;=1")+COUNTIFS('2_개행동'!$AD$5:$AD$28,"ATT",'2_개행동'!$AY$5:$AY$28,"ONE",'2_개행동'!$AR$5:$AR$28,"&gt;=1")+COUNTIFS('3_보호자행동'!$AD$5:$AD$15,"ATT",'3_보호자행동'!$AY$5:$AY$15,"ONE",'3_보호자행동'!$AR$5:$AR$15,"&gt;=1"))=0,"",ROUND((SUMIFS('1_바디시그널'!$AR$5:$AR$13,'1_바디시그널'!$AD$5:$AD$13,"ATT",'1_바디시그널'!$AY$5:$AY$13,"ONE",'1_바디시그널'!$AR$5:$AR$13,"&gt;=1")+SUMIFS('2_개행동'!$AR$5:$AR$28,'2_개행동'!$AD$5:$AD$28,"ATT",'2_개행동'!$AY$5:$AY$28,"ONE",'2_개행동'!$AR$5:$AR$28,"&gt;=1")+SUMIFS('3_보호자행동'!$AR$5:$AR$15,'3_보호자행동'!$AD$5:$AD$15,"ATT",'3_보호자행동'!$AY$5:$AY$15,"ONE",'3_보호자행동'!$AR$5:$AR$15,"&gt;=1"))/(COUNTIFS('1_바디시그널'!$AD$5:$AD$13,"ATT",'1_바디시그널'!$AY$5:$AY$13,"ONE",'1_바디시그널'!$AR$5:$AR$13,"&gt;=1")+COUNTIFS('2_개행동'!$AD$5:$AD$28,"ATT",'2_개행동'!$AY$5:$AY$28,"ONE",'2_개행동'!$AR$5:$AR$28,"&gt;=1")+COUNTIFS('3_보호자행동'!$AD$5:$AD$15,"ATT",'3_보호자행동'!$AY$5:$AY$15,"ONE",'3_보호자행동'!$AR$5:$AR$15,"&gt;=1")),2))</f>
        <v/>
      </c>
      <c r="P19" s="48">
        <f>IF((COUNTIFS('1_바디시그널'!$AD$5:$AD$13,"SYN",'1_바디시그널'!$AY$5:$AY$13,"BI",'1_바디시그널'!$AR$5:$AR$13,"&gt;=1")+COUNTIFS('2_개행동'!$AD$5:$AD$28,"SYN",'2_개행동'!$AY$5:$AY$28,"BI",'2_개행동'!$AR$5:$AR$28,"&gt;=1")+COUNTIFS('3_보호자행동'!$AD$5:$AD$15,"SYN",'3_보호자행동'!$AY$5:$AY$15,"BI",'3_보호자행동'!$AR$5:$AR$15,"&gt;=1"))=0,"",ROUND((SUMIFS('1_바디시그널'!$AR$5:$AR$13,'1_바디시그널'!$AD$5:$AD$13,"SYN",'1_바디시그널'!$AY$5:$AY$13,"BI",'1_바디시그널'!$AR$5:$AR$13,"&gt;=1")+SUMIFS('2_개행동'!$AR$5:$AR$28,'2_개행동'!$AD$5:$AD$28,"SYN",'2_개행동'!$AY$5:$AY$28,"BI",'2_개행동'!$AR$5:$AR$28,"&gt;=1")+SUMIFS('3_보호자행동'!$AR$5:$AR$15,'3_보호자행동'!$AD$5:$AD$15,"SYN",'3_보호자행동'!$AY$5:$AY$15,"BI",'3_보호자행동'!$AR$5:$AR$15,"&gt;=1"))/(COUNTIFS('1_바디시그널'!$AD$5:$AD$13,"SYN",'1_바디시그널'!$AY$5:$AY$13,"BI",'1_바디시그널'!$AR$5:$AR$13,"&gt;=1")+COUNTIFS('2_개행동'!$AD$5:$AD$28,"SYN",'2_개행동'!$AY$5:$AY$28,"BI",'2_개행동'!$AR$5:$AR$28,"&gt;=1")+COUNTIFS('3_보호자행동'!$AD$5:$AD$15,"SYN",'3_보호자행동'!$AY$5:$AY$15,"BI",'3_보호자행동'!$AR$5:$AR$15,"&gt;=1"))-3,2))</f>
        <v/>
      </c>
      <c r="Q19" s="39">
        <f>IF((COUNTIFS('1_바디시그널'!$AD$5:$AD$13,"SYN",'1_바디시그널'!$AR$5:$AR$13,"&gt;=1")+COUNTIFS('2_개행동'!$AD$5:$AD$28,"SYN",'2_개행동'!$AR$5:$AR$28,"&gt;=1")+COUNTIFS('3_보호자행동'!$AD$5:$AD$15,"SYN",'3_보호자행동'!$AR$5:$AR$15,"&gt;=1"))=0,"",MAX(MAX(SUMPRODUCT(MAX(('1_바디시그널'!$AD$5:$AD$13="SYN")*('1_바디시그널'!$AR$5:$AR$13-3))),SUMPRODUCT(MAX(('2_개행동'!$AD$5:$AD$28="SYN")*('2_개행동'!$AR$5:$AR$28-3))),SUMPRODUCT(MAX(('3_보호자행동'!$AD$5:$AD$15="SYN")*('3_보호자행동'!$AR$5:$AR$15-3)))),MAX(SUMPRODUCT(MAX(('1_바디시그널'!$AD$5:$AD$13="SYN")*('1_바디시그널'!$AR$5:$AR$13&gt;=1)*(3-'1_바디시그널'!$AR$5:$AR$13))),SUMPRODUCT(MAX(('2_개행동'!$AD$5:$AD$28="SYN")*('2_개행동'!$AR$5:$AR$28&gt;=1)*(3-'2_개행동'!$AR$5:$AR$28))),SUMPRODUCT(MAX(('3_보호자행동'!$AD$5:$AD$15="SYN")*('3_보호자행동'!$AR$5:$AR$15&gt;=1)*(3-'3_보호자행동'!$AR$5:$AR$15))))))</f>
        <v/>
      </c>
      <c r="R19" s="39">
        <f>IF((COUNTIFS('1_바디시그널'!$AD$5:$AD$13,"SYN",'1_바디시그널'!$AY$5:$AY$13,"ONE",'1_바디시그널'!$AR$5:$AR$13,"&gt;=1")+COUNTIFS('2_개행동'!$AD$5:$AD$28,"SYN",'2_개행동'!$AY$5:$AY$28,"ONE",'2_개행동'!$AR$5:$AR$28,"&gt;=1")+COUNTIFS('3_보호자행동'!$AD$5:$AD$15,"SYN",'3_보호자행동'!$AY$5:$AY$15,"ONE",'3_보호자행동'!$AR$5:$AR$15,"&gt;=1"))=0,"",ROUND((SUMIFS('1_바디시그널'!$AR$5:$AR$13,'1_바디시그널'!$AD$5:$AD$13,"SYN",'1_바디시그널'!$AY$5:$AY$13,"ONE",'1_바디시그널'!$AR$5:$AR$13,"&gt;=1")+SUMIFS('2_개행동'!$AR$5:$AR$28,'2_개행동'!$AD$5:$AD$28,"SYN",'2_개행동'!$AY$5:$AY$28,"ONE",'2_개행동'!$AR$5:$AR$28,"&gt;=1")+SUMIFS('3_보호자행동'!$AR$5:$AR$15,'3_보호자행동'!$AD$5:$AD$15,"SYN",'3_보호자행동'!$AY$5:$AY$15,"ONE",'3_보호자행동'!$AR$5:$AR$15,"&gt;=1"))/(COUNTIFS('1_바디시그널'!$AD$5:$AD$13,"SYN",'1_바디시그널'!$AY$5:$AY$13,"ONE",'1_바디시그널'!$AR$5:$AR$13,"&gt;=1")+COUNTIFS('2_개행동'!$AD$5:$AD$28,"SYN",'2_개행동'!$AY$5:$AY$28,"ONE",'2_개행동'!$AR$5:$AR$28,"&gt;=1")+COUNTIFS('3_보호자행동'!$AD$5:$AD$15,"SYN",'3_보호자행동'!$AY$5:$AY$15,"ONE",'3_보호자행동'!$AR$5:$AR$15,"&gt;=1")),2))</f>
        <v/>
      </c>
      <c r="S19" s="48">
        <f>IF((COUNTIFS('1_바디시그널'!$AD$5:$AD$13,"EXIT",'1_바디시그널'!$AY$5:$AY$13,"BI",'1_바디시그널'!$AR$5:$AR$13,"&gt;=1")+COUNTIFS('2_개행동'!$AD$5:$AD$28,"EXIT",'2_개행동'!$AY$5:$AY$28,"BI",'2_개행동'!$AR$5:$AR$28,"&gt;=1")+COUNTIFS('3_보호자행동'!$AD$5:$AD$15,"EXIT",'3_보호자행동'!$AY$5:$AY$15,"BI",'3_보호자행동'!$AR$5:$AR$15,"&gt;=1"))=0,"",ROUND((SUMIFS('1_바디시그널'!$AR$5:$AR$13,'1_바디시그널'!$AD$5:$AD$13,"EXIT",'1_바디시그널'!$AY$5:$AY$13,"BI",'1_바디시그널'!$AR$5:$AR$13,"&gt;=1")+SUMIFS('2_개행동'!$AR$5:$AR$28,'2_개행동'!$AD$5:$AD$28,"EXIT",'2_개행동'!$AY$5:$AY$28,"BI",'2_개행동'!$AR$5:$AR$28,"&gt;=1")+SUMIFS('3_보호자행동'!$AR$5:$AR$15,'3_보호자행동'!$AD$5:$AD$15,"EXIT",'3_보호자행동'!$AY$5:$AY$15,"BI",'3_보호자행동'!$AR$5:$AR$15,"&gt;=1"))/(COUNTIFS('1_바디시그널'!$AD$5:$AD$13,"EXIT",'1_바디시그널'!$AY$5:$AY$13,"BI",'1_바디시그널'!$AR$5:$AR$13,"&gt;=1")+COUNTIFS('2_개행동'!$AD$5:$AD$28,"EXIT",'2_개행동'!$AY$5:$AY$28,"BI",'2_개행동'!$AR$5:$AR$28,"&gt;=1")+COUNTIFS('3_보호자행동'!$AD$5:$AD$15,"EXIT",'3_보호자행동'!$AY$5:$AY$15,"BI",'3_보호자행동'!$AR$5:$AR$15,"&gt;=1"))-3,2))</f>
        <v/>
      </c>
      <c r="T19" s="39">
        <f>IF((COUNTIFS('1_바디시그널'!$AD$5:$AD$13,"EXIT",'1_바디시그널'!$AR$5:$AR$13,"&gt;=1")+COUNTIFS('2_개행동'!$AD$5:$AD$28,"EXIT",'2_개행동'!$AR$5:$AR$28,"&gt;=1")+COUNTIFS('3_보호자행동'!$AD$5:$AD$15,"EXIT",'3_보호자행동'!$AR$5:$AR$15,"&gt;=1"))=0,"",MAX(MAX(SUMPRODUCT(MAX(('1_바디시그널'!$AD$5:$AD$13="EXIT")*('1_바디시그널'!$AR$5:$AR$13-3))),SUMPRODUCT(MAX(('2_개행동'!$AD$5:$AD$28="EXIT")*('2_개행동'!$AR$5:$AR$28-3))),SUMPRODUCT(MAX(('3_보호자행동'!$AD$5:$AD$15="EXIT")*('3_보호자행동'!$AR$5:$AR$15-3)))),MAX(SUMPRODUCT(MAX(('1_바디시그널'!$AD$5:$AD$13="EXIT")*('1_바디시그널'!$AR$5:$AR$13&gt;=1)*(3-'1_바디시그널'!$AR$5:$AR$13))),SUMPRODUCT(MAX(('2_개행동'!$AD$5:$AD$28="EXIT")*('2_개행동'!$AR$5:$AR$28&gt;=1)*(3-'2_개행동'!$AR$5:$AR$28))),SUMPRODUCT(MAX(('3_보호자행동'!$AD$5:$AD$15="EXIT")*('3_보호자행동'!$AR$5:$AR$15&gt;=1)*(3-'3_보호자행동'!$AR$5:$AR$15))))))</f>
        <v/>
      </c>
      <c r="U19" s="39">
        <f>IF((COUNTIFS('1_바디시그널'!$AD$5:$AD$13,"EXIT",'1_바디시그널'!$AY$5:$AY$13,"ONE",'1_바디시그널'!$AR$5:$AR$13,"&gt;=1")+COUNTIFS('2_개행동'!$AD$5:$AD$28,"EXIT",'2_개행동'!$AY$5:$AY$28,"ONE",'2_개행동'!$AR$5:$AR$28,"&gt;=1")+COUNTIFS('3_보호자행동'!$AD$5:$AD$15,"EXIT",'3_보호자행동'!$AY$5:$AY$15,"ONE",'3_보호자행동'!$AR$5:$AR$15,"&gt;=1"))=0,"",ROUND((SUMIFS('1_바디시그널'!$AR$5:$AR$13,'1_바디시그널'!$AD$5:$AD$13,"EXIT",'1_바디시그널'!$AY$5:$AY$13,"ONE",'1_바디시그널'!$AR$5:$AR$13,"&gt;=1")+SUMIFS('2_개행동'!$AR$5:$AR$28,'2_개행동'!$AD$5:$AD$28,"EXIT",'2_개행동'!$AY$5:$AY$28,"ONE",'2_개행동'!$AR$5:$AR$28,"&gt;=1")+SUMIFS('3_보호자행동'!$AR$5:$AR$15,'3_보호자행동'!$AD$5:$AD$15,"EXIT",'3_보호자행동'!$AY$5:$AY$15,"ONE",'3_보호자행동'!$AR$5:$AR$15,"&gt;=1"))/(COUNTIFS('1_바디시그널'!$AD$5:$AD$13,"EXIT",'1_바디시그널'!$AY$5:$AY$13,"ONE",'1_바디시그널'!$AR$5:$AR$13,"&gt;=1")+COUNTIFS('2_개행동'!$AD$5:$AD$28,"EXIT",'2_개행동'!$AY$5:$AY$28,"ONE",'2_개행동'!$AR$5:$AR$28,"&gt;=1")+COUNTIFS('3_보호자행동'!$AD$5:$AD$15,"EXIT",'3_보호자행동'!$AY$5:$AY$15,"ONE",'3_보호자행동'!$AR$5:$AR$15,"&gt;=1")),2))</f>
        <v/>
      </c>
      <c r="V19" s="49">
        <f>IF(OR('2_개행동'!$W$8="",'2_개행동'!$W$22=""),"",ABS('2_개행동'!$W$8-3)-ABS('2_개행동'!$W$22-3))</f>
        <v/>
      </c>
      <c r="W19" s="49">
        <f>IF(OR('2_개행동'!$W$10="",'2_개행동'!$W$17=""),"",ABS('2_개행동'!$W$10-3)-ABS('2_개행동'!$W$17-3))</f>
        <v/>
      </c>
      <c r="X19" s="49">
        <f>IF(OR('2_개행동'!$W$10="",'2_개행동'!$W$14=""),"",ABS('2_개행동'!$W$10-3)-ABS('2_개행동'!$W$14-3))</f>
        <v/>
      </c>
      <c r="Y19" s="39">
        <f>IF('2_개행동'!$W$8="","",'2_개행동'!$W$8)</f>
        <v/>
      </c>
      <c r="Z19" s="40">
        <f>IF('2_개행동'!$W$25="","",IF('3_보호자행동'!$W$13=3,"무효",'2_개행동'!$W$25/6))</f>
        <v/>
      </c>
      <c r="AA19" s="35" t="n"/>
    </row>
    <row r="20">
      <c r="A20" s="39" t="n">
        <v>15</v>
      </c>
      <c r="B20" s="39" t="n"/>
      <c r="C20" s="39" t="n"/>
      <c r="D20" s="48">
        <f>IF((COUNTIFS('1_바디시그널'!$AD$5:$AD$13,"EDU",'1_바디시그널'!$AY$5:$AY$13,"BI",'1_바디시그널'!$AS$5:$AS$13,"&gt;=1")+COUNTIFS('2_개행동'!$AD$5:$AD$28,"EDU",'2_개행동'!$AY$5:$AY$28,"BI",'2_개행동'!$AS$5:$AS$28,"&gt;=1")+COUNTIFS('3_보호자행동'!$AD$5:$AD$15,"EDU",'3_보호자행동'!$AY$5:$AY$15,"BI",'3_보호자행동'!$AS$5:$AS$15,"&gt;=1"))=0,"",ROUND((SUMIFS('1_바디시그널'!$AS$5:$AS$13,'1_바디시그널'!$AD$5:$AD$13,"EDU",'1_바디시그널'!$AY$5:$AY$13,"BI",'1_바디시그널'!$AS$5:$AS$13,"&gt;=1")+SUMIFS('2_개행동'!$AS$5:$AS$28,'2_개행동'!$AD$5:$AD$28,"EDU",'2_개행동'!$AY$5:$AY$28,"BI",'2_개행동'!$AS$5:$AS$28,"&gt;=1")+SUMIFS('3_보호자행동'!$AS$5:$AS$15,'3_보호자행동'!$AD$5:$AD$15,"EDU",'3_보호자행동'!$AY$5:$AY$15,"BI",'3_보호자행동'!$AS$5:$AS$15,"&gt;=1"))/(COUNTIFS('1_바디시그널'!$AD$5:$AD$13,"EDU",'1_바디시그널'!$AY$5:$AY$13,"BI",'1_바디시그널'!$AS$5:$AS$13,"&gt;=1")+COUNTIFS('2_개행동'!$AD$5:$AD$28,"EDU",'2_개행동'!$AY$5:$AY$28,"BI",'2_개행동'!$AS$5:$AS$28,"&gt;=1")+COUNTIFS('3_보호자행동'!$AD$5:$AD$15,"EDU",'3_보호자행동'!$AY$5:$AY$15,"BI",'3_보호자행동'!$AS$5:$AS$15,"&gt;=1"))-3,2))</f>
        <v/>
      </c>
      <c r="E20" s="39">
        <f>IF((COUNTIFS('1_바디시그널'!$AD$5:$AD$13,"EDU",'1_바디시그널'!$AS$5:$AS$13,"&gt;=1")+COUNTIFS('2_개행동'!$AD$5:$AD$28,"EDU",'2_개행동'!$AS$5:$AS$28,"&gt;=1")+COUNTIFS('3_보호자행동'!$AD$5:$AD$15,"EDU",'3_보호자행동'!$AS$5:$AS$15,"&gt;=1"))=0,"",MAX(MAX(SUMPRODUCT(MAX(('1_바디시그널'!$AD$5:$AD$13="EDU")*('1_바디시그널'!$AS$5:$AS$13-3))),SUMPRODUCT(MAX(('2_개행동'!$AD$5:$AD$28="EDU")*('2_개행동'!$AS$5:$AS$28-3))),SUMPRODUCT(MAX(('3_보호자행동'!$AD$5:$AD$15="EDU")*('3_보호자행동'!$AS$5:$AS$15-3)))),MAX(SUMPRODUCT(MAX(('1_바디시그널'!$AD$5:$AD$13="EDU")*('1_바디시그널'!$AS$5:$AS$13&gt;=1)*(3-'1_바디시그널'!$AS$5:$AS$13))),SUMPRODUCT(MAX(('2_개행동'!$AD$5:$AD$28="EDU")*('2_개행동'!$AS$5:$AS$28&gt;=1)*(3-'2_개행동'!$AS$5:$AS$28))),SUMPRODUCT(MAX(('3_보호자행동'!$AD$5:$AD$15="EDU")*('3_보호자행동'!$AS$5:$AS$15&gt;=1)*(3-'3_보호자행동'!$AS$5:$AS$15))))))</f>
        <v/>
      </c>
      <c r="F20" s="39">
        <f>IF((COUNTIFS('1_바디시그널'!$AD$5:$AD$13,"EDU",'1_바디시그널'!$AY$5:$AY$13,"ONE",'1_바디시그널'!$AS$5:$AS$13,"&gt;=1")+COUNTIFS('2_개행동'!$AD$5:$AD$28,"EDU",'2_개행동'!$AY$5:$AY$28,"ONE",'2_개행동'!$AS$5:$AS$28,"&gt;=1")+COUNTIFS('3_보호자행동'!$AD$5:$AD$15,"EDU",'3_보호자행동'!$AY$5:$AY$15,"ONE",'3_보호자행동'!$AS$5:$AS$15,"&gt;=1"))=0,"",ROUND((SUMIFS('1_바디시그널'!$AS$5:$AS$13,'1_바디시그널'!$AD$5:$AD$13,"EDU",'1_바디시그널'!$AY$5:$AY$13,"ONE",'1_바디시그널'!$AS$5:$AS$13,"&gt;=1")+SUMIFS('2_개행동'!$AS$5:$AS$28,'2_개행동'!$AD$5:$AD$28,"EDU",'2_개행동'!$AY$5:$AY$28,"ONE",'2_개행동'!$AS$5:$AS$28,"&gt;=1")+SUMIFS('3_보호자행동'!$AS$5:$AS$15,'3_보호자행동'!$AD$5:$AD$15,"EDU",'3_보호자행동'!$AY$5:$AY$15,"ONE",'3_보호자행동'!$AS$5:$AS$15,"&gt;=1"))/(COUNTIFS('1_바디시그널'!$AD$5:$AD$13,"EDU",'1_바디시그널'!$AY$5:$AY$13,"ONE",'1_바디시그널'!$AS$5:$AS$13,"&gt;=1")+COUNTIFS('2_개행동'!$AD$5:$AD$28,"EDU",'2_개행동'!$AY$5:$AY$28,"ONE",'2_개행동'!$AS$5:$AS$28,"&gt;=1")+COUNTIFS('3_보호자행동'!$AD$5:$AD$15,"EDU",'3_보호자행동'!$AY$5:$AY$15,"ONE",'3_보호자행동'!$AS$5:$AS$15,"&gt;=1")),2))</f>
        <v/>
      </c>
      <c r="G20" s="48">
        <f>IF((COUNTIFS('1_바디시그널'!$AD$5:$AD$13,"SOC_E",'1_바디시그널'!$AY$5:$AY$13,"BI",'1_바디시그널'!$AS$5:$AS$13,"&gt;=1")+COUNTIFS('2_개행동'!$AD$5:$AD$28,"SOC_E",'2_개행동'!$AY$5:$AY$28,"BI",'2_개행동'!$AS$5:$AS$28,"&gt;=1")+COUNTIFS('3_보호자행동'!$AD$5:$AD$15,"SOC_E",'3_보호자행동'!$AY$5:$AY$15,"BI",'3_보호자행동'!$AS$5:$AS$15,"&gt;=1"))=0,"",ROUND((SUMIFS('1_바디시그널'!$AS$5:$AS$13,'1_바디시그널'!$AD$5:$AD$13,"SOC_E",'1_바디시그널'!$AY$5:$AY$13,"BI",'1_바디시그널'!$AS$5:$AS$13,"&gt;=1")+SUMIFS('2_개행동'!$AS$5:$AS$28,'2_개행동'!$AD$5:$AD$28,"SOC_E",'2_개행동'!$AY$5:$AY$28,"BI",'2_개행동'!$AS$5:$AS$28,"&gt;=1")+SUMIFS('3_보호자행동'!$AS$5:$AS$15,'3_보호자행동'!$AD$5:$AD$15,"SOC_E",'3_보호자행동'!$AY$5:$AY$15,"BI",'3_보호자행동'!$AS$5:$AS$15,"&gt;=1"))/(COUNTIFS('1_바디시그널'!$AD$5:$AD$13,"SOC_E",'1_바디시그널'!$AY$5:$AY$13,"BI",'1_바디시그널'!$AS$5:$AS$13,"&gt;=1")+COUNTIFS('2_개행동'!$AD$5:$AD$28,"SOC_E",'2_개행동'!$AY$5:$AY$28,"BI",'2_개행동'!$AS$5:$AS$28,"&gt;=1")+COUNTIFS('3_보호자행동'!$AD$5:$AD$15,"SOC_E",'3_보호자행동'!$AY$5:$AY$15,"BI",'3_보호자행동'!$AS$5:$AS$15,"&gt;=1"))-3,2))</f>
        <v/>
      </c>
      <c r="H20" s="39">
        <f>IF((COUNTIFS('1_바디시그널'!$AD$5:$AD$13,"SOC_E",'1_바디시그널'!$AS$5:$AS$13,"&gt;=1")+COUNTIFS('2_개행동'!$AD$5:$AD$28,"SOC_E",'2_개행동'!$AS$5:$AS$28,"&gt;=1")+COUNTIFS('3_보호자행동'!$AD$5:$AD$15,"SOC_E",'3_보호자행동'!$AS$5:$AS$15,"&gt;=1"))=0,"",MAX(MAX(SUMPRODUCT(MAX(('1_바디시그널'!$AD$5:$AD$13="SOC_E")*('1_바디시그널'!$AS$5:$AS$13-3))),SUMPRODUCT(MAX(('2_개행동'!$AD$5:$AD$28="SOC_E")*('2_개행동'!$AS$5:$AS$28-3))),SUMPRODUCT(MAX(('3_보호자행동'!$AD$5:$AD$15="SOC_E")*('3_보호자행동'!$AS$5:$AS$15-3)))),MAX(SUMPRODUCT(MAX(('1_바디시그널'!$AD$5:$AD$13="SOC_E")*('1_바디시그널'!$AS$5:$AS$13&gt;=1)*(3-'1_바디시그널'!$AS$5:$AS$13))),SUMPRODUCT(MAX(('2_개행동'!$AD$5:$AD$28="SOC_E")*('2_개행동'!$AS$5:$AS$28&gt;=1)*(3-'2_개행동'!$AS$5:$AS$28))),SUMPRODUCT(MAX(('3_보호자행동'!$AD$5:$AD$15="SOC_E")*('3_보호자행동'!$AS$5:$AS$15&gt;=1)*(3-'3_보호자행동'!$AS$5:$AS$15))))))</f>
        <v/>
      </c>
      <c r="I20" s="39">
        <f>IF((COUNTIFS('1_바디시그널'!$AD$5:$AD$13,"SOC_E",'1_바디시그널'!$AY$5:$AY$13,"ONE",'1_바디시그널'!$AS$5:$AS$13,"&gt;=1")+COUNTIFS('2_개행동'!$AD$5:$AD$28,"SOC_E",'2_개행동'!$AY$5:$AY$28,"ONE",'2_개행동'!$AS$5:$AS$28,"&gt;=1")+COUNTIFS('3_보호자행동'!$AD$5:$AD$15,"SOC_E",'3_보호자행동'!$AY$5:$AY$15,"ONE",'3_보호자행동'!$AS$5:$AS$15,"&gt;=1"))=0,"",ROUND((SUMIFS('1_바디시그널'!$AS$5:$AS$13,'1_바디시그널'!$AD$5:$AD$13,"SOC_E",'1_바디시그널'!$AY$5:$AY$13,"ONE",'1_바디시그널'!$AS$5:$AS$13,"&gt;=1")+SUMIFS('2_개행동'!$AS$5:$AS$28,'2_개행동'!$AD$5:$AD$28,"SOC_E",'2_개행동'!$AY$5:$AY$28,"ONE",'2_개행동'!$AS$5:$AS$28,"&gt;=1")+SUMIFS('3_보호자행동'!$AS$5:$AS$15,'3_보호자행동'!$AD$5:$AD$15,"SOC_E",'3_보호자행동'!$AY$5:$AY$15,"ONE",'3_보호자행동'!$AS$5:$AS$15,"&gt;=1"))/(COUNTIFS('1_바디시그널'!$AD$5:$AD$13,"SOC_E",'1_바디시그널'!$AY$5:$AY$13,"ONE",'1_바디시그널'!$AS$5:$AS$13,"&gt;=1")+COUNTIFS('2_개행동'!$AD$5:$AD$28,"SOC_E",'2_개행동'!$AY$5:$AY$28,"ONE",'2_개행동'!$AS$5:$AS$28,"&gt;=1")+COUNTIFS('3_보호자행동'!$AD$5:$AD$15,"SOC_E",'3_보호자행동'!$AY$5:$AY$15,"ONE",'3_보호자행동'!$AS$5:$AS$15,"&gt;=1")),2))</f>
        <v/>
      </c>
      <c r="J20" s="39">
        <f>IF(OR('2_개행동'!$X$13="",'2_개행동'!$X$14=""),"",IF('2_개행동'!$X$13&gt;=3,IF(ABS('2_개행동'!$X$14-3)&lt;=1,"편안·우호","우호·들뜸"),IF(ABS('2_개행동'!$X$14-3)&lt;=1,"담담·거리둠","경계·긴장")))</f>
        <v/>
      </c>
      <c r="K20" s="39">
        <f>IF((COUNTIFS('1_바디시그널'!$AD$5:$AD$13,"SOC_H",'1_바디시그널'!$AS$5:$AS$13,"&gt;=1")+COUNTIFS('2_개행동'!$AD$5:$AD$28,"SOC_H",'2_개행동'!$AS$5:$AS$28,"&gt;=1")+COUNTIFS('3_보호자행동'!$AD$5:$AD$15,"SOC_H",'3_보호자행동'!$AS$5:$AS$15,"&gt;=1"))=0,"",MAX(MAX(SUMPRODUCT(MAX(('1_바디시그널'!$AD$5:$AD$13="SOC_H")*('1_바디시그널'!$AS$5:$AS$13-3))),SUMPRODUCT(MAX(('2_개행동'!$AD$5:$AD$28="SOC_H")*('2_개행동'!$AS$5:$AS$28-3))),SUMPRODUCT(MAX(('3_보호자행동'!$AD$5:$AD$15="SOC_H")*('3_보호자행동'!$AS$5:$AS$15-3)))),MAX(SUMPRODUCT(MAX(('1_바디시그널'!$AD$5:$AD$13="SOC_H")*('1_바디시그널'!$AS$5:$AS$13&gt;=1)*(3-'1_바디시그널'!$AS$5:$AS$13))),SUMPRODUCT(MAX(('2_개행동'!$AD$5:$AD$28="SOC_H")*('2_개행동'!$AS$5:$AS$28&gt;=1)*(3-'2_개행동'!$AS$5:$AS$28))),SUMPRODUCT(MAX(('3_보호자행동'!$AD$5:$AD$15="SOC_H")*('3_보호자행동'!$AS$5:$AS$15&gt;=1)*(3-'3_보호자행동'!$AS$5:$AS$15))))))</f>
        <v/>
      </c>
      <c r="L20" s="39">
        <f>IF((COUNTIFS('1_바디시그널'!$AD$5:$AD$13,"SOC_H",'1_바디시그널'!$AY$5:$AY$13,"ONE",'1_바디시그널'!$AS$5:$AS$13,"&gt;=1")+COUNTIFS('2_개행동'!$AD$5:$AD$28,"SOC_H",'2_개행동'!$AY$5:$AY$28,"ONE",'2_개행동'!$AS$5:$AS$28,"&gt;=1")+COUNTIFS('3_보호자행동'!$AD$5:$AD$15,"SOC_H",'3_보호자행동'!$AY$5:$AY$15,"ONE",'3_보호자행동'!$AS$5:$AS$15,"&gt;=1"))=0,"",ROUND((SUMIFS('1_바디시그널'!$AS$5:$AS$13,'1_바디시그널'!$AD$5:$AD$13,"SOC_H",'1_바디시그널'!$AY$5:$AY$13,"ONE",'1_바디시그널'!$AS$5:$AS$13,"&gt;=1")+SUMIFS('2_개행동'!$AS$5:$AS$28,'2_개행동'!$AD$5:$AD$28,"SOC_H",'2_개행동'!$AY$5:$AY$28,"ONE",'2_개행동'!$AS$5:$AS$28,"&gt;=1")+SUMIFS('3_보호자행동'!$AS$5:$AS$15,'3_보호자행동'!$AD$5:$AD$15,"SOC_H",'3_보호자행동'!$AY$5:$AY$15,"ONE",'3_보호자행동'!$AS$5:$AS$15,"&gt;=1"))/(COUNTIFS('1_바디시그널'!$AD$5:$AD$13,"SOC_H",'1_바디시그널'!$AY$5:$AY$13,"ONE",'1_바디시그널'!$AS$5:$AS$13,"&gt;=1")+COUNTIFS('2_개행동'!$AD$5:$AD$28,"SOC_H",'2_개행동'!$AY$5:$AY$28,"ONE",'2_개행동'!$AS$5:$AS$28,"&gt;=1")+COUNTIFS('3_보호자행동'!$AD$5:$AD$15,"SOC_H",'3_보호자행동'!$AY$5:$AY$15,"ONE",'3_보호자행동'!$AS$5:$AS$15,"&gt;=1")),2))</f>
        <v/>
      </c>
      <c r="M20" s="39">
        <f>IF(OR('2_개행동'!$X$21="",'2_개행동'!$X$9="",'2_개행동'!$X$16="",'2_개행동'!$X$17=""),"",IF(N('2_개행동'!$X$20)&gt;=1,"일관되지 않음",IF(AVERAGE('2_개행동'!$X$21,'2_개행동'!$X$9,'2_개행동'!$X$16,'2_개행동'!$X$18)&lt;=3.5,IF(ABS('2_개행동'!$X$17-3)&lt;=1,"안정","불안"),IF(ABS('2_개행동'!$X$17-3)&lt;=1,"거리 둠","일관되지 않음"))))</f>
        <v/>
      </c>
      <c r="N20" s="39">
        <f>IF((COUNTIFS('1_바디시그널'!$AD$5:$AD$13,"ATT",'1_바디시그널'!$AS$5:$AS$13,"&gt;=1")+COUNTIFS('2_개행동'!$AD$5:$AD$28,"ATT",'2_개행동'!$AS$5:$AS$28,"&gt;=1")+COUNTIFS('3_보호자행동'!$AD$5:$AD$15,"ATT",'3_보호자행동'!$AS$5:$AS$15,"&gt;=1"))=0,"",MAX(MAX(SUMPRODUCT(MAX(('1_바디시그널'!$AD$5:$AD$13="ATT")*('1_바디시그널'!$AS$5:$AS$13-3))),SUMPRODUCT(MAX(('2_개행동'!$AD$5:$AD$28="ATT")*('2_개행동'!$AS$5:$AS$28-3))),SUMPRODUCT(MAX(('3_보호자행동'!$AD$5:$AD$15="ATT")*('3_보호자행동'!$AS$5:$AS$15-3)))),MAX(SUMPRODUCT(MAX(('1_바디시그널'!$AD$5:$AD$13="ATT")*('1_바디시그널'!$AS$5:$AS$13&gt;=1)*(3-'1_바디시그널'!$AS$5:$AS$13))),SUMPRODUCT(MAX(('2_개행동'!$AD$5:$AD$28="ATT")*('2_개행동'!$AS$5:$AS$28&gt;=1)*(3-'2_개행동'!$AS$5:$AS$28))),SUMPRODUCT(MAX(('3_보호자행동'!$AD$5:$AD$15="ATT")*('3_보호자행동'!$AS$5:$AS$15&gt;=1)*(3-'3_보호자행동'!$AS$5:$AS$15))))))</f>
        <v/>
      </c>
      <c r="O20" s="39">
        <f>IF((COUNTIFS('1_바디시그널'!$AD$5:$AD$13,"ATT",'1_바디시그널'!$AY$5:$AY$13,"ONE",'1_바디시그널'!$AS$5:$AS$13,"&gt;=1")+COUNTIFS('2_개행동'!$AD$5:$AD$28,"ATT",'2_개행동'!$AY$5:$AY$28,"ONE",'2_개행동'!$AS$5:$AS$28,"&gt;=1")+COUNTIFS('3_보호자행동'!$AD$5:$AD$15,"ATT",'3_보호자행동'!$AY$5:$AY$15,"ONE",'3_보호자행동'!$AS$5:$AS$15,"&gt;=1"))=0,"",ROUND((SUMIFS('1_바디시그널'!$AS$5:$AS$13,'1_바디시그널'!$AD$5:$AD$13,"ATT",'1_바디시그널'!$AY$5:$AY$13,"ONE",'1_바디시그널'!$AS$5:$AS$13,"&gt;=1")+SUMIFS('2_개행동'!$AS$5:$AS$28,'2_개행동'!$AD$5:$AD$28,"ATT",'2_개행동'!$AY$5:$AY$28,"ONE",'2_개행동'!$AS$5:$AS$28,"&gt;=1")+SUMIFS('3_보호자행동'!$AS$5:$AS$15,'3_보호자행동'!$AD$5:$AD$15,"ATT",'3_보호자행동'!$AY$5:$AY$15,"ONE",'3_보호자행동'!$AS$5:$AS$15,"&gt;=1"))/(COUNTIFS('1_바디시그널'!$AD$5:$AD$13,"ATT",'1_바디시그널'!$AY$5:$AY$13,"ONE",'1_바디시그널'!$AS$5:$AS$13,"&gt;=1")+COUNTIFS('2_개행동'!$AD$5:$AD$28,"ATT",'2_개행동'!$AY$5:$AY$28,"ONE",'2_개행동'!$AS$5:$AS$28,"&gt;=1")+COUNTIFS('3_보호자행동'!$AD$5:$AD$15,"ATT",'3_보호자행동'!$AY$5:$AY$15,"ONE",'3_보호자행동'!$AS$5:$AS$15,"&gt;=1")),2))</f>
        <v/>
      </c>
      <c r="P20" s="48">
        <f>IF((COUNTIFS('1_바디시그널'!$AD$5:$AD$13,"SYN",'1_바디시그널'!$AY$5:$AY$13,"BI",'1_바디시그널'!$AS$5:$AS$13,"&gt;=1")+COUNTIFS('2_개행동'!$AD$5:$AD$28,"SYN",'2_개행동'!$AY$5:$AY$28,"BI",'2_개행동'!$AS$5:$AS$28,"&gt;=1")+COUNTIFS('3_보호자행동'!$AD$5:$AD$15,"SYN",'3_보호자행동'!$AY$5:$AY$15,"BI",'3_보호자행동'!$AS$5:$AS$15,"&gt;=1"))=0,"",ROUND((SUMIFS('1_바디시그널'!$AS$5:$AS$13,'1_바디시그널'!$AD$5:$AD$13,"SYN",'1_바디시그널'!$AY$5:$AY$13,"BI",'1_바디시그널'!$AS$5:$AS$13,"&gt;=1")+SUMIFS('2_개행동'!$AS$5:$AS$28,'2_개행동'!$AD$5:$AD$28,"SYN",'2_개행동'!$AY$5:$AY$28,"BI",'2_개행동'!$AS$5:$AS$28,"&gt;=1")+SUMIFS('3_보호자행동'!$AS$5:$AS$15,'3_보호자행동'!$AD$5:$AD$15,"SYN",'3_보호자행동'!$AY$5:$AY$15,"BI",'3_보호자행동'!$AS$5:$AS$15,"&gt;=1"))/(COUNTIFS('1_바디시그널'!$AD$5:$AD$13,"SYN",'1_바디시그널'!$AY$5:$AY$13,"BI",'1_바디시그널'!$AS$5:$AS$13,"&gt;=1")+COUNTIFS('2_개행동'!$AD$5:$AD$28,"SYN",'2_개행동'!$AY$5:$AY$28,"BI",'2_개행동'!$AS$5:$AS$28,"&gt;=1")+COUNTIFS('3_보호자행동'!$AD$5:$AD$15,"SYN",'3_보호자행동'!$AY$5:$AY$15,"BI",'3_보호자행동'!$AS$5:$AS$15,"&gt;=1"))-3,2))</f>
        <v/>
      </c>
      <c r="Q20" s="39">
        <f>IF((COUNTIFS('1_바디시그널'!$AD$5:$AD$13,"SYN",'1_바디시그널'!$AS$5:$AS$13,"&gt;=1")+COUNTIFS('2_개행동'!$AD$5:$AD$28,"SYN",'2_개행동'!$AS$5:$AS$28,"&gt;=1")+COUNTIFS('3_보호자행동'!$AD$5:$AD$15,"SYN",'3_보호자행동'!$AS$5:$AS$15,"&gt;=1"))=0,"",MAX(MAX(SUMPRODUCT(MAX(('1_바디시그널'!$AD$5:$AD$13="SYN")*('1_바디시그널'!$AS$5:$AS$13-3))),SUMPRODUCT(MAX(('2_개행동'!$AD$5:$AD$28="SYN")*('2_개행동'!$AS$5:$AS$28-3))),SUMPRODUCT(MAX(('3_보호자행동'!$AD$5:$AD$15="SYN")*('3_보호자행동'!$AS$5:$AS$15-3)))),MAX(SUMPRODUCT(MAX(('1_바디시그널'!$AD$5:$AD$13="SYN")*('1_바디시그널'!$AS$5:$AS$13&gt;=1)*(3-'1_바디시그널'!$AS$5:$AS$13))),SUMPRODUCT(MAX(('2_개행동'!$AD$5:$AD$28="SYN")*('2_개행동'!$AS$5:$AS$28&gt;=1)*(3-'2_개행동'!$AS$5:$AS$28))),SUMPRODUCT(MAX(('3_보호자행동'!$AD$5:$AD$15="SYN")*('3_보호자행동'!$AS$5:$AS$15&gt;=1)*(3-'3_보호자행동'!$AS$5:$AS$15))))))</f>
        <v/>
      </c>
      <c r="R20" s="39">
        <f>IF((COUNTIFS('1_바디시그널'!$AD$5:$AD$13,"SYN",'1_바디시그널'!$AY$5:$AY$13,"ONE",'1_바디시그널'!$AS$5:$AS$13,"&gt;=1")+COUNTIFS('2_개행동'!$AD$5:$AD$28,"SYN",'2_개행동'!$AY$5:$AY$28,"ONE",'2_개행동'!$AS$5:$AS$28,"&gt;=1")+COUNTIFS('3_보호자행동'!$AD$5:$AD$15,"SYN",'3_보호자행동'!$AY$5:$AY$15,"ONE",'3_보호자행동'!$AS$5:$AS$15,"&gt;=1"))=0,"",ROUND((SUMIFS('1_바디시그널'!$AS$5:$AS$13,'1_바디시그널'!$AD$5:$AD$13,"SYN",'1_바디시그널'!$AY$5:$AY$13,"ONE",'1_바디시그널'!$AS$5:$AS$13,"&gt;=1")+SUMIFS('2_개행동'!$AS$5:$AS$28,'2_개행동'!$AD$5:$AD$28,"SYN",'2_개행동'!$AY$5:$AY$28,"ONE",'2_개행동'!$AS$5:$AS$28,"&gt;=1")+SUMIFS('3_보호자행동'!$AS$5:$AS$15,'3_보호자행동'!$AD$5:$AD$15,"SYN",'3_보호자행동'!$AY$5:$AY$15,"ONE",'3_보호자행동'!$AS$5:$AS$15,"&gt;=1"))/(COUNTIFS('1_바디시그널'!$AD$5:$AD$13,"SYN",'1_바디시그널'!$AY$5:$AY$13,"ONE",'1_바디시그널'!$AS$5:$AS$13,"&gt;=1")+COUNTIFS('2_개행동'!$AD$5:$AD$28,"SYN",'2_개행동'!$AY$5:$AY$28,"ONE",'2_개행동'!$AS$5:$AS$28,"&gt;=1")+COUNTIFS('3_보호자행동'!$AD$5:$AD$15,"SYN",'3_보호자행동'!$AY$5:$AY$15,"ONE",'3_보호자행동'!$AS$5:$AS$15,"&gt;=1")),2))</f>
        <v/>
      </c>
      <c r="S20" s="48">
        <f>IF((COUNTIFS('1_바디시그널'!$AD$5:$AD$13,"EXIT",'1_바디시그널'!$AY$5:$AY$13,"BI",'1_바디시그널'!$AS$5:$AS$13,"&gt;=1")+COUNTIFS('2_개행동'!$AD$5:$AD$28,"EXIT",'2_개행동'!$AY$5:$AY$28,"BI",'2_개행동'!$AS$5:$AS$28,"&gt;=1")+COUNTIFS('3_보호자행동'!$AD$5:$AD$15,"EXIT",'3_보호자행동'!$AY$5:$AY$15,"BI",'3_보호자행동'!$AS$5:$AS$15,"&gt;=1"))=0,"",ROUND((SUMIFS('1_바디시그널'!$AS$5:$AS$13,'1_바디시그널'!$AD$5:$AD$13,"EXIT",'1_바디시그널'!$AY$5:$AY$13,"BI",'1_바디시그널'!$AS$5:$AS$13,"&gt;=1")+SUMIFS('2_개행동'!$AS$5:$AS$28,'2_개행동'!$AD$5:$AD$28,"EXIT",'2_개행동'!$AY$5:$AY$28,"BI",'2_개행동'!$AS$5:$AS$28,"&gt;=1")+SUMIFS('3_보호자행동'!$AS$5:$AS$15,'3_보호자행동'!$AD$5:$AD$15,"EXIT",'3_보호자행동'!$AY$5:$AY$15,"BI",'3_보호자행동'!$AS$5:$AS$15,"&gt;=1"))/(COUNTIFS('1_바디시그널'!$AD$5:$AD$13,"EXIT",'1_바디시그널'!$AY$5:$AY$13,"BI",'1_바디시그널'!$AS$5:$AS$13,"&gt;=1")+COUNTIFS('2_개행동'!$AD$5:$AD$28,"EXIT",'2_개행동'!$AY$5:$AY$28,"BI",'2_개행동'!$AS$5:$AS$28,"&gt;=1")+COUNTIFS('3_보호자행동'!$AD$5:$AD$15,"EXIT",'3_보호자행동'!$AY$5:$AY$15,"BI",'3_보호자행동'!$AS$5:$AS$15,"&gt;=1"))-3,2))</f>
        <v/>
      </c>
      <c r="T20" s="39">
        <f>IF((COUNTIFS('1_바디시그널'!$AD$5:$AD$13,"EXIT",'1_바디시그널'!$AS$5:$AS$13,"&gt;=1")+COUNTIFS('2_개행동'!$AD$5:$AD$28,"EXIT",'2_개행동'!$AS$5:$AS$28,"&gt;=1")+COUNTIFS('3_보호자행동'!$AD$5:$AD$15,"EXIT",'3_보호자행동'!$AS$5:$AS$15,"&gt;=1"))=0,"",MAX(MAX(SUMPRODUCT(MAX(('1_바디시그널'!$AD$5:$AD$13="EXIT")*('1_바디시그널'!$AS$5:$AS$13-3))),SUMPRODUCT(MAX(('2_개행동'!$AD$5:$AD$28="EXIT")*('2_개행동'!$AS$5:$AS$28-3))),SUMPRODUCT(MAX(('3_보호자행동'!$AD$5:$AD$15="EXIT")*('3_보호자행동'!$AS$5:$AS$15-3)))),MAX(SUMPRODUCT(MAX(('1_바디시그널'!$AD$5:$AD$13="EXIT")*('1_바디시그널'!$AS$5:$AS$13&gt;=1)*(3-'1_바디시그널'!$AS$5:$AS$13))),SUMPRODUCT(MAX(('2_개행동'!$AD$5:$AD$28="EXIT")*('2_개행동'!$AS$5:$AS$28&gt;=1)*(3-'2_개행동'!$AS$5:$AS$28))),SUMPRODUCT(MAX(('3_보호자행동'!$AD$5:$AD$15="EXIT")*('3_보호자행동'!$AS$5:$AS$15&gt;=1)*(3-'3_보호자행동'!$AS$5:$AS$15))))))</f>
        <v/>
      </c>
      <c r="U20" s="39">
        <f>IF((COUNTIFS('1_바디시그널'!$AD$5:$AD$13,"EXIT",'1_바디시그널'!$AY$5:$AY$13,"ONE",'1_바디시그널'!$AS$5:$AS$13,"&gt;=1")+COUNTIFS('2_개행동'!$AD$5:$AD$28,"EXIT",'2_개행동'!$AY$5:$AY$28,"ONE",'2_개행동'!$AS$5:$AS$28,"&gt;=1")+COUNTIFS('3_보호자행동'!$AD$5:$AD$15,"EXIT",'3_보호자행동'!$AY$5:$AY$15,"ONE",'3_보호자행동'!$AS$5:$AS$15,"&gt;=1"))=0,"",ROUND((SUMIFS('1_바디시그널'!$AS$5:$AS$13,'1_바디시그널'!$AD$5:$AD$13,"EXIT",'1_바디시그널'!$AY$5:$AY$13,"ONE",'1_바디시그널'!$AS$5:$AS$13,"&gt;=1")+SUMIFS('2_개행동'!$AS$5:$AS$28,'2_개행동'!$AD$5:$AD$28,"EXIT",'2_개행동'!$AY$5:$AY$28,"ONE",'2_개행동'!$AS$5:$AS$28,"&gt;=1")+SUMIFS('3_보호자행동'!$AS$5:$AS$15,'3_보호자행동'!$AD$5:$AD$15,"EXIT",'3_보호자행동'!$AY$5:$AY$15,"ONE",'3_보호자행동'!$AS$5:$AS$15,"&gt;=1"))/(COUNTIFS('1_바디시그널'!$AD$5:$AD$13,"EXIT",'1_바디시그널'!$AY$5:$AY$13,"ONE",'1_바디시그널'!$AS$5:$AS$13,"&gt;=1")+COUNTIFS('2_개행동'!$AD$5:$AD$28,"EXIT",'2_개행동'!$AY$5:$AY$28,"ONE",'2_개행동'!$AS$5:$AS$28,"&gt;=1")+COUNTIFS('3_보호자행동'!$AD$5:$AD$15,"EXIT",'3_보호자행동'!$AY$5:$AY$15,"ONE",'3_보호자행동'!$AS$5:$AS$15,"&gt;=1")),2))</f>
        <v/>
      </c>
      <c r="V20" s="49">
        <f>IF(OR('2_개행동'!$X$8="",'2_개행동'!$X$22=""),"",ABS('2_개행동'!$X$8-3)-ABS('2_개행동'!$X$22-3))</f>
        <v/>
      </c>
      <c r="W20" s="49">
        <f>IF(OR('2_개행동'!$X$10="",'2_개행동'!$X$17=""),"",ABS('2_개행동'!$X$10-3)-ABS('2_개행동'!$X$17-3))</f>
        <v/>
      </c>
      <c r="X20" s="49">
        <f>IF(OR('2_개행동'!$X$10="",'2_개행동'!$X$14=""),"",ABS('2_개행동'!$X$10-3)-ABS('2_개행동'!$X$14-3))</f>
        <v/>
      </c>
      <c r="Y20" s="39">
        <f>IF('2_개행동'!$X$8="","",'2_개행동'!$X$8)</f>
        <v/>
      </c>
      <c r="Z20" s="40">
        <f>IF('2_개행동'!$X$25="","",IF('3_보호자행동'!$X$13=3,"무효",'2_개행동'!$X$25/6))</f>
        <v/>
      </c>
      <c r="AA20" s="35" t="n"/>
    </row>
    <row r="21">
      <c r="A21" s="39" t="n">
        <v>16</v>
      </c>
      <c r="B21" s="39" t="n"/>
      <c r="C21" s="39" t="n"/>
      <c r="D21" s="48">
        <f>IF((COUNTIFS('1_바디시그널'!$AD$5:$AD$13,"EDU",'1_바디시그널'!$AY$5:$AY$13,"BI",'1_바디시그널'!$AT$5:$AT$13,"&gt;=1")+COUNTIFS('2_개행동'!$AD$5:$AD$28,"EDU",'2_개행동'!$AY$5:$AY$28,"BI",'2_개행동'!$AT$5:$AT$28,"&gt;=1")+COUNTIFS('3_보호자행동'!$AD$5:$AD$15,"EDU",'3_보호자행동'!$AY$5:$AY$15,"BI",'3_보호자행동'!$AT$5:$AT$15,"&gt;=1"))=0,"",ROUND((SUMIFS('1_바디시그널'!$AT$5:$AT$13,'1_바디시그널'!$AD$5:$AD$13,"EDU",'1_바디시그널'!$AY$5:$AY$13,"BI",'1_바디시그널'!$AT$5:$AT$13,"&gt;=1")+SUMIFS('2_개행동'!$AT$5:$AT$28,'2_개행동'!$AD$5:$AD$28,"EDU",'2_개행동'!$AY$5:$AY$28,"BI",'2_개행동'!$AT$5:$AT$28,"&gt;=1")+SUMIFS('3_보호자행동'!$AT$5:$AT$15,'3_보호자행동'!$AD$5:$AD$15,"EDU",'3_보호자행동'!$AY$5:$AY$15,"BI",'3_보호자행동'!$AT$5:$AT$15,"&gt;=1"))/(COUNTIFS('1_바디시그널'!$AD$5:$AD$13,"EDU",'1_바디시그널'!$AY$5:$AY$13,"BI",'1_바디시그널'!$AT$5:$AT$13,"&gt;=1")+COUNTIFS('2_개행동'!$AD$5:$AD$28,"EDU",'2_개행동'!$AY$5:$AY$28,"BI",'2_개행동'!$AT$5:$AT$28,"&gt;=1")+COUNTIFS('3_보호자행동'!$AD$5:$AD$15,"EDU",'3_보호자행동'!$AY$5:$AY$15,"BI",'3_보호자행동'!$AT$5:$AT$15,"&gt;=1"))-3,2))</f>
        <v/>
      </c>
      <c r="E21" s="39">
        <f>IF((COUNTIFS('1_바디시그널'!$AD$5:$AD$13,"EDU",'1_바디시그널'!$AT$5:$AT$13,"&gt;=1")+COUNTIFS('2_개행동'!$AD$5:$AD$28,"EDU",'2_개행동'!$AT$5:$AT$28,"&gt;=1")+COUNTIFS('3_보호자행동'!$AD$5:$AD$15,"EDU",'3_보호자행동'!$AT$5:$AT$15,"&gt;=1"))=0,"",MAX(MAX(SUMPRODUCT(MAX(('1_바디시그널'!$AD$5:$AD$13="EDU")*('1_바디시그널'!$AT$5:$AT$13-3))),SUMPRODUCT(MAX(('2_개행동'!$AD$5:$AD$28="EDU")*('2_개행동'!$AT$5:$AT$28-3))),SUMPRODUCT(MAX(('3_보호자행동'!$AD$5:$AD$15="EDU")*('3_보호자행동'!$AT$5:$AT$15-3)))),MAX(SUMPRODUCT(MAX(('1_바디시그널'!$AD$5:$AD$13="EDU")*('1_바디시그널'!$AT$5:$AT$13&gt;=1)*(3-'1_바디시그널'!$AT$5:$AT$13))),SUMPRODUCT(MAX(('2_개행동'!$AD$5:$AD$28="EDU")*('2_개행동'!$AT$5:$AT$28&gt;=1)*(3-'2_개행동'!$AT$5:$AT$28))),SUMPRODUCT(MAX(('3_보호자행동'!$AD$5:$AD$15="EDU")*('3_보호자행동'!$AT$5:$AT$15&gt;=1)*(3-'3_보호자행동'!$AT$5:$AT$15))))))</f>
        <v/>
      </c>
      <c r="F21" s="39">
        <f>IF((COUNTIFS('1_바디시그널'!$AD$5:$AD$13,"EDU",'1_바디시그널'!$AY$5:$AY$13,"ONE",'1_바디시그널'!$AT$5:$AT$13,"&gt;=1")+COUNTIFS('2_개행동'!$AD$5:$AD$28,"EDU",'2_개행동'!$AY$5:$AY$28,"ONE",'2_개행동'!$AT$5:$AT$28,"&gt;=1")+COUNTIFS('3_보호자행동'!$AD$5:$AD$15,"EDU",'3_보호자행동'!$AY$5:$AY$15,"ONE",'3_보호자행동'!$AT$5:$AT$15,"&gt;=1"))=0,"",ROUND((SUMIFS('1_바디시그널'!$AT$5:$AT$13,'1_바디시그널'!$AD$5:$AD$13,"EDU",'1_바디시그널'!$AY$5:$AY$13,"ONE",'1_바디시그널'!$AT$5:$AT$13,"&gt;=1")+SUMIFS('2_개행동'!$AT$5:$AT$28,'2_개행동'!$AD$5:$AD$28,"EDU",'2_개행동'!$AY$5:$AY$28,"ONE",'2_개행동'!$AT$5:$AT$28,"&gt;=1")+SUMIFS('3_보호자행동'!$AT$5:$AT$15,'3_보호자행동'!$AD$5:$AD$15,"EDU",'3_보호자행동'!$AY$5:$AY$15,"ONE",'3_보호자행동'!$AT$5:$AT$15,"&gt;=1"))/(COUNTIFS('1_바디시그널'!$AD$5:$AD$13,"EDU",'1_바디시그널'!$AY$5:$AY$13,"ONE",'1_바디시그널'!$AT$5:$AT$13,"&gt;=1")+COUNTIFS('2_개행동'!$AD$5:$AD$28,"EDU",'2_개행동'!$AY$5:$AY$28,"ONE",'2_개행동'!$AT$5:$AT$28,"&gt;=1")+COUNTIFS('3_보호자행동'!$AD$5:$AD$15,"EDU",'3_보호자행동'!$AY$5:$AY$15,"ONE",'3_보호자행동'!$AT$5:$AT$15,"&gt;=1")),2))</f>
        <v/>
      </c>
      <c r="G21" s="48">
        <f>IF((COUNTIFS('1_바디시그널'!$AD$5:$AD$13,"SOC_E",'1_바디시그널'!$AY$5:$AY$13,"BI",'1_바디시그널'!$AT$5:$AT$13,"&gt;=1")+COUNTIFS('2_개행동'!$AD$5:$AD$28,"SOC_E",'2_개행동'!$AY$5:$AY$28,"BI",'2_개행동'!$AT$5:$AT$28,"&gt;=1")+COUNTIFS('3_보호자행동'!$AD$5:$AD$15,"SOC_E",'3_보호자행동'!$AY$5:$AY$15,"BI",'3_보호자행동'!$AT$5:$AT$15,"&gt;=1"))=0,"",ROUND((SUMIFS('1_바디시그널'!$AT$5:$AT$13,'1_바디시그널'!$AD$5:$AD$13,"SOC_E",'1_바디시그널'!$AY$5:$AY$13,"BI",'1_바디시그널'!$AT$5:$AT$13,"&gt;=1")+SUMIFS('2_개행동'!$AT$5:$AT$28,'2_개행동'!$AD$5:$AD$28,"SOC_E",'2_개행동'!$AY$5:$AY$28,"BI",'2_개행동'!$AT$5:$AT$28,"&gt;=1")+SUMIFS('3_보호자행동'!$AT$5:$AT$15,'3_보호자행동'!$AD$5:$AD$15,"SOC_E",'3_보호자행동'!$AY$5:$AY$15,"BI",'3_보호자행동'!$AT$5:$AT$15,"&gt;=1"))/(COUNTIFS('1_바디시그널'!$AD$5:$AD$13,"SOC_E",'1_바디시그널'!$AY$5:$AY$13,"BI",'1_바디시그널'!$AT$5:$AT$13,"&gt;=1")+COUNTIFS('2_개행동'!$AD$5:$AD$28,"SOC_E",'2_개행동'!$AY$5:$AY$28,"BI",'2_개행동'!$AT$5:$AT$28,"&gt;=1")+COUNTIFS('3_보호자행동'!$AD$5:$AD$15,"SOC_E",'3_보호자행동'!$AY$5:$AY$15,"BI",'3_보호자행동'!$AT$5:$AT$15,"&gt;=1"))-3,2))</f>
        <v/>
      </c>
      <c r="H21" s="39">
        <f>IF((COUNTIFS('1_바디시그널'!$AD$5:$AD$13,"SOC_E",'1_바디시그널'!$AT$5:$AT$13,"&gt;=1")+COUNTIFS('2_개행동'!$AD$5:$AD$28,"SOC_E",'2_개행동'!$AT$5:$AT$28,"&gt;=1")+COUNTIFS('3_보호자행동'!$AD$5:$AD$15,"SOC_E",'3_보호자행동'!$AT$5:$AT$15,"&gt;=1"))=0,"",MAX(MAX(SUMPRODUCT(MAX(('1_바디시그널'!$AD$5:$AD$13="SOC_E")*('1_바디시그널'!$AT$5:$AT$13-3))),SUMPRODUCT(MAX(('2_개행동'!$AD$5:$AD$28="SOC_E")*('2_개행동'!$AT$5:$AT$28-3))),SUMPRODUCT(MAX(('3_보호자행동'!$AD$5:$AD$15="SOC_E")*('3_보호자행동'!$AT$5:$AT$15-3)))),MAX(SUMPRODUCT(MAX(('1_바디시그널'!$AD$5:$AD$13="SOC_E")*('1_바디시그널'!$AT$5:$AT$13&gt;=1)*(3-'1_바디시그널'!$AT$5:$AT$13))),SUMPRODUCT(MAX(('2_개행동'!$AD$5:$AD$28="SOC_E")*('2_개행동'!$AT$5:$AT$28&gt;=1)*(3-'2_개행동'!$AT$5:$AT$28))),SUMPRODUCT(MAX(('3_보호자행동'!$AD$5:$AD$15="SOC_E")*('3_보호자행동'!$AT$5:$AT$15&gt;=1)*(3-'3_보호자행동'!$AT$5:$AT$15))))))</f>
        <v/>
      </c>
      <c r="I21" s="39">
        <f>IF((COUNTIFS('1_바디시그널'!$AD$5:$AD$13,"SOC_E",'1_바디시그널'!$AY$5:$AY$13,"ONE",'1_바디시그널'!$AT$5:$AT$13,"&gt;=1")+COUNTIFS('2_개행동'!$AD$5:$AD$28,"SOC_E",'2_개행동'!$AY$5:$AY$28,"ONE",'2_개행동'!$AT$5:$AT$28,"&gt;=1")+COUNTIFS('3_보호자행동'!$AD$5:$AD$15,"SOC_E",'3_보호자행동'!$AY$5:$AY$15,"ONE",'3_보호자행동'!$AT$5:$AT$15,"&gt;=1"))=0,"",ROUND((SUMIFS('1_바디시그널'!$AT$5:$AT$13,'1_바디시그널'!$AD$5:$AD$13,"SOC_E",'1_바디시그널'!$AY$5:$AY$13,"ONE",'1_바디시그널'!$AT$5:$AT$13,"&gt;=1")+SUMIFS('2_개행동'!$AT$5:$AT$28,'2_개행동'!$AD$5:$AD$28,"SOC_E",'2_개행동'!$AY$5:$AY$28,"ONE",'2_개행동'!$AT$5:$AT$28,"&gt;=1")+SUMIFS('3_보호자행동'!$AT$5:$AT$15,'3_보호자행동'!$AD$5:$AD$15,"SOC_E",'3_보호자행동'!$AY$5:$AY$15,"ONE",'3_보호자행동'!$AT$5:$AT$15,"&gt;=1"))/(COUNTIFS('1_바디시그널'!$AD$5:$AD$13,"SOC_E",'1_바디시그널'!$AY$5:$AY$13,"ONE",'1_바디시그널'!$AT$5:$AT$13,"&gt;=1")+COUNTIFS('2_개행동'!$AD$5:$AD$28,"SOC_E",'2_개행동'!$AY$5:$AY$28,"ONE",'2_개행동'!$AT$5:$AT$28,"&gt;=1")+COUNTIFS('3_보호자행동'!$AD$5:$AD$15,"SOC_E",'3_보호자행동'!$AY$5:$AY$15,"ONE",'3_보호자행동'!$AT$5:$AT$15,"&gt;=1")),2))</f>
        <v/>
      </c>
      <c r="J21" s="39">
        <f>IF(OR('2_개행동'!$Y$13="",'2_개행동'!$Y$14=""),"",IF('2_개행동'!$Y$13&gt;=3,IF(ABS('2_개행동'!$Y$14-3)&lt;=1,"편안·우호","우호·들뜸"),IF(ABS('2_개행동'!$Y$14-3)&lt;=1,"담담·거리둠","경계·긴장")))</f>
        <v/>
      </c>
      <c r="K21" s="39">
        <f>IF((COUNTIFS('1_바디시그널'!$AD$5:$AD$13,"SOC_H",'1_바디시그널'!$AT$5:$AT$13,"&gt;=1")+COUNTIFS('2_개행동'!$AD$5:$AD$28,"SOC_H",'2_개행동'!$AT$5:$AT$28,"&gt;=1")+COUNTIFS('3_보호자행동'!$AD$5:$AD$15,"SOC_H",'3_보호자행동'!$AT$5:$AT$15,"&gt;=1"))=0,"",MAX(MAX(SUMPRODUCT(MAX(('1_바디시그널'!$AD$5:$AD$13="SOC_H")*('1_바디시그널'!$AT$5:$AT$13-3))),SUMPRODUCT(MAX(('2_개행동'!$AD$5:$AD$28="SOC_H")*('2_개행동'!$AT$5:$AT$28-3))),SUMPRODUCT(MAX(('3_보호자행동'!$AD$5:$AD$15="SOC_H")*('3_보호자행동'!$AT$5:$AT$15-3)))),MAX(SUMPRODUCT(MAX(('1_바디시그널'!$AD$5:$AD$13="SOC_H")*('1_바디시그널'!$AT$5:$AT$13&gt;=1)*(3-'1_바디시그널'!$AT$5:$AT$13))),SUMPRODUCT(MAX(('2_개행동'!$AD$5:$AD$28="SOC_H")*('2_개행동'!$AT$5:$AT$28&gt;=1)*(3-'2_개행동'!$AT$5:$AT$28))),SUMPRODUCT(MAX(('3_보호자행동'!$AD$5:$AD$15="SOC_H")*('3_보호자행동'!$AT$5:$AT$15&gt;=1)*(3-'3_보호자행동'!$AT$5:$AT$15))))))</f>
        <v/>
      </c>
      <c r="L21" s="39">
        <f>IF((COUNTIFS('1_바디시그널'!$AD$5:$AD$13,"SOC_H",'1_바디시그널'!$AY$5:$AY$13,"ONE",'1_바디시그널'!$AT$5:$AT$13,"&gt;=1")+COUNTIFS('2_개행동'!$AD$5:$AD$28,"SOC_H",'2_개행동'!$AY$5:$AY$28,"ONE",'2_개행동'!$AT$5:$AT$28,"&gt;=1")+COUNTIFS('3_보호자행동'!$AD$5:$AD$15,"SOC_H",'3_보호자행동'!$AY$5:$AY$15,"ONE",'3_보호자행동'!$AT$5:$AT$15,"&gt;=1"))=0,"",ROUND((SUMIFS('1_바디시그널'!$AT$5:$AT$13,'1_바디시그널'!$AD$5:$AD$13,"SOC_H",'1_바디시그널'!$AY$5:$AY$13,"ONE",'1_바디시그널'!$AT$5:$AT$13,"&gt;=1")+SUMIFS('2_개행동'!$AT$5:$AT$28,'2_개행동'!$AD$5:$AD$28,"SOC_H",'2_개행동'!$AY$5:$AY$28,"ONE",'2_개행동'!$AT$5:$AT$28,"&gt;=1")+SUMIFS('3_보호자행동'!$AT$5:$AT$15,'3_보호자행동'!$AD$5:$AD$15,"SOC_H",'3_보호자행동'!$AY$5:$AY$15,"ONE",'3_보호자행동'!$AT$5:$AT$15,"&gt;=1"))/(COUNTIFS('1_바디시그널'!$AD$5:$AD$13,"SOC_H",'1_바디시그널'!$AY$5:$AY$13,"ONE",'1_바디시그널'!$AT$5:$AT$13,"&gt;=1")+COUNTIFS('2_개행동'!$AD$5:$AD$28,"SOC_H",'2_개행동'!$AY$5:$AY$28,"ONE",'2_개행동'!$AT$5:$AT$28,"&gt;=1")+COUNTIFS('3_보호자행동'!$AD$5:$AD$15,"SOC_H",'3_보호자행동'!$AY$5:$AY$15,"ONE",'3_보호자행동'!$AT$5:$AT$15,"&gt;=1")),2))</f>
        <v/>
      </c>
      <c r="M21" s="39">
        <f>IF(OR('2_개행동'!$Y$21="",'2_개행동'!$Y$9="",'2_개행동'!$Y$16="",'2_개행동'!$Y$17=""),"",IF(N('2_개행동'!$Y$20)&gt;=1,"일관되지 않음",IF(AVERAGE('2_개행동'!$Y$21,'2_개행동'!$Y$9,'2_개행동'!$Y$16,'2_개행동'!$Y$18)&lt;=3.5,IF(ABS('2_개행동'!$Y$17-3)&lt;=1,"안정","불안"),IF(ABS('2_개행동'!$Y$17-3)&lt;=1,"거리 둠","일관되지 않음"))))</f>
        <v/>
      </c>
      <c r="N21" s="39">
        <f>IF((COUNTIFS('1_바디시그널'!$AD$5:$AD$13,"ATT",'1_바디시그널'!$AT$5:$AT$13,"&gt;=1")+COUNTIFS('2_개행동'!$AD$5:$AD$28,"ATT",'2_개행동'!$AT$5:$AT$28,"&gt;=1")+COUNTIFS('3_보호자행동'!$AD$5:$AD$15,"ATT",'3_보호자행동'!$AT$5:$AT$15,"&gt;=1"))=0,"",MAX(MAX(SUMPRODUCT(MAX(('1_바디시그널'!$AD$5:$AD$13="ATT")*('1_바디시그널'!$AT$5:$AT$13-3))),SUMPRODUCT(MAX(('2_개행동'!$AD$5:$AD$28="ATT")*('2_개행동'!$AT$5:$AT$28-3))),SUMPRODUCT(MAX(('3_보호자행동'!$AD$5:$AD$15="ATT")*('3_보호자행동'!$AT$5:$AT$15-3)))),MAX(SUMPRODUCT(MAX(('1_바디시그널'!$AD$5:$AD$13="ATT")*('1_바디시그널'!$AT$5:$AT$13&gt;=1)*(3-'1_바디시그널'!$AT$5:$AT$13))),SUMPRODUCT(MAX(('2_개행동'!$AD$5:$AD$28="ATT")*('2_개행동'!$AT$5:$AT$28&gt;=1)*(3-'2_개행동'!$AT$5:$AT$28))),SUMPRODUCT(MAX(('3_보호자행동'!$AD$5:$AD$15="ATT")*('3_보호자행동'!$AT$5:$AT$15&gt;=1)*(3-'3_보호자행동'!$AT$5:$AT$15))))))</f>
        <v/>
      </c>
      <c r="O21" s="39">
        <f>IF((COUNTIFS('1_바디시그널'!$AD$5:$AD$13,"ATT",'1_바디시그널'!$AY$5:$AY$13,"ONE",'1_바디시그널'!$AT$5:$AT$13,"&gt;=1")+COUNTIFS('2_개행동'!$AD$5:$AD$28,"ATT",'2_개행동'!$AY$5:$AY$28,"ONE",'2_개행동'!$AT$5:$AT$28,"&gt;=1")+COUNTIFS('3_보호자행동'!$AD$5:$AD$15,"ATT",'3_보호자행동'!$AY$5:$AY$15,"ONE",'3_보호자행동'!$AT$5:$AT$15,"&gt;=1"))=0,"",ROUND((SUMIFS('1_바디시그널'!$AT$5:$AT$13,'1_바디시그널'!$AD$5:$AD$13,"ATT",'1_바디시그널'!$AY$5:$AY$13,"ONE",'1_바디시그널'!$AT$5:$AT$13,"&gt;=1")+SUMIFS('2_개행동'!$AT$5:$AT$28,'2_개행동'!$AD$5:$AD$28,"ATT",'2_개행동'!$AY$5:$AY$28,"ONE",'2_개행동'!$AT$5:$AT$28,"&gt;=1")+SUMIFS('3_보호자행동'!$AT$5:$AT$15,'3_보호자행동'!$AD$5:$AD$15,"ATT",'3_보호자행동'!$AY$5:$AY$15,"ONE",'3_보호자행동'!$AT$5:$AT$15,"&gt;=1"))/(COUNTIFS('1_바디시그널'!$AD$5:$AD$13,"ATT",'1_바디시그널'!$AY$5:$AY$13,"ONE",'1_바디시그널'!$AT$5:$AT$13,"&gt;=1")+COUNTIFS('2_개행동'!$AD$5:$AD$28,"ATT",'2_개행동'!$AY$5:$AY$28,"ONE",'2_개행동'!$AT$5:$AT$28,"&gt;=1")+COUNTIFS('3_보호자행동'!$AD$5:$AD$15,"ATT",'3_보호자행동'!$AY$5:$AY$15,"ONE",'3_보호자행동'!$AT$5:$AT$15,"&gt;=1")),2))</f>
        <v/>
      </c>
      <c r="P21" s="48">
        <f>IF((COUNTIFS('1_바디시그널'!$AD$5:$AD$13,"SYN",'1_바디시그널'!$AY$5:$AY$13,"BI",'1_바디시그널'!$AT$5:$AT$13,"&gt;=1")+COUNTIFS('2_개행동'!$AD$5:$AD$28,"SYN",'2_개행동'!$AY$5:$AY$28,"BI",'2_개행동'!$AT$5:$AT$28,"&gt;=1")+COUNTIFS('3_보호자행동'!$AD$5:$AD$15,"SYN",'3_보호자행동'!$AY$5:$AY$15,"BI",'3_보호자행동'!$AT$5:$AT$15,"&gt;=1"))=0,"",ROUND((SUMIFS('1_바디시그널'!$AT$5:$AT$13,'1_바디시그널'!$AD$5:$AD$13,"SYN",'1_바디시그널'!$AY$5:$AY$13,"BI",'1_바디시그널'!$AT$5:$AT$13,"&gt;=1")+SUMIFS('2_개행동'!$AT$5:$AT$28,'2_개행동'!$AD$5:$AD$28,"SYN",'2_개행동'!$AY$5:$AY$28,"BI",'2_개행동'!$AT$5:$AT$28,"&gt;=1")+SUMIFS('3_보호자행동'!$AT$5:$AT$15,'3_보호자행동'!$AD$5:$AD$15,"SYN",'3_보호자행동'!$AY$5:$AY$15,"BI",'3_보호자행동'!$AT$5:$AT$15,"&gt;=1"))/(COUNTIFS('1_바디시그널'!$AD$5:$AD$13,"SYN",'1_바디시그널'!$AY$5:$AY$13,"BI",'1_바디시그널'!$AT$5:$AT$13,"&gt;=1")+COUNTIFS('2_개행동'!$AD$5:$AD$28,"SYN",'2_개행동'!$AY$5:$AY$28,"BI",'2_개행동'!$AT$5:$AT$28,"&gt;=1")+COUNTIFS('3_보호자행동'!$AD$5:$AD$15,"SYN",'3_보호자행동'!$AY$5:$AY$15,"BI",'3_보호자행동'!$AT$5:$AT$15,"&gt;=1"))-3,2))</f>
        <v/>
      </c>
      <c r="Q21" s="39">
        <f>IF((COUNTIFS('1_바디시그널'!$AD$5:$AD$13,"SYN",'1_바디시그널'!$AT$5:$AT$13,"&gt;=1")+COUNTIFS('2_개행동'!$AD$5:$AD$28,"SYN",'2_개행동'!$AT$5:$AT$28,"&gt;=1")+COUNTIFS('3_보호자행동'!$AD$5:$AD$15,"SYN",'3_보호자행동'!$AT$5:$AT$15,"&gt;=1"))=0,"",MAX(MAX(SUMPRODUCT(MAX(('1_바디시그널'!$AD$5:$AD$13="SYN")*('1_바디시그널'!$AT$5:$AT$13-3))),SUMPRODUCT(MAX(('2_개행동'!$AD$5:$AD$28="SYN")*('2_개행동'!$AT$5:$AT$28-3))),SUMPRODUCT(MAX(('3_보호자행동'!$AD$5:$AD$15="SYN")*('3_보호자행동'!$AT$5:$AT$15-3)))),MAX(SUMPRODUCT(MAX(('1_바디시그널'!$AD$5:$AD$13="SYN")*('1_바디시그널'!$AT$5:$AT$13&gt;=1)*(3-'1_바디시그널'!$AT$5:$AT$13))),SUMPRODUCT(MAX(('2_개행동'!$AD$5:$AD$28="SYN")*('2_개행동'!$AT$5:$AT$28&gt;=1)*(3-'2_개행동'!$AT$5:$AT$28))),SUMPRODUCT(MAX(('3_보호자행동'!$AD$5:$AD$15="SYN")*('3_보호자행동'!$AT$5:$AT$15&gt;=1)*(3-'3_보호자행동'!$AT$5:$AT$15))))))</f>
        <v/>
      </c>
      <c r="R21" s="39">
        <f>IF((COUNTIFS('1_바디시그널'!$AD$5:$AD$13,"SYN",'1_바디시그널'!$AY$5:$AY$13,"ONE",'1_바디시그널'!$AT$5:$AT$13,"&gt;=1")+COUNTIFS('2_개행동'!$AD$5:$AD$28,"SYN",'2_개행동'!$AY$5:$AY$28,"ONE",'2_개행동'!$AT$5:$AT$28,"&gt;=1")+COUNTIFS('3_보호자행동'!$AD$5:$AD$15,"SYN",'3_보호자행동'!$AY$5:$AY$15,"ONE",'3_보호자행동'!$AT$5:$AT$15,"&gt;=1"))=0,"",ROUND((SUMIFS('1_바디시그널'!$AT$5:$AT$13,'1_바디시그널'!$AD$5:$AD$13,"SYN",'1_바디시그널'!$AY$5:$AY$13,"ONE",'1_바디시그널'!$AT$5:$AT$13,"&gt;=1")+SUMIFS('2_개행동'!$AT$5:$AT$28,'2_개행동'!$AD$5:$AD$28,"SYN",'2_개행동'!$AY$5:$AY$28,"ONE",'2_개행동'!$AT$5:$AT$28,"&gt;=1")+SUMIFS('3_보호자행동'!$AT$5:$AT$15,'3_보호자행동'!$AD$5:$AD$15,"SYN",'3_보호자행동'!$AY$5:$AY$15,"ONE",'3_보호자행동'!$AT$5:$AT$15,"&gt;=1"))/(COUNTIFS('1_바디시그널'!$AD$5:$AD$13,"SYN",'1_바디시그널'!$AY$5:$AY$13,"ONE",'1_바디시그널'!$AT$5:$AT$13,"&gt;=1")+COUNTIFS('2_개행동'!$AD$5:$AD$28,"SYN",'2_개행동'!$AY$5:$AY$28,"ONE",'2_개행동'!$AT$5:$AT$28,"&gt;=1")+COUNTIFS('3_보호자행동'!$AD$5:$AD$15,"SYN",'3_보호자행동'!$AY$5:$AY$15,"ONE",'3_보호자행동'!$AT$5:$AT$15,"&gt;=1")),2))</f>
        <v/>
      </c>
      <c r="S21" s="48">
        <f>IF((COUNTIFS('1_바디시그널'!$AD$5:$AD$13,"EXIT",'1_바디시그널'!$AY$5:$AY$13,"BI",'1_바디시그널'!$AT$5:$AT$13,"&gt;=1")+COUNTIFS('2_개행동'!$AD$5:$AD$28,"EXIT",'2_개행동'!$AY$5:$AY$28,"BI",'2_개행동'!$AT$5:$AT$28,"&gt;=1")+COUNTIFS('3_보호자행동'!$AD$5:$AD$15,"EXIT",'3_보호자행동'!$AY$5:$AY$15,"BI",'3_보호자행동'!$AT$5:$AT$15,"&gt;=1"))=0,"",ROUND((SUMIFS('1_바디시그널'!$AT$5:$AT$13,'1_바디시그널'!$AD$5:$AD$13,"EXIT",'1_바디시그널'!$AY$5:$AY$13,"BI",'1_바디시그널'!$AT$5:$AT$13,"&gt;=1")+SUMIFS('2_개행동'!$AT$5:$AT$28,'2_개행동'!$AD$5:$AD$28,"EXIT",'2_개행동'!$AY$5:$AY$28,"BI",'2_개행동'!$AT$5:$AT$28,"&gt;=1")+SUMIFS('3_보호자행동'!$AT$5:$AT$15,'3_보호자행동'!$AD$5:$AD$15,"EXIT",'3_보호자행동'!$AY$5:$AY$15,"BI",'3_보호자행동'!$AT$5:$AT$15,"&gt;=1"))/(COUNTIFS('1_바디시그널'!$AD$5:$AD$13,"EXIT",'1_바디시그널'!$AY$5:$AY$13,"BI",'1_바디시그널'!$AT$5:$AT$13,"&gt;=1")+COUNTIFS('2_개행동'!$AD$5:$AD$28,"EXIT",'2_개행동'!$AY$5:$AY$28,"BI",'2_개행동'!$AT$5:$AT$28,"&gt;=1")+COUNTIFS('3_보호자행동'!$AD$5:$AD$15,"EXIT",'3_보호자행동'!$AY$5:$AY$15,"BI",'3_보호자행동'!$AT$5:$AT$15,"&gt;=1"))-3,2))</f>
        <v/>
      </c>
      <c r="T21" s="39">
        <f>IF((COUNTIFS('1_바디시그널'!$AD$5:$AD$13,"EXIT",'1_바디시그널'!$AT$5:$AT$13,"&gt;=1")+COUNTIFS('2_개행동'!$AD$5:$AD$28,"EXIT",'2_개행동'!$AT$5:$AT$28,"&gt;=1")+COUNTIFS('3_보호자행동'!$AD$5:$AD$15,"EXIT",'3_보호자행동'!$AT$5:$AT$15,"&gt;=1"))=0,"",MAX(MAX(SUMPRODUCT(MAX(('1_바디시그널'!$AD$5:$AD$13="EXIT")*('1_바디시그널'!$AT$5:$AT$13-3))),SUMPRODUCT(MAX(('2_개행동'!$AD$5:$AD$28="EXIT")*('2_개행동'!$AT$5:$AT$28-3))),SUMPRODUCT(MAX(('3_보호자행동'!$AD$5:$AD$15="EXIT")*('3_보호자행동'!$AT$5:$AT$15-3)))),MAX(SUMPRODUCT(MAX(('1_바디시그널'!$AD$5:$AD$13="EXIT")*('1_바디시그널'!$AT$5:$AT$13&gt;=1)*(3-'1_바디시그널'!$AT$5:$AT$13))),SUMPRODUCT(MAX(('2_개행동'!$AD$5:$AD$28="EXIT")*('2_개행동'!$AT$5:$AT$28&gt;=1)*(3-'2_개행동'!$AT$5:$AT$28))),SUMPRODUCT(MAX(('3_보호자행동'!$AD$5:$AD$15="EXIT")*('3_보호자행동'!$AT$5:$AT$15&gt;=1)*(3-'3_보호자행동'!$AT$5:$AT$15))))))</f>
        <v/>
      </c>
      <c r="U21" s="39">
        <f>IF((COUNTIFS('1_바디시그널'!$AD$5:$AD$13,"EXIT",'1_바디시그널'!$AY$5:$AY$13,"ONE",'1_바디시그널'!$AT$5:$AT$13,"&gt;=1")+COUNTIFS('2_개행동'!$AD$5:$AD$28,"EXIT",'2_개행동'!$AY$5:$AY$28,"ONE",'2_개행동'!$AT$5:$AT$28,"&gt;=1")+COUNTIFS('3_보호자행동'!$AD$5:$AD$15,"EXIT",'3_보호자행동'!$AY$5:$AY$15,"ONE",'3_보호자행동'!$AT$5:$AT$15,"&gt;=1"))=0,"",ROUND((SUMIFS('1_바디시그널'!$AT$5:$AT$13,'1_바디시그널'!$AD$5:$AD$13,"EXIT",'1_바디시그널'!$AY$5:$AY$13,"ONE",'1_바디시그널'!$AT$5:$AT$13,"&gt;=1")+SUMIFS('2_개행동'!$AT$5:$AT$28,'2_개행동'!$AD$5:$AD$28,"EXIT",'2_개행동'!$AY$5:$AY$28,"ONE",'2_개행동'!$AT$5:$AT$28,"&gt;=1")+SUMIFS('3_보호자행동'!$AT$5:$AT$15,'3_보호자행동'!$AD$5:$AD$15,"EXIT",'3_보호자행동'!$AY$5:$AY$15,"ONE",'3_보호자행동'!$AT$5:$AT$15,"&gt;=1"))/(COUNTIFS('1_바디시그널'!$AD$5:$AD$13,"EXIT",'1_바디시그널'!$AY$5:$AY$13,"ONE",'1_바디시그널'!$AT$5:$AT$13,"&gt;=1")+COUNTIFS('2_개행동'!$AD$5:$AD$28,"EXIT",'2_개행동'!$AY$5:$AY$28,"ONE",'2_개행동'!$AT$5:$AT$28,"&gt;=1")+COUNTIFS('3_보호자행동'!$AD$5:$AD$15,"EXIT",'3_보호자행동'!$AY$5:$AY$15,"ONE",'3_보호자행동'!$AT$5:$AT$15,"&gt;=1")),2))</f>
        <v/>
      </c>
      <c r="V21" s="49">
        <f>IF(OR('2_개행동'!$Y$8="",'2_개행동'!$Y$22=""),"",ABS('2_개행동'!$Y$8-3)-ABS('2_개행동'!$Y$22-3))</f>
        <v/>
      </c>
      <c r="W21" s="49">
        <f>IF(OR('2_개행동'!$Y$10="",'2_개행동'!$Y$17=""),"",ABS('2_개행동'!$Y$10-3)-ABS('2_개행동'!$Y$17-3))</f>
        <v/>
      </c>
      <c r="X21" s="49">
        <f>IF(OR('2_개행동'!$Y$10="",'2_개행동'!$Y$14=""),"",ABS('2_개행동'!$Y$10-3)-ABS('2_개행동'!$Y$14-3))</f>
        <v/>
      </c>
      <c r="Y21" s="39">
        <f>IF('2_개행동'!$Y$8="","",'2_개행동'!$Y$8)</f>
        <v/>
      </c>
      <c r="Z21" s="40">
        <f>IF('2_개행동'!$Y$25="","",IF('3_보호자행동'!$Y$13=3,"무효",'2_개행동'!$Y$25/6))</f>
        <v/>
      </c>
      <c r="AA21" s="35" t="n"/>
    </row>
    <row r="22">
      <c r="A22" s="39" t="n">
        <v>17</v>
      </c>
      <c r="B22" s="39" t="n"/>
      <c r="C22" s="39" t="n"/>
      <c r="D22" s="48">
        <f>IF((COUNTIFS('1_바디시그널'!$AD$5:$AD$13,"EDU",'1_바디시그널'!$AY$5:$AY$13,"BI",'1_바디시그널'!$AU$5:$AU$13,"&gt;=1")+COUNTIFS('2_개행동'!$AD$5:$AD$28,"EDU",'2_개행동'!$AY$5:$AY$28,"BI",'2_개행동'!$AU$5:$AU$28,"&gt;=1")+COUNTIFS('3_보호자행동'!$AD$5:$AD$15,"EDU",'3_보호자행동'!$AY$5:$AY$15,"BI",'3_보호자행동'!$AU$5:$AU$15,"&gt;=1"))=0,"",ROUND((SUMIFS('1_바디시그널'!$AU$5:$AU$13,'1_바디시그널'!$AD$5:$AD$13,"EDU",'1_바디시그널'!$AY$5:$AY$13,"BI",'1_바디시그널'!$AU$5:$AU$13,"&gt;=1")+SUMIFS('2_개행동'!$AU$5:$AU$28,'2_개행동'!$AD$5:$AD$28,"EDU",'2_개행동'!$AY$5:$AY$28,"BI",'2_개행동'!$AU$5:$AU$28,"&gt;=1")+SUMIFS('3_보호자행동'!$AU$5:$AU$15,'3_보호자행동'!$AD$5:$AD$15,"EDU",'3_보호자행동'!$AY$5:$AY$15,"BI",'3_보호자행동'!$AU$5:$AU$15,"&gt;=1"))/(COUNTIFS('1_바디시그널'!$AD$5:$AD$13,"EDU",'1_바디시그널'!$AY$5:$AY$13,"BI",'1_바디시그널'!$AU$5:$AU$13,"&gt;=1")+COUNTIFS('2_개행동'!$AD$5:$AD$28,"EDU",'2_개행동'!$AY$5:$AY$28,"BI",'2_개행동'!$AU$5:$AU$28,"&gt;=1")+COUNTIFS('3_보호자행동'!$AD$5:$AD$15,"EDU",'3_보호자행동'!$AY$5:$AY$15,"BI",'3_보호자행동'!$AU$5:$AU$15,"&gt;=1"))-3,2))</f>
        <v/>
      </c>
      <c r="E22" s="39">
        <f>IF((COUNTIFS('1_바디시그널'!$AD$5:$AD$13,"EDU",'1_바디시그널'!$AU$5:$AU$13,"&gt;=1")+COUNTIFS('2_개행동'!$AD$5:$AD$28,"EDU",'2_개행동'!$AU$5:$AU$28,"&gt;=1")+COUNTIFS('3_보호자행동'!$AD$5:$AD$15,"EDU",'3_보호자행동'!$AU$5:$AU$15,"&gt;=1"))=0,"",MAX(MAX(SUMPRODUCT(MAX(('1_바디시그널'!$AD$5:$AD$13="EDU")*('1_바디시그널'!$AU$5:$AU$13-3))),SUMPRODUCT(MAX(('2_개행동'!$AD$5:$AD$28="EDU")*('2_개행동'!$AU$5:$AU$28-3))),SUMPRODUCT(MAX(('3_보호자행동'!$AD$5:$AD$15="EDU")*('3_보호자행동'!$AU$5:$AU$15-3)))),MAX(SUMPRODUCT(MAX(('1_바디시그널'!$AD$5:$AD$13="EDU")*('1_바디시그널'!$AU$5:$AU$13&gt;=1)*(3-'1_바디시그널'!$AU$5:$AU$13))),SUMPRODUCT(MAX(('2_개행동'!$AD$5:$AD$28="EDU")*('2_개행동'!$AU$5:$AU$28&gt;=1)*(3-'2_개행동'!$AU$5:$AU$28))),SUMPRODUCT(MAX(('3_보호자행동'!$AD$5:$AD$15="EDU")*('3_보호자행동'!$AU$5:$AU$15&gt;=1)*(3-'3_보호자행동'!$AU$5:$AU$15))))))</f>
        <v/>
      </c>
      <c r="F22" s="39">
        <f>IF((COUNTIFS('1_바디시그널'!$AD$5:$AD$13,"EDU",'1_바디시그널'!$AY$5:$AY$13,"ONE",'1_바디시그널'!$AU$5:$AU$13,"&gt;=1")+COUNTIFS('2_개행동'!$AD$5:$AD$28,"EDU",'2_개행동'!$AY$5:$AY$28,"ONE",'2_개행동'!$AU$5:$AU$28,"&gt;=1")+COUNTIFS('3_보호자행동'!$AD$5:$AD$15,"EDU",'3_보호자행동'!$AY$5:$AY$15,"ONE",'3_보호자행동'!$AU$5:$AU$15,"&gt;=1"))=0,"",ROUND((SUMIFS('1_바디시그널'!$AU$5:$AU$13,'1_바디시그널'!$AD$5:$AD$13,"EDU",'1_바디시그널'!$AY$5:$AY$13,"ONE",'1_바디시그널'!$AU$5:$AU$13,"&gt;=1")+SUMIFS('2_개행동'!$AU$5:$AU$28,'2_개행동'!$AD$5:$AD$28,"EDU",'2_개행동'!$AY$5:$AY$28,"ONE",'2_개행동'!$AU$5:$AU$28,"&gt;=1")+SUMIFS('3_보호자행동'!$AU$5:$AU$15,'3_보호자행동'!$AD$5:$AD$15,"EDU",'3_보호자행동'!$AY$5:$AY$15,"ONE",'3_보호자행동'!$AU$5:$AU$15,"&gt;=1"))/(COUNTIFS('1_바디시그널'!$AD$5:$AD$13,"EDU",'1_바디시그널'!$AY$5:$AY$13,"ONE",'1_바디시그널'!$AU$5:$AU$13,"&gt;=1")+COUNTIFS('2_개행동'!$AD$5:$AD$28,"EDU",'2_개행동'!$AY$5:$AY$28,"ONE",'2_개행동'!$AU$5:$AU$28,"&gt;=1")+COUNTIFS('3_보호자행동'!$AD$5:$AD$15,"EDU",'3_보호자행동'!$AY$5:$AY$15,"ONE",'3_보호자행동'!$AU$5:$AU$15,"&gt;=1")),2))</f>
        <v/>
      </c>
      <c r="G22" s="48">
        <f>IF((COUNTIFS('1_바디시그널'!$AD$5:$AD$13,"SOC_E",'1_바디시그널'!$AY$5:$AY$13,"BI",'1_바디시그널'!$AU$5:$AU$13,"&gt;=1")+COUNTIFS('2_개행동'!$AD$5:$AD$28,"SOC_E",'2_개행동'!$AY$5:$AY$28,"BI",'2_개행동'!$AU$5:$AU$28,"&gt;=1")+COUNTIFS('3_보호자행동'!$AD$5:$AD$15,"SOC_E",'3_보호자행동'!$AY$5:$AY$15,"BI",'3_보호자행동'!$AU$5:$AU$15,"&gt;=1"))=0,"",ROUND((SUMIFS('1_바디시그널'!$AU$5:$AU$13,'1_바디시그널'!$AD$5:$AD$13,"SOC_E",'1_바디시그널'!$AY$5:$AY$13,"BI",'1_바디시그널'!$AU$5:$AU$13,"&gt;=1")+SUMIFS('2_개행동'!$AU$5:$AU$28,'2_개행동'!$AD$5:$AD$28,"SOC_E",'2_개행동'!$AY$5:$AY$28,"BI",'2_개행동'!$AU$5:$AU$28,"&gt;=1")+SUMIFS('3_보호자행동'!$AU$5:$AU$15,'3_보호자행동'!$AD$5:$AD$15,"SOC_E",'3_보호자행동'!$AY$5:$AY$15,"BI",'3_보호자행동'!$AU$5:$AU$15,"&gt;=1"))/(COUNTIFS('1_바디시그널'!$AD$5:$AD$13,"SOC_E",'1_바디시그널'!$AY$5:$AY$13,"BI",'1_바디시그널'!$AU$5:$AU$13,"&gt;=1")+COUNTIFS('2_개행동'!$AD$5:$AD$28,"SOC_E",'2_개행동'!$AY$5:$AY$28,"BI",'2_개행동'!$AU$5:$AU$28,"&gt;=1")+COUNTIFS('3_보호자행동'!$AD$5:$AD$15,"SOC_E",'3_보호자행동'!$AY$5:$AY$15,"BI",'3_보호자행동'!$AU$5:$AU$15,"&gt;=1"))-3,2))</f>
        <v/>
      </c>
      <c r="H22" s="39">
        <f>IF((COUNTIFS('1_바디시그널'!$AD$5:$AD$13,"SOC_E",'1_바디시그널'!$AU$5:$AU$13,"&gt;=1")+COUNTIFS('2_개행동'!$AD$5:$AD$28,"SOC_E",'2_개행동'!$AU$5:$AU$28,"&gt;=1")+COUNTIFS('3_보호자행동'!$AD$5:$AD$15,"SOC_E",'3_보호자행동'!$AU$5:$AU$15,"&gt;=1"))=0,"",MAX(MAX(SUMPRODUCT(MAX(('1_바디시그널'!$AD$5:$AD$13="SOC_E")*('1_바디시그널'!$AU$5:$AU$13-3))),SUMPRODUCT(MAX(('2_개행동'!$AD$5:$AD$28="SOC_E")*('2_개행동'!$AU$5:$AU$28-3))),SUMPRODUCT(MAX(('3_보호자행동'!$AD$5:$AD$15="SOC_E")*('3_보호자행동'!$AU$5:$AU$15-3)))),MAX(SUMPRODUCT(MAX(('1_바디시그널'!$AD$5:$AD$13="SOC_E")*('1_바디시그널'!$AU$5:$AU$13&gt;=1)*(3-'1_바디시그널'!$AU$5:$AU$13))),SUMPRODUCT(MAX(('2_개행동'!$AD$5:$AD$28="SOC_E")*('2_개행동'!$AU$5:$AU$28&gt;=1)*(3-'2_개행동'!$AU$5:$AU$28))),SUMPRODUCT(MAX(('3_보호자행동'!$AD$5:$AD$15="SOC_E")*('3_보호자행동'!$AU$5:$AU$15&gt;=1)*(3-'3_보호자행동'!$AU$5:$AU$15))))))</f>
        <v/>
      </c>
      <c r="I22" s="39">
        <f>IF((COUNTIFS('1_바디시그널'!$AD$5:$AD$13,"SOC_E",'1_바디시그널'!$AY$5:$AY$13,"ONE",'1_바디시그널'!$AU$5:$AU$13,"&gt;=1")+COUNTIFS('2_개행동'!$AD$5:$AD$28,"SOC_E",'2_개행동'!$AY$5:$AY$28,"ONE",'2_개행동'!$AU$5:$AU$28,"&gt;=1")+COUNTIFS('3_보호자행동'!$AD$5:$AD$15,"SOC_E",'3_보호자행동'!$AY$5:$AY$15,"ONE",'3_보호자행동'!$AU$5:$AU$15,"&gt;=1"))=0,"",ROUND((SUMIFS('1_바디시그널'!$AU$5:$AU$13,'1_바디시그널'!$AD$5:$AD$13,"SOC_E",'1_바디시그널'!$AY$5:$AY$13,"ONE",'1_바디시그널'!$AU$5:$AU$13,"&gt;=1")+SUMIFS('2_개행동'!$AU$5:$AU$28,'2_개행동'!$AD$5:$AD$28,"SOC_E",'2_개행동'!$AY$5:$AY$28,"ONE",'2_개행동'!$AU$5:$AU$28,"&gt;=1")+SUMIFS('3_보호자행동'!$AU$5:$AU$15,'3_보호자행동'!$AD$5:$AD$15,"SOC_E",'3_보호자행동'!$AY$5:$AY$15,"ONE",'3_보호자행동'!$AU$5:$AU$15,"&gt;=1"))/(COUNTIFS('1_바디시그널'!$AD$5:$AD$13,"SOC_E",'1_바디시그널'!$AY$5:$AY$13,"ONE",'1_바디시그널'!$AU$5:$AU$13,"&gt;=1")+COUNTIFS('2_개행동'!$AD$5:$AD$28,"SOC_E",'2_개행동'!$AY$5:$AY$28,"ONE",'2_개행동'!$AU$5:$AU$28,"&gt;=1")+COUNTIFS('3_보호자행동'!$AD$5:$AD$15,"SOC_E",'3_보호자행동'!$AY$5:$AY$15,"ONE",'3_보호자행동'!$AU$5:$AU$15,"&gt;=1")),2))</f>
        <v/>
      </c>
      <c r="J22" s="39">
        <f>IF(OR('2_개행동'!$Z$13="",'2_개행동'!$Z$14=""),"",IF('2_개행동'!$Z$13&gt;=3,IF(ABS('2_개행동'!$Z$14-3)&lt;=1,"편안·우호","우호·들뜸"),IF(ABS('2_개행동'!$Z$14-3)&lt;=1,"담담·거리둠","경계·긴장")))</f>
        <v/>
      </c>
      <c r="K22" s="39">
        <f>IF((COUNTIFS('1_바디시그널'!$AD$5:$AD$13,"SOC_H",'1_바디시그널'!$AU$5:$AU$13,"&gt;=1")+COUNTIFS('2_개행동'!$AD$5:$AD$28,"SOC_H",'2_개행동'!$AU$5:$AU$28,"&gt;=1")+COUNTIFS('3_보호자행동'!$AD$5:$AD$15,"SOC_H",'3_보호자행동'!$AU$5:$AU$15,"&gt;=1"))=0,"",MAX(MAX(SUMPRODUCT(MAX(('1_바디시그널'!$AD$5:$AD$13="SOC_H")*('1_바디시그널'!$AU$5:$AU$13-3))),SUMPRODUCT(MAX(('2_개행동'!$AD$5:$AD$28="SOC_H")*('2_개행동'!$AU$5:$AU$28-3))),SUMPRODUCT(MAX(('3_보호자행동'!$AD$5:$AD$15="SOC_H")*('3_보호자행동'!$AU$5:$AU$15-3)))),MAX(SUMPRODUCT(MAX(('1_바디시그널'!$AD$5:$AD$13="SOC_H")*('1_바디시그널'!$AU$5:$AU$13&gt;=1)*(3-'1_바디시그널'!$AU$5:$AU$13))),SUMPRODUCT(MAX(('2_개행동'!$AD$5:$AD$28="SOC_H")*('2_개행동'!$AU$5:$AU$28&gt;=1)*(3-'2_개행동'!$AU$5:$AU$28))),SUMPRODUCT(MAX(('3_보호자행동'!$AD$5:$AD$15="SOC_H")*('3_보호자행동'!$AU$5:$AU$15&gt;=1)*(3-'3_보호자행동'!$AU$5:$AU$15))))))</f>
        <v/>
      </c>
      <c r="L22" s="39">
        <f>IF((COUNTIFS('1_바디시그널'!$AD$5:$AD$13,"SOC_H",'1_바디시그널'!$AY$5:$AY$13,"ONE",'1_바디시그널'!$AU$5:$AU$13,"&gt;=1")+COUNTIFS('2_개행동'!$AD$5:$AD$28,"SOC_H",'2_개행동'!$AY$5:$AY$28,"ONE",'2_개행동'!$AU$5:$AU$28,"&gt;=1")+COUNTIFS('3_보호자행동'!$AD$5:$AD$15,"SOC_H",'3_보호자행동'!$AY$5:$AY$15,"ONE",'3_보호자행동'!$AU$5:$AU$15,"&gt;=1"))=0,"",ROUND((SUMIFS('1_바디시그널'!$AU$5:$AU$13,'1_바디시그널'!$AD$5:$AD$13,"SOC_H",'1_바디시그널'!$AY$5:$AY$13,"ONE",'1_바디시그널'!$AU$5:$AU$13,"&gt;=1")+SUMIFS('2_개행동'!$AU$5:$AU$28,'2_개행동'!$AD$5:$AD$28,"SOC_H",'2_개행동'!$AY$5:$AY$28,"ONE",'2_개행동'!$AU$5:$AU$28,"&gt;=1")+SUMIFS('3_보호자행동'!$AU$5:$AU$15,'3_보호자행동'!$AD$5:$AD$15,"SOC_H",'3_보호자행동'!$AY$5:$AY$15,"ONE",'3_보호자행동'!$AU$5:$AU$15,"&gt;=1"))/(COUNTIFS('1_바디시그널'!$AD$5:$AD$13,"SOC_H",'1_바디시그널'!$AY$5:$AY$13,"ONE",'1_바디시그널'!$AU$5:$AU$13,"&gt;=1")+COUNTIFS('2_개행동'!$AD$5:$AD$28,"SOC_H",'2_개행동'!$AY$5:$AY$28,"ONE",'2_개행동'!$AU$5:$AU$28,"&gt;=1")+COUNTIFS('3_보호자행동'!$AD$5:$AD$15,"SOC_H",'3_보호자행동'!$AY$5:$AY$15,"ONE",'3_보호자행동'!$AU$5:$AU$15,"&gt;=1")),2))</f>
        <v/>
      </c>
      <c r="M22" s="39">
        <f>IF(OR('2_개행동'!$Z$21="",'2_개행동'!$Z$9="",'2_개행동'!$Z$16="",'2_개행동'!$Z$17=""),"",IF(N('2_개행동'!$Z$20)&gt;=1,"일관되지 않음",IF(AVERAGE('2_개행동'!$Z$21,'2_개행동'!$Z$9,'2_개행동'!$Z$16,'2_개행동'!$Z$18)&lt;=3.5,IF(ABS('2_개행동'!$Z$17-3)&lt;=1,"안정","불안"),IF(ABS('2_개행동'!$Z$17-3)&lt;=1,"거리 둠","일관되지 않음"))))</f>
        <v/>
      </c>
      <c r="N22" s="39">
        <f>IF((COUNTIFS('1_바디시그널'!$AD$5:$AD$13,"ATT",'1_바디시그널'!$AU$5:$AU$13,"&gt;=1")+COUNTIFS('2_개행동'!$AD$5:$AD$28,"ATT",'2_개행동'!$AU$5:$AU$28,"&gt;=1")+COUNTIFS('3_보호자행동'!$AD$5:$AD$15,"ATT",'3_보호자행동'!$AU$5:$AU$15,"&gt;=1"))=0,"",MAX(MAX(SUMPRODUCT(MAX(('1_바디시그널'!$AD$5:$AD$13="ATT")*('1_바디시그널'!$AU$5:$AU$13-3))),SUMPRODUCT(MAX(('2_개행동'!$AD$5:$AD$28="ATT")*('2_개행동'!$AU$5:$AU$28-3))),SUMPRODUCT(MAX(('3_보호자행동'!$AD$5:$AD$15="ATT")*('3_보호자행동'!$AU$5:$AU$15-3)))),MAX(SUMPRODUCT(MAX(('1_바디시그널'!$AD$5:$AD$13="ATT")*('1_바디시그널'!$AU$5:$AU$13&gt;=1)*(3-'1_바디시그널'!$AU$5:$AU$13))),SUMPRODUCT(MAX(('2_개행동'!$AD$5:$AD$28="ATT")*('2_개행동'!$AU$5:$AU$28&gt;=1)*(3-'2_개행동'!$AU$5:$AU$28))),SUMPRODUCT(MAX(('3_보호자행동'!$AD$5:$AD$15="ATT")*('3_보호자행동'!$AU$5:$AU$15&gt;=1)*(3-'3_보호자행동'!$AU$5:$AU$15))))))</f>
        <v/>
      </c>
      <c r="O22" s="39">
        <f>IF((COUNTIFS('1_바디시그널'!$AD$5:$AD$13,"ATT",'1_바디시그널'!$AY$5:$AY$13,"ONE",'1_바디시그널'!$AU$5:$AU$13,"&gt;=1")+COUNTIFS('2_개행동'!$AD$5:$AD$28,"ATT",'2_개행동'!$AY$5:$AY$28,"ONE",'2_개행동'!$AU$5:$AU$28,"&gt;=1")+COUNTIFS('3_보호자행동'!$AD$5:$AD$15,"ATT",'3_보호자행동'!$AY$5:$AY$15,"ONE",'3_보호자행동'!$AU$5:$AU$15,"&gt;=1"))=0,"",ROUND((SUMIFS('1_바디시그널'!$AU$5:$AU$13,'1_바디시그널'!$AD$5:$AD$13,"ATT",'1_바디시그널'!$AY$5:$AY$13,"ONE",'1_바디시그널'!$AU$5:$AU$13,"&gt;=1")+SUMIFS('2_개행동'!$AU$5:$AU$28,'2_개행동'!$AD$5:$AD$28,"ATT",'2_개행동'!$AY$5:$AY$28,"ONE",'2_개행동'!$AU$5:$AU$28,"&gt;=1")+SUMIFS('3_보호자행동'!$AU$5:$AU$15,'3_보호자행동'!$AD$5:$AD$15,"ATT",'3_보호자행동'!$AY$5:$AY$15,"ONE",'3_보호자행동'!$AU$5:$AU$15,"&gt;=1"))/(COUNTIFS('1_바디시그널'!$AD$5:$AD$13,"ATT",'1_바디시그널'!$AY$5:$AY$13,"ONE",'1_바디시그널'!$AU$5:$AU$13,"&gt;=1")+COUNTIFS('2_개행동'!$AD$5:$AD$28,"ATT",'2_개행동'!$AY$5:$AY$28,"ONE",'2_개행동'!$AU$5:$AU$28,"&gt;=1")+COUNTIFS('3_보호자행동'!$AD$5:$AD$15,"ATT",'3_보호자행동'!$AY$5:$AY$15,"ONE",'3_보호자행동'!$AU$5:$AU$15,"&gt;=1")),2))</f>
        <v/>
      </c>
      <c r="P22" s="48">
        <f>IF((COUNTIFS('1_바디시그널'!$AD$5:$AD$13,"SYN",'1_바디시그널'!$AY$5:$AY$13,"BI",'1_바디시그널'!$AU$5:$AU$13,"&gt;=1")+COUNTIFS('2_개행동'!$AD$5:$AD$28,"SYN",'2_개행동'!$AY$5:$AY$28,"BI",'2_개행동'!$AU$5:$AU$28,"&gt;=1")+COUNTIFS('3_보호자행동'!$AD$5:$AD$15,"SYN",'3_보호자행동'!$AY$5:$AY$15,"BI",'3_보호자행동'!$AU$5:$AU$15,"&gt;=1"))=0,"",ROUND((SUMIFS('1_바디시그널'!$AU$5:$AU$13,'1_바디시그널'!$AD$5:$AD$13,"SYN",'1_바디시그널'!$AY$5:$AY$13,"BI",'1_바디시그널'!$AU$5:$AU$13,"&gt;=1")+SUMIFS('2_개행동'!$AU$5:$AU$28,'2_개행동'!$AD$5:$AD$28,"SYN",'2_개행동'!$AY$5:$AY$28,"BI",'2_개행동'!$AU$5:$AU$28,"&gt;=1")+SUMIFS('3_보호자행동'!$AU$5:$AU$15,'3_보호자행동'!$AD$5:$AD$15,"SYN",'3_보호자행동'!$AY$5:$AY$15,"BI",'3_보호자행동'!$AU$5:$AU$15,"&gt;=1"))/(COUNTIFS('1_바디시그널'!$AD$5:$AD$13,"SYN",'1_바디시그널'!$AY$5:$AY$13,"BI",'1_바디시그널'!$AU$5:$AU$13,"&gt;=1")+COUNTIFS('2_개행동'!$AD$5:$AD$28,"SYN",'2_개행동'!$AY$5:$AY$28,"BI",'2_개행동'!$AU$5:$AU$28,"&gt;=1")+COUNTIFS('3_보호자행동'!$AD$5:$AD$15,"SYN",'3_보호자행동'!$AY$5:$AY$15,"BI",'3_보호자행동'!$AU$5:$AU$15,"&gt;=1"))-3,2))</f>
        <v/>
      </c>
      <c r="Q22" s="39">
        <f>IF((COUNTIFS('1_바디시그널'!$AD$5:$AD$13,"SYN",'1_바디시그널'!$AU$5:$AU$13,"&gt;=1")+COUNTIFS('2_개행동'!$AD$5:$AD$28,"SYN",'2_개행동'!$AU$5:$AU$28,"&gt;=1")+COUNTIFS('3_보호자행동'!$AD$5:$AD$15,"SYN",'3_보호자행동'!$AU$5:$AU$15,"&gt;=1"))=0,"",MAX(MAX(SUMPRODUCT(MAX(('1_바디시그널'!$AD$5:$AD$13="SYN")*('1_바디시그널'!$AU$5:$AU$13-3))),SUMPRODUCT(MAX(('2_개행동'!$AD$5:$AD$28="SYN")*('2_개행동'!$AU$5:$AU$28-3))),SUMPRODUCT(MAX(('3_보호자행동'!$AD$5:$AD$15="SYN")*('3_보호자행동'!$AU$5:$AU$15-3)))),MAX(SUMPRODUCT(MAX(('1_바디시그널'!$AD$5:$AD$13="SYN")*('1_바디시그널'!$AU$5:$AU$13&gt;=1)*(3-'1_바디시그널'!$AU$5:$AU$13))),SUMPRODUCT(MAX(('2_개행동'!$AD$5:$AD$28="SYN")*('2_개행동'!$AU$5:$AU$28&gt;=1)*(3-'2_개행동'!$AU$5:$AU$28))),SUMPRODUCT(MAX(('3_보호자행동'!$AD$5:$AD$15="SYN")*('3_보호자행동'!$AU$5:$AU$15&gt;=1)*(3-'3_보호자행동'!$AU$5:$AU$15))))))</f>
        <v/>
      </c>
      <c r="R22" s="39">
        <f>IF((COUNTIFS('1_바디시그널'!$AD$5:$AD$13,"SYN",'1_바디시그널'!$AY$5:$AY$13,"ONE",'1_바디시그널'!$AU$5:$AU$13,"&gt;=1")+COUNTIFS('2_개행동'!$AD$5:$AD$28,"SYN",'2_개행동'!$AY$5:$AY$28,"ONE",'2_개행동'!$AU$5:$AU$28,"&gt;=1")+COUNTIFS('3_보호자행동'!$AD$5:$AD$15,"SYN",'3_보호자행동'!$AY$5:$AY$15,"ONE",'3_보호자행동'!$AU$5:$AU$15,"&gt;=1"))=0,"",ROUND((SUMIFS('1_바디시그널'!$AU$5:$AU$13,'1_바디시그널'!$AD$5:$AD$13,"SYN",'1_바디시그널'!$AY$5:$AY$13,"ONE",'1_바디시그널'!$AU$5:$AU$13,"&gt;=1")+SUMIFS('2_개행동'!$AU$5:$AU$28,'2_개행동'!$AD$5:$AD$28,"SYN",'2_개행동'!$AY$5:$AY$28,"ONE",'2_개행동'!$AU$5:$AU$28,"&gt;=1")+SUMIFS('3_보호자행동'!$AU$5:$AU$15,'3_보호자행동'!$AD$5:$AD$15,"SYN",'3_보호자행동'!$AY$5:$AY$15,"ONE",'3_보호자행동'!$AU$5:$AU$15,"&gt;=1"))/(COUNTIFS('1_바디시그널'!$AD$5:$AD$13,"SYN",'1_바디시그널'!$AY$5:$AY$13,"ONE",'1_바디시그널'!$AU$5:$AU$13,"&gt;=1")+COUNTIFS('2_개행동'!$AD$5:$AD$28,"SYN",'2_개행동'!$AY$5:$AY$28,"ONE",'2_개행동'!$AU$5:$AU$28,"&gt;=1")+COUNTIFS('3_보호자행동'!$AD$5:$AD$15,"SYN",'3_보호자행동'!$AY$5:$AY$15,"ONE",'3_보호자행동'!$AU$5:$AU$15,"&gt;=1")),2))</f>
        <v/>
      </c>
      <c r="S22" s="48">
        <f>IF((COUNTIFS('1_바디시그널'!$AD$5:$AD$13,"EXIT",'1_바디시그널'!$AY$5:$AY$13,"BI",'1_바디시그널'!$AU$5:$AU$13,"&gt;=1")+COUNTIFS('2_개행동'!$AD$5:$AD$28,"EXIT",'2_개행동'!$AY$5:$AY$28,"BI",'2_개행동'!$AU$5:$AU$28,"&gt;=1")+COUNTIFS('3_보호자행동'!$AD$5:$AD$15,"EXIT",'3_보호자행동'!$AY$5:$AY$15,"BI",'3_보호자행동'!$AU$5:$AU$15,"&gt;=1"))=0,"",ROUND((SUMIFS('1_바디시그널'!$AU$5:$AU$13,'1_바디시그널'!$AD$5:$AD$13,"EXIT",'1_바디시그널'!$AY$5:$AY$13,"BI",'1_바디시그널'!$AU$5:$AU$13,"&gt;=1")+SUMIFS('2_개행동'!$AU$5:$AU$28,'2_개행동'!$AD$5:$AD$28,"EXIT",'2_개행동'!$AY$5:$AY$28,"BI",'2_개행동'!$AU$5:$AU$28,"&gt;=1")+SUMIFS('3_보호자행동'!$AU$5:$AU$15,'3_보호자행동'!$AD$5:$AD$15,"EXIT",'3_보호자행동'!$AY$5:$AY$15,"BI",'3_보호자행동'!$AU$5:$AU$15,"&gt;=1"))/(COUNTIFS('1_바디시그널'!$AD$5:$AD$13,"EXIT",'1_바디시그널'!$AY$5:$AY$13,"BI",'1_바디시그널'!$AU$5:$AU$13,"&gt;=1")+COUNTIFS('2_개행동'!$AD$5:$AD$28,"EXIT",'2_개행동'!$AY$5:$AY$28,"BI",'2_개행동'!$AU$5:$AU$28,"&gt;=1")+COUNTIFS('3_보호자행동'!$AD$5:$AD$15,"EXIT",'3_보호자행동'!$AY$5:$AY$15,"BI",'3_보호자행동'!$AU$5:$AU$15,"&gt;=1"))-3,2))</f>
        <v/>
      </c>
      <c r="T22" s="39">
        <f>IF((COUNTIFS('1_바디시그널'!$AD$5:$AD$13,"EXIT",'1_바디시그널'!$AU$5:$AU$13,"&gt;=1")+COUNTIFS('2_개행동'!$AD$5:$AD$28,"EXIT",'2_개행동'!$AU$5:$AU$28,"&gt;=1")+COUNTIFS('3_보호자행동'!$AD$5:$AD$15,"EXIT",'3_보호자행동'!$AU$5:$AU$15,"&gt;=1"))=0,"",MAX(MAX(SUMPRODUCT(MAX(('1_바디시그널'!$AD$5:$AD$13="EXIT")*('1_바디시그널'!$AU$5:$AU$13-3))),SUMPRODUCT(MAX(('2_개행동'!$AD$5:$AD$28="EXIT")*('2_개행동'!$AU$5:$AU$28-3))),SUMPRODUCT(MAX(('3_보호자행동'!$AD$5:$AD$15="EXIT")*('3_보호자행동'!$AU$5:$AU$15-3)))),MAX(SUMPRODUCT(MAX(('1_바디시그널'!$AD$5:$AD$13="EXIT")*('1_바디시그널'!$AU$5:$AU$13&gt;=1)*(3-'1_바디시그널'!$AU$5:$AU$13))),SUMPRODUCT(MAX(('2_개행동'!$AD$5:$AD$28="EXIT")*('2_개행동'!$AU$5:$AU$28&gt;=1)*(3-'2_개행동'!$AU$5:$AU$28))),SUMPRODUCT(MAX(('3_보호자행동'!$AD$5:$AD$15="EXIT")*('3_보호자행동'!$AU$5:$AU$15&gt;=1)*(3-'3_보호자행동'!$AU$5:$AU$15))))))</f>
        <v/>
      </c>
      <c r="U22" s="39">
        <f>IF((COUNTIFS('1_바디시그널'!$AD$5:$AD$13,"EXIT",'1_바디시그널'!$AY$5:$AY$13,"ONE",'1_바디시그널'!$AU$5:$AU$13,"&gt;=1")+COUNTIFS('2_개행동'!$AD$5:$AD$28,"EXIT",'2_개행동'!$AY$5:$AY$28,"ONE",'2_개행동'!$AU$5:$AU$28,"&gt;=1")+COUNTIFS('3_보호자행동'!$AD$5:$AD$15,"EXIT",'3_보호자행동'!$AY$5:$AY$15,"ONE",'3_보호자행동'!$AU$5:$AU$15,"&gt;=1"))=0,"",ROUND((SUMIFS('1_바디시그널'!$AU$5:$AU$13,'1_바디시그널'!$AD$5:$AD$13,"EXIT",'1_바디시그널'!$AY$5:$AY$13,"ONE",'1_바디시그널'!$AU$5:$AU$13,"&gt;=1")+SUMIFS('2_개행동'!$AU$5:$AU$28,'2_개행동'!$AD$5:$AD$28,"EXIT",'2_개행동'!$AY$5:$AY$28,"ONE",'2_개행동'!$AU$5:$AU$28,"&gt;=1")+SUMIFS('3_보호자행동'!$AU$5:$AU$15,'3_보호자행동'!$AD$5:$AD$15,"EXIT",'3_보호자행동'!$AY$5:$AY$15,"ONE",'3_보호자행동'!$AU$5:$AU$15,"&gt;=1"))/(COUNTIFS('1_바디시그널'!$AD$5:$AD$13,"EXIT",'1_바디시그널'!$AY$5:$AY$13,"ONE",'1_바디시그널'!$AU$5:$AU$13,"&gt;=1")+COUNTIFS('2_개행동'!$AD$5:$AD$28,"EXIT",'2_개행동'!$AY$5:$AY$28,"ONE",'2_개행동'!$AU$5:$AU$28,"&gt;=1")+COUNTIFS('3_보호자행동'!$AD$5:$AD$15,"EXIT",'3_보호자행동'!$AY$5:$AY$15,"ONE",'3_보호자행동'!$AU$5:$AU$15,"&gt;=1")),2))</f>
        <v/>
      </c>
      <c r="V22" s="49">
        <f>IF(OR('2_개행동'!$Z$8="",'2_개행동'!$Z$22=""),"",ABS('2_개행동'!$Z$8-3)-ABS('2_개행동'!$Z$22-3))</f>
        <v/>
      </c>
      <c r="W22" s="49">
        <f>IF(OR('2_개행동'!$Z$10="",'2_개행동'!$Z$17=""),"",ABS('2_개행동'!$Z$10-3)-ABS('2_개행동'!$Z$17-3))</f>
        <v/>
      </c>
      <c r="X22" s="49">
        <f>IF(OR('2_개행동'!$Z$10="",'2_개행동'!$Z$14=""),"",ABS('2_개행동'!$Z$10-3)-ABS('2_개행동'!$Z$14-3))</f>
        <v/>
      </c>
      <c r="Y22" s="39">
        <f>IF('2_개행동'!$Z$8="","",'2_개행동'!$Z$8)</f>
        <v/>
      </c>
      <c r="Z22" s="40">
        <f>IF('2_개행동'!$Z$25="","",IF('3_보호자행동'!$Z$13=3,"무효",'2_개행동'!$Z$25/6))</f>
        <v/>
      </c>
      <c r="AA22" s="35" t="n"/>
    </row>
    <row r="23">
      <c r="A23" s="39" t="n">
        <v>18</v>
      </c>
      <c r="B23" s="39" t="n"/>
      <c r="C23" s="39" t="n"/>
      <c r="D23" s="48">
        <f>IF((COUNTIFS('1_바디시그널'!$AD$5:$AD$13,"EDU",'1_바디시그널'!$AY$5:$AY$13,"BI",'1_바디시그널'!$AV$5:$AV$13,"&gt;=1")+COUNTIFS('2_개행동'!$AD$5:$AD$28,"EDU",'2_개행동'!$AY$5:$AY$28,"BI",'2_개행동'!$AV$5:$AV$28,"&gt;=1")+COUNTIFS('3_보호자행동'!$AD$5:$AD$15,"EDU",'3_보호자행동'!$AY$5:$AY$15,"BI",'3_보호자행동'!$AV$5:$AV$15,"&gt;=1"))=0,"",ROUND((SUMIFS('1_바디시그널'!$AV$5:$AV$13,'1_바디시그널'!$AD$5:$AD$13,"EDU",'1_바디시그널'!$AY$5:$AY$13,"BI",'1_바디시그널'!$AV$5:$AV$13,"&gt;=1")+SUMIFS('2_개행동'!$AV$5:$AV$28,'2_개행동'!$AD$5:$AD$28,"EDU",'2_개행동'!$AY$5:$AY$28,"BI",'2_개행동'!$AV$5:$AV$28,"&gt;=1")+SUMIFS('3_보호자행동'!$AV$5:$AV$15,'3_보호자행동'!$AD$5:$AD$15,"EDU",'3_보호자행동'!$AY$5:$AY$15,"BI",'3_보호자행동'!$AV$5:$AV$15,"&gt;=1"))/(COUNTIFS('1_바디시그널'!$AD$5:$AD$13,"EDU",'1_바디시그널'!$AY$5:$AY$13,"BI",'1_바디시그널'!$AV$5:$AV$13,"&gt;=1")+COUNTIFS('2_개행동'!$AD$5:$AD$28,"EDU",'2_개행동'!$AY$5:$AY$28,"BI",'2_개행동'!$AV$5:$AV$28,"&gt;=1")+COUNTIFS('3_보호자행동'!$AD$5:$AD$15,"EDU",'3_보호자행동'!$AY$5:$AY$15,"BI",'3_보호자행동'!$AV$5:$AV$15,"&gt;=1"))-3,2))</f>
        <v/>
      </c>
      <c r="E23" s="39">
        <f>IF((COUNTIFS('1_바디시그널'!$AD$5:$AD$13,"EDU",'1_바디시그널'!$AV$5:$AV$13,"&gt;=1")+COUNTIFS('2_개행동'!$AD$5:$AD$28,"EDU",'2_개행동'!$AV$5:$AV$28,"&gt;=1")+COUNTIFS('3_보호자행동'!$AD$5:$AD$15,"EDU",'3_보호자행동'!$AV$5:$AV$15,"&gt;=1"))=0,"",MAX(MAX(SUMPRODUCT(MAX(('1_바디시그널'!$AD$5:$AD$13="EDU")*('1_바디시그널'!$AV$5:$AV$13-3))),SUMPRODUCT(MAX(('2_개행동'!$AD$5:$AD$28="EDU")*('2_개행동'!$AV$5:$AV$28-3))),SUMPRODUCT(MAX(('3_보호자행동'!$AD$5:$AD$15="EDU")*('3_보호자행동'!$AV$5:$AV$15-3)))),MAX(SUMPRODUCT(MAX(('1_바디시그널'!$AD$5:$AD$13="EDU")*('1_바디시그널'!$AV$5:$AV$13&gt;=1)*(3-'1_바디시그널'!$AV$5:$AV$13))),SUMPRODUCT(MAX(('2_개행동'!$AD$5:$AD$28="EDU")*('2_개행동'!$AV$5:$AV$28&gt;=1)*(3-'2_개행동'!$AV$5:$AV$28))),SUMPRODUCT(MAX(('3_보호자행동'!$AD$5:$AD$15="EDU")*('3_보호자행동'!$AV$5:$AV$15&gt;=1)*(3-'3_보호자행동'!$AV$5:$AV$15))))))</f>
        <v/>
      </c>
      <c r="F23" s="39">
        <f>IF((COUNTIFS('1_바디시그널'!$AD$5:$AD$13,"EDU",'1_바디시그널'!$AY$5:$AY$13,"ONE",'1_바디시그널'!$AV$5:$AV$13,"&gt;=1")+COUNTIFS('2_개행동'!$AD$5:$AD$28,"EDU",'2_개행동'!$AY$5:$AY$28,"ONE",'2_개행동'!$AV$5:$AV$28,"&gt;=1")+COUNTIFS('3_보호자행동'!$AD$5:$AD$15,"EDU",'3_보호자행동'!$AY$5:$AY$15,"ONE",'3_보호자행동'!$AV$5:$AV$15,"&gt;=1"))=0,"",ROUND((SUMIFS('1_바디시그널'!$AV$5:$AV$13,'1_바디시그널'!$AD$5:$AD$13,"EDU",'1_바디시그널'!$AY$5:$AY$13,"ONE",'1_바디시그널'!$AV$5:$AV$13,"&gt;=1")+SUMIFS('2_개행동'!$AV$5:$AV$28,'2_개행동'!$AD$5:$AD$28,"EDU",'2_개행동'!$AY$5:$AY$28,"ONE",'2_개행동'!$AV$5:$AV$28,"&gt;=1")+SUMIFS('3_보호자행동'!$AV$5:$AV$15,'3_보호자행동'!$AD$5:$AD$15,"EDU",'3_보호자행동'!$AY$5:$AY$15,"ONE",'3_보호자행동'!$AV$5:$AV$15,"&gt;=1"))/(COUNTIFS('1_바디시그널'!$AD$5:$AD$13,"EDU",'1_바디시그널'!$AY$5:$AY$13,"ONE",'1_바디시그널'!$AV$5:$AV$13,"&gt;=1")+COUNTIFS('2_개행동'!$AD$5:$AD$28,"EDU",'2_개행동'!$AY$5:$AY$28,"ONE",'2_개행동'!$AV$5:$AV$28,"&gt;=1")+COUNTIFS('3_보호자행동'!$AD$5:$AD$15,"EDU",'3_보호자행동'!$AY$5:$AY$15,"ONE",'3_보호자행동'!$AV$5:$AV$15,"&gt;=1")),2))</f>
        <v/>
      </c>
      <c r="G23" s="48">
        <f>IF((COUNTIFS('1_바디시그널'!$AD$5:$AD$13,"SOC_E",'1_바디시그널'!$AY$5:$AY$13,"BI",'1_바디시그널'!$AV$5:$AV$13,"&gt;=1")+COUNTIFS('2_개행동'!$AD$5:$AD$28,"SOC_E",'2_개행동'!$AY$5:$AY$28,"BI",'2_개행동'!$AV$5:$AV$28,"&gt;=1")+COUNTIFS('3_보호자행동'!$AD$5:$AD$15,"SOC_E",'3_보호자행동'!$AY$5:$AY$15,"BI",'3_보호자행동'!$AV$5:$AV$15,"&gt;=1"))=0,"",ROUND((SUMIFS('1_바디시그널'!$AV$5:$AV$13,'1_바디시그널'!$AD$5:$AD$13,"SOC_E",'1_바디시그널'!$AY$5:$AY$13,"BI",'1_바디시그널'!$AV$5:$AV$13,"&gt;=1")+SUMIFS('2_개행동'!$AV$5:$AV$28,'2_개행동'!$AD$5:$AD$28,"SOC_E",'2_개행동'!$AY$5:$AY$28,"BI",'2_개행동'!$AV$5:$AV$28,"&gt;=1")+SUMIFS('3_보호자행동'!$AV$5:$AV$15,'3_보호자행동'!$AD$5:$AD$15,"SOC_E",'3_보호자행동'!$AY$5:$AY$15,"BI",'3_보호자행동'!$AV$5:$AV$15,"&gt;=1"))/(COUNTIFS('1_바디시그널'!$AD$5:$AD$13,"SOC_E",'1_바디시그널'!$AY$5:$AY$13,"BI",'1_바디시그널'!$AV$5:$AV$13,"&gt;=1")+COUNTIFS('2_개행동'!$AD$5:$AD$28,"SOC_E",'2_개행동'!$AY$5:$AY$28,"BI",'2_개행동'!$AV$5:$AV$28,"&gt;=1")+COUNTIFS('3_보호자행동'!$AD$5:$AD$15,"SOC_E",'3_보호자행동'!$AY$5:$AY$15,"BI",'3_보호자행동'!$AV$5:$AV$15,"&gt;=1"))-3,2))</f>
        <v/>
      </c>
      <c r="H23" s="39">
        <f>IF((COUNTIFS('1_바디시그널'!$AD$5:$AD$13,"SOC_E",'1_바디시그널'!$AV$5:$AV$13,"&gt;=1")+COUNTIFS('2_개행동'!$AD$5:$AD$28,"SOC_E",'2_개행동'!$AV$5:$AV$28,"&gt;=1")+COUNTIFS('3_보호자행동'!$AD$5:$AD$15,"SOC_E",'3_보호자행동'!$AV$5:$AV$15,"&gt;=1"))=0,"",MAX(MAX(SUMPRODUCT(MAX(('1_바디시그널'!$AD$5:$AD$13="SOC_E")*('1_바디시그널'!$AV$5:$AV$13-3))),SUMPRODUCT(MAX(('2_개행동'!$AD$5:$AD$28="SOC_E")*('2_개행동'!$AV$5:$AV$28-3))),SUMPRODUCT(MAX(('3_보호자행동'!$AD$5:$AD$15="SOC_E")*('3_보호자행동'!$AV$5:$AV$15-3)))),MAX(SUMPRODUCT(MAX(('1_바디시그널'!$AD$5:$AD$13="SOC_E")*('1_바디시그널'!$AV$5:$AV$13&gt;=1)*(3-'1_바디시그널'!$AV$5:$AV$13))),SUMPRODUCT(MAX(('2_개행동'!$AD$5:$AD$28="SOC_E")*('2_개행동'!$AV$5:$AV$28&gt;=1)*(3-'2_개행동'!$AV$5:$AV$28))),SUMPRODUCT(MAX(('3_보호자행동'!$AD$5:$AD$15="SOC_E")*('3_보호자행동'!$AV$5:$AV$15&gt;=1)*(3-'3_보호자행동'!$AV$5:$AV$15))))))</f>
        <v/>
      </c>
      <c r="I23" s="39">
        <f>IF((COUNTIFS('1_바디시그널'!$AD$5:$AD$13,"SOC_E",'1_바디시그널'!$AY$5:$AY$13,"ONE",'1_바디시그널'!$AV$5:$AV$13,"&gt;=1")+COUNTIFS('2_개행동'!$AD$5:$AD$28,"SOC_E",'2_개행동'!$AY$5:$AY$28,"ONE",'2_개행동'!$AV$5:$AV$28,"&gt;=1")+COUNTIFS('3_보호자행동'!$AD$5:$AD$15,"SOC_E",'3_보호자행동'!$AY$5:$AY$15,"ONE",'3_보호자행동'!$AV$5:$AV$15,"&gt;=1"))=0,"",ROUND((SUMIFS('1_바디시그널'!$AV$5:$AV$13,'1_바디시그널'!$AD$5:$AD$13,"SOC_E",'1_바디시그널'!$AY$5:$AY$13,"ONE",'1_바디시그널'!$AV$5:$AV$13,"&gt;=1")+SUMIFS('2_개행동'!$AV$5:$AV$28,'2_개행동'!$AD$5:$AD$28,"SOC_E",'2_개행동'!$AY$5:$AY$28,"ONE",'2_개행동'!$AV$5:$AV$28,"&gt;=1")+SUMIFS('3_보호자행동'!$AV$5:$AV$15,'3_보호자행동'!$AD$5:$AD$15,"SOC_E",'3_보호자행동'!$AY$5:$AY$15,"ONE",'3_보호자행동'!$AV$5:$AV$15,"&gt;=1"))/(COUNTIFS('1_바디시그널'!$AD$5:$AD$13,"SOC_E",'1_바디시그널'!$AY$5:$AY$13,"ONE",'1_바디시그널'!$AV$5:$AV$13,"&gt;=1")+COUNTIFS('2_개행동'!$AD$5:$AD$28,"SOC_E",'2_개행동'!$AY$5:$AY$28,"ONE",'2_개행동'!$AV$5:$AV$28,"&gt;=1")+COUNTIFS('3_보호자행동'!$AD$5:$AD$15,"SOC_E",'3_보호자행동'!$AY$5:$AY$15,"ONE",'3_보호자행동'!$AV$5:$AV$15,"&gt;=1")),2))</f>
        <v/>
      </c>
      <c r="J23" s="39">
        <f>IF(OR('2_개행동'!$AA$13="",'2_개행동'!$AA$14=""),"",IF('2_개행동'!$AA$13&gt;=3,IF(ABS('2_개행동'!$AA$14-3)&lt;=1,"편안·우호","우호·들뜸"),IF(ABS('2_개행동'!$AA$14-3)&lt;=1,"담담·거리둠","경계·긴장")))</f>
        <v/>
      </c>
      <c r="K23" s="39">
        <f>IF((COUNTIFS('1_바디시그널'!$AD$5:$AD$13,"SOC_H",'1_바디시그널'!$AV$5:$AV$13,"&gt;=1")+COUNTIFS('2_개행동'!$AD$5:$AD$28,"SOC_H",'2_개행동'!$AV$5:$AV$28,"&gt;=1")+COUNTIFS('3_보호자행동'!$AD$5:$AD$15,"SOC_H",'3_보호자행동'!$AV$5:$AV$15,"&gt;=1"))=0,"",MAX(MAX(SUMPRODUCT(MAX(('1_바디시그널'!$AD$5:$AD$13="SOC_H")*('1_바디시그널'!$AV$5:$AV$13-3))),SUMPRODUCT(MAX(('2_개행동'!$AD$5:$AD$28="SOC_H")*('2_개행동'!$AV$5:$AV$28-3))),SUMPRODUCT(MAX(('3_보호자행동'!$AD$5:$AD$15="SOC_H")*('3_보호자행동'!$AV$5:$AV$15-3)))),MAX(SUMPRODUCT(MAX(('1_바디시그널'!$AD$5:$AD$13="SOC_H")*('1_바디시그널'!$AV$5:$AV$13&gt;=1)*(3-'1_바디시그널'!$AV$5:$AV$13))),SUMPRODUCT(MAX(('2_개행동'!$AD$5:$AD$28="SOC_H")*('2_개행동'!$AV$5:$AV$28&gt;=1)*(3-'2_개행동'!$AV$5:$AV$28))),SUMPRODUCT(MAX(('3_보호자행동'!$AD$5:$AD$15="SOC_H")*('3_보호자행동'!$AV$5:$AV$15&gt;=1)*(3-'3_보호자행동'!$AV$5:$AV$15))))))</f>
        <v/>
      </c>
      <c r="L23" s="39">
        <f>IF((COUNTIFS('1_바디시그널'!$AD$5:$AD$13,"SOC_H",'1_바디시그널'!$AY$5:$AY$13,"ONE",'1_바디시그널'!$AV$5:$AV$13,"&gt;=1")+COUNTIFS('2_개행동'!$AD$5:$AD$28,"SOC_H",'2_개행동'!$AY$5:$AY$28,"ONE",'2_개행동'!$AV$5:$AV$28,"&gt;=1")+COUNTIFS('3_보호자행동'!$AD$5:$AD$15,"SOC_H",'3_보호자행동'!$AY$5:$AY$15,"ONE",'3_보호자행동'!$AV$5:$AV$15,"&gt;=1"))=0,"",ROUND((SUMIFS('1_바디시그널'!$AV$5:$AV$13,'1_바디시그널'!$AD$5:$AD$13,"SOC_H",'1_바디시그널'!$AY$5:$AY$13,"ONE",'1_바디시그널'!$AV$5:$AV$13,"&gt;=1")+SUMIFS('2_개행동'!$AV$5:$AV$28,'2_개행동'!$AD$5:$AD$28,"SOC_H",'2_개행동'!$AY$5:$AY$28,"ONE",'2_개행동'!$AV$5:$AV$28,"&gt;=1")+SUMIFS('3_보호자행동'!$AV$5:$AV$15,'3_보호자행동'!$AD$5:$AD$15,"SOC_H",'3_보호자행동'!$AY$5:$AY$15,"ONE",'3_보호자행동'!$AV$5:$AV$15,"&gt;=1"))/(COUNTIFS('1_바디시그널'!$AD$5:$AD$13,"SOC_H",'1_바디시그널'!$AY$5:$AY$13,"ONE",'1_바디시그널'!$AV$5:$AV$13,"&gt;=1")+COUNTIFS('2_개행동'!$AD$5:$AD$28,"SOC_H",'2_개행동'!$AY$5:$AY$28,"ONE",'2_개행동'!$AV$5:$AV$28,"&gt;=1")+COUNTIFS('3_보호자행동'!$AD$5:$AD$15,"SOC_H",'3_보호자행동'!$AY$5:$AY$15,"ONE",'3_보호자행동'!$AV$5:$AV$15,"&gt;=1")),2))</f>
        <v/>
      </c>
      <c r="M23" s="39">
        <f>IF(OR('2_개행동'!$AA$21="",'2_개행동'!$AA$9="",'2_개행동'!$AA$16="",'2_개행동'!$AA$17=""),"",IF(N('2_개행동'!$AA$20)&gt;=1,"일관되지 않음",IF(AVERAGE('2_개행동'!$AA$21,'2_개행동'!$AA$9,'2_개행동'!$AA$16,'2_개행동'!$AA$18)&lt;=3.5,IF(ABS('2_개행동'!$AA$17-3)&lt;=1,"안정","불안"),IF(ABS('2_개행동'!$AA$17-3)&lt;=1,"거리 둠","일관되지 않음"))))</f>
        <v/>
      </c>
      <c r="N23" s="39">
        <f>IF((COUNTIFS('1_바디시그널'!$AD$5:$AD$13,"ATT",'1_바디시그널'!$AV$5:$AV$13,"&gt;=1")+COUNTIFS('2_개행동'!$AD$5:$AD$28,"ATT",'2_개행동'!$AV$5:$AV$28,"&gt;=1")+COUNTIFS('3_보호자행동'!$AD$5:$AD$15,"ATT",'3_보호자행동'!$AV$5:$AV$15,"&gt;=1"))=0,"",MAX(MAX(SUMPRODUCT(MAX(('1_바디시그널'!$AD$5:$AD$13="ATT")*('1_바디시그널'!$AV$5:$AV$13-3))),SUMPRODUCT(MAX(('2_개행동'!$AD$5:$AD$28="ATT")*('2_개행동'!$AV$5:$AV$28-3))),SUMPRODUCT(MAX(('3_보호자행동'!$AD$5:$AD$15="ATT")*('3_보호자행동'!$AV$5:$AV$15-3)))),MAX(SUMPRODUCT(MAX(('1_바디시그널'!$AD$5:$AD$13="ATT")*('1_바디시그널'!$AV$5:$AV$13&gt;=1)*(3-'1_바디시그널'!$AV$5:$AV$13))),SUMPRODUCT(MAX(('2_개행동'!$AD$5:$AD$28="ATT")*('2_개행동'!$AV$5:$AV$28&gt;=1)*(3-'2_개행동'!$AV$5:$AV$28))),SUMPRODUCT(MAX(('3_보호자행동'!$AD$5:$AD$15="ATT")*('3_보호자행동'!$AV$5:$AV$15&gt;=1)*(3-'3_보호자행동'!$AV$5:$AV$15))))))</f>
        <v/>
      </c>
      <c r="O23" s="39">
        <f>IF((COUNTIFS('1_바디시그널'!$AD$5:$AD$13,"ATT",'1_바디시그널'!$AY$5:$AY$13,"ONE",'1_바디시그널'!$AV$5:$AV$13,"&gt;=1")+COUNTIFS('2_개행동'!$AD$5:$AD$28,"ATT",'2_개행동'!$AY$5:$AY$28,"ONE",'2_개행동'!$AV$5:$AV$28,"&gt;=1")+COUNTIFS('3_보호자행동'!$AD$5:$AD$15,"ATT",'3_보호자행동'!$AY$5:$AY$15,"ONE",'3_보호자행동'!$AV$5:$AV$15,"&gt;=1"))=0,"",ROUND((SUMIFS('1_바디시그널'!$AV$5:$AV$13,'1_바디시그널'!$AD$5:$AD$13,"ATT",'1_바디시그널'!$AY$5:$AY$13,"ONE",'1_바디시그널'!$AV$5:$AV$13,"&gt;=1")+SUMIFS('2_개행동'!$AV$5:$AV$28,'2_개행동'!$AD$5:$AD$28,"ATT",'2_개행동'!$AY$5:$AY$28,"ONE",'2_개행동'!$AV$5:$AV$28,"&gt;=1")+SUMIFS('3_보호자행동'!$AV$5:$AV$15,'3_보호자행동'!$AD$5:$AD$15,"ATT",'3_보호자행동'!$AY$5:$AY$15,"ONE",'3_보호자행동'!$AV$5:$AV$15,"&gt;=1"))/(COUNTIFS('1_바디시그널'!$AD$5:$AD$13,"ATT",'1_바디시그널'!$AY$5:$AY$13,"ONE",'1_바디시그널'!$AV$5:$AV$13,"&gt;=1")+COUNTIFS('2_개행동'!$AD$5:$AD$28,"ATT",'2_개행동'!$AY$5:$AY$28,"ONE",'2_개행동'!$AV$5:$AV$28,"&gt;=1")+COUNTIFS('3_보호자행동'!$AD$5:$AD$15,"ATT",'3_보호자행동'!$AY$5:$AY$15,"ONE",'3_보호자행동'!$AV$5:$AV$15,"&gt;=1")),2))</f>
        <v/>
      </c>
      <c r="P23" s="48">
        <f>IF((COUNTIFS('1_바디시그널'!$AD$5:$AD$13,"SYN",'1_바디시그널'!$AY$5:$AY$13,"BI",'1_바디시그널'!$AV$5:$AV$13,"&gt;=1")+COUNTIFS('2_개행동'!$AD$5:$AD$28,"SYN",'2_개행동'!$AY$5:$AY$28,"BI",'2_개행동'!$AV$5:$AV$28,"&gt;=1")+COUNTIFS('3_보호자행동'!$AD$5:$AD$15,"SYN",'3_보호자행동'!$AY$5:$AY$15,"BI",'3_보호자행동'!$AV$5:$AV$15,"&gt;=1"))=0,"",ROUND((SUMIFS('1_바디시그널'!$AV$5:$AV$13,'1_바디시그널'!$AD$5:$AD$13,"SYN",'1_바디시그널'!$AY$5:$AY$13,"BI",'1_바디시그널'!$AV$5:$AV$13,"&gt;=1")+SUMIFS('2_개행동'!$AV$5:$AV$28,'2_개행동'!$AD$5:$AD$28,"SYN",'2_개행동'!$AY$5:$AY$28,"BI",'2_개행동'!$AV$5:$AV$28,"&gt;=1")+SUMIFS('3_보호자행동'!$AV$5:$AV$15,'3_보호자행동'!$AD$5:$AD$15,"SYN",'3_보호자행동'!$AY$5:$AY$15,"BI",'3_보호자행동'!$AV$5:$AV$15,"&gt;=1"))/(COUNTIFS('1_바디시그널'!$AD$5:$AD$13,"SYN",'1_바디시그널'!$AY$5:$AY$13,"BI",'1_바디시그널'!$AV$5:$AV$13,"&gt;=1")+COUNTIFS('2_개행동'!$AD$5:$AD$28,"SYN",'2_개행동'!$AY$5:$AY$28,"BI",'2_개행동'!$AV$5:$AV$28,"&gt;=1")+COUNTIFS('3_보호자행동'!$AD$5:$AD$15,"SYN",'3_보호자행동'!$AY$5:$AY$15,"BI",'3_보호자행동'!$AV$5:$AV$15,"&gt;=1"))-3,2))</f>
        <v/>
      </c>
      <c r="Q23" s="39">
        <f>IF((COUNTIFS('1_바디시그널'!$AD$5:$AD$13,"SYN",'1_바디시그널'!$AV$5:$AV$13,"&gt;=1")+COUNTIFS('2_개행동'!$AD$5:$AD$28,"SYN",'2_개행동'!$AV$5:$AV$28,"&gt;=1")+COUNTIFS('3_보호자행동'!$AD$5:$AD$15,"SYN",'3_보호자행동'!$AV$5:$AV$15,"&gt;=1"))=0,"",MAX(MAX(SUMPRODUCT(MAX(('1_바디시그널'!$AD$5:$AD$13="SYN")*('1_바디시그널'!$AV$5:$AV$13-3))),SUMPRODUCT(MAX(('2_개행동'!$AD$5:$AD$28="SYN")*('2_개행동'!$AV$5:$AV$28-3))),SUMPRODUCT(MAX(('3_보호자행동'!$AD$5:$AD$15="SYN")*('3_보호자행동'!$AV$5:$AV$15-3)))),MAX(SUMPRODUCT(MAX(('1_바디시그널'!$AD$5:$AD$13="SYN")*('1_바디시그널'!$AV$5:$AV$13&gt;=1)*(3-'1_바디시그널'!$AV$5:$AV$13))),SUMPRODUCT(MAX(('2_개행동'!$AD$5:$AD$28="SYN")*('2_개행동'!$AV$5:$AV$28&gt;=1)*(3-'2_개행동'!$AV$5:$AV$28))),SUMPRODUCT(MAX(('3_보호자행동'!$AD$5:$AD$15="SYN")*('3_보호자행동'!$AV$5:$AV$15&gt;=1)*(3-'3_보호자행동'!$AV$5:$AV$15))))))</f>
        <v/>
      </c>
      <c r="R23" s="39">
        <f>IF((COUNTIFS('1_바디시그널'!$AD$5:$AD$13,"SYN",'1_바디시그널'!$AY$5:$AY$13,"ONE",'1_바디시그널'!$AV$5:$AV$13,"&gt;=1")+COUNTIFS('2_개행동'!$AD$5:$AD$28,"SYN",'2_개행동'!$AY$5:$AY$28,"ONE",'2_개행동'!$AV$5:$AV$28,"&gt;=1")+COUNTIFS('3_보호자행동'!$AD$5:$AD$15,"SYN",'3_보호자행동'!$AY$5:$AY$15,"ONE",'3_보호자행동'!$AV$5:$AV$15,"&gt;=1"))=0,"",ROUND((SUMIFS('1_바디시그널'!$AV$5:$AV$13,'1_바디시그널'!$AD$5:$AD$13,"SYN",'1_바디시그널'!$AY$5:$AY$13,"ONE",'1_바디시그널'!$AV$5:$AV$13,"&gt;=1")+SUMIFS('2_개행동'!$AV$5:$AV$28,'2_개행동'!$AD$5:$AD$28,"SYN",'2_개행동'!$AY$5:$AY$28,"ONE",'2_개행동'!$AV$5:$AV$28,"&gt;=1")+SUMIFS('3_보호자행동'!$AV$5:$AV$15,'3_보호자행동'!$AD$5:$AD$15,"SYN",'3_보호자행동'!$AY$5:$AY$15,"ONE",'3_보호자행동'!$AV$5:$AV$15,"&gt;=1"))/(COUNTIFS('1_바디시그널'!$AD$5:$AD$13,"SYN",'1_바디시그널'!$AY$5:$AY$13,"ONE",'1_바디시그널'!$AV$5:$AV$13,"&gt;=1")+COUNTIFS('2_개행동'!$AD$5:$AD$28,"SYN",'2_개행동'!$AY$5:$AY$28,"ONE",'2_개행동'!$AV$5:$AV$28,"&gt;=1")+COUNTIFS('3_보호자행동'!$AD$5:$AD$15,"SYN",'3_보호자행동'!$AY$5:$AY$15,"ONE",'3_보호자행동'!$AV$5:$AV$15,"&gt;=1")),2))</f>
        <v/>
      </c>
      <c r="S23" s="48">
        <f>IF((COUNTIFS('1_바디시그널'!$AD$5:$AD$13,"EXIT",'1_바디시그널'!$AY$5:$AY$13,"BI",'1_바디시그널'!$AV$5:$AV$13,"&gt;=1")+COUNTIFS('2_개행동'!$AD$5:$AD$28,"EXIT",'2_개행동'!$AY$5:$AY$28,"BI",'2_개행동'!$AV$5:$AV$28,"&gt;=1")+COUNTIFS('3_보호자행동'!$AD$5:$AD$15,"EXIT",'3_보호자행동'!$AY$5:$AY$15,"BI",'3_보호자행동'!$AV$5:$AV$15,"&gt;=1"))=0,"",ROUND((SUMIFS('1_바디시그널'!$AV$5:$AV$13,'1_바디시그널'!$AD$5:$AD$13,"EXIT",'1_바디시그널'!$AY$5:$AY$13,"BI",'1_바디시그널'!$AV$5:$AV$13,"&gt;=1")+SUMIFS('2_개행동'!$AV$5:$AV$28,'2_개행동'!$AD$5:$AD$28,"EXIT",'2_개행동'!$AY$5:$AY$28,"BI",'2_개행동'!$AV$5:$AV$28,"&gt;=1")+SUMIFS('3_보호자행동'!$AV$5:$AV$15,'3_보호자행동'!$AD$5:$AD$15,"EXIT",'3_보호자행동'!$AY$5:$AY$15,"BI",'3_보호자행동'!$AV$5:$AV$15,"&gt;=1"))/(COUNTIFS('1_바디시그널'!$AD$5:$AD$13,"EXIT",'1_바디시그널'!$AY$5:$AY$13,"BI",'1_바디시그널'!$AV$5:$AV$13,"&gt;=1")+COUNTIFS('2_개행동'!$AD$5:$AD$28,"EXIT",'2_개행동'!$AY$5:$AY$28,"BI",'2_개행동'!$AV$5:$AV$28,"&gt;=1")+COUNTIFS('3_보호자행동'!$AD$5:$AD$15,"EXIT",'3_보호자행동'!$AY$5:$AY$15,"BI",'3_보호자행동'!$AV$5:$AV$15,"&gt;=1"))-3,2))</f>
        <v/>
      </c>
      <c r="T23" s="39">
        <f>IF((COUNTIFS('1_바디시그널'!$AD$5:$AD$13,"EXIT",'1_바디시그널'!$AV$5:$AV$13,"&gt;=1")+COUNTIFS('2_개행동'!$AD$5:$AD$28,"EXIT",'2_개행동'!$AV$5:$AV$28,"&gt;=1")+COUNTIFS('3_보호자행동'!$AD$5:$AD$15,"EXIT",'3_보호자행동'!$AV$5:$AV$15,"&gt;=1"))=0,"",MAX(MAX(SUMPRODUCT(MAX(('1_바디시그널'!$AD$5:$AD$13="EXIT")*('1_바디시그널'!$AV$5:$AV$13-3))),SUMPRODUCT(MAX(('2_개행동'!$AD$5:$AD$28="EXIT")*('2_개행동'!$AV$5:$AV$28-3))),SUMPRODUCT(MAX(('3_보호자행동'!$AD$5:$AD$15="EXIT")*('3_보호자행동'!$AV$5:$AV$15-3)))),MAX(SUMPRODUCT(MAX(('1_바디시그널'!$AD$5:$AD$13="EXIT")*('1_바디시그널'!$AV$5:$AV$13&gt;=1)*(3-'1_바디시그널'!$AV$5:$AV$13))),SUMPRODUCT(MAX(('2_개행동'!$AD$5:$AD$28="EXIT")*('2_개행동'!$AV$5:$AV$28&gt;=1)*(3-'2_개행동'!$AV$5:$AV$28))),SUMPRODUCT(MAX(('3_보호자행동'!$AD$5:$AD$15="EXIT")*('3_보호자행동'!$AV$5:$AV$15&gt;=1)*(3-'3_보호자행동'!$AV$5:$AV$15))))))</f>
        <v/>
      </c>
      <c r="U23" s="39">
        <f>IF((COUNTIFS('1_바디시그널'!$AD$5:$AD$13,"EXIT",'1_바디시그널'!$AY$5:$AY$13,"ONE",'1_바디시그널'!$AV$5:$AV$13,"&gt;=1")+COUNTIFS('2_개행동'!$AD$5:$AD$28,"EXIT",'2_개행동'!$AY$5:$AY$28,"ONE",'2_개행동'!$AV$5:$AV$28,"&gt;=1")+COUNTIFS('3_보호자행동'!$AD$5:$AD$15,"EXIT",'3_보호자행동'!$AY$5:$AY$15,"ONE",'3_보호자행동'!$AV$5:$AV$15,"&gt;=1"))=0,"",ROUND((SUMIFS('1_바디시그널'!$AV$5:$AV$13,'1_바디시그널'!$AD$5:$AD$13,"EXIT",'1_바디시그널'!$AY$5:$AY$13,"ONE",'1_바디시그널'!$AV$5:$AV$13,"&gt;=1")+SUMIFS('2_개행동'!$AV$5:$AV$28,'2_개행동'!$AD$5:$AD$28,"EXIT",'2_개행동'!$AY$5:$AY$28,"ONE",'2_개행동'!$AV$5:$AV$28,"&gt;=1")+SUMIFS('3_보호자행동'!$AV$5:$AV$15,'3_보호자행동'!$AD$5:$AD$15,"EXIT",'3_보호자행동'!$AY$5:$AY$15,"ONE",'3_보호자행동'!$AV$5:$AV$15,"&gt;=1"))/(COUNTIFS('1_바디시그널'!$AD$5:$AD$13,"EXIT",'1_바디시그널'!$AY$5:$AY$13,"ONE",'1_바디시그널'!$AV$5:$AV$13,"&gt;=1")+COUNTIFS('2_개행동'!$AD$5:$AD$28,"EXIT",'2_개행동'!$AY$5:$AY$28,"ONE",'2_개행동'!$AV$5:$AV$28,"&gt;=1")+COUNTIFS('3_보호자행동'!$AD$5:$AD$15,"EXIT",'3_보호자행동'!$AY$5:$AY$15,"ONE",'3_보호자행동'!$AV$5:$AV$15,"&gt;=1")),2))</f>
        <v/>
      </c>
      <c r="V23" s="49">
        <f>IF(OR('2_개행동'!$AA$8="",'2_개행동'!$AA$22=""),"",ABS('2_개행동'!$AA$8-3)-ABS('2_개행동'!$AA$22-3))</f>
        <v/>
      </c>
      <c r="W23" s="49">
        <f>IF(OR('2_개행동'!$AA$10="",'2_개행동'!$AA$17=""),"",ABS('2_개행동'!$AA$10-3)-ABS('2_개행동'!$AA$17-3))</f>
        <v/>
      </c>
      <c r="X23" s="49">
        <f>IF(OR('2_개행동'!$AA$10="",'2_개행동'!$AA$14=""),"",ABS('2_개행동'!$AA$10-3)-ABS('2_개행동'!$AA$14-3))</f>
        <v/>
      </c>
      <c r="Y23" s="39">
        <f>IF('2_개행동'!$AA$8="","",'2_개행동'!$AA$8)</f>
        <v/>
      </c>
      <c r="Z23" s="40">
        <f>IF('2_개행동'!$AA$25="","",IF('3_보호자행동'!$AA$13=3,"무효",'2_개행동'!$AA$25/6))</f>
        <v/>
      </c>
      <c r="AA23" s="35" t="n"/>
    </row>
    <row r="24">
      <c r="A24" s="39" t="n">
        <v>19</v>
      </c>
      <c r="B24" s="39" t="n"/>
      <c r="C24" s="39" t="n"/>
      <c r="D24" s="48">
        <f>IF((COUNTIFS('1_바디시그널'!$AD$5:$AD$13,"EDU",'1_바디시그널'!$AY$5:$AY$13,"BI",'1_바디시그널'!$AW$5:$AW$13,"&gt;=1")+COUNTIFS('2_개행동'!$AD$5:$AD$28,"EDU",'2_개행동'!$AY$5:$AY$28,"BI",'2_개행동'!$AW$5:$AW$28,"&gt;=1")+COUNTIFS('3_보호자행동'!$AD$5:$AD$15,"EDU",'3_보호자행동'!$AY$5:$AY$15,"BI",'3_보호자행동'!$AW$5:$AW$15,"&gt;=1"))=0,"",ROUND((SUMIFS('1_바디시그널'!$AW$5:$AW$13,'1_바디시그널'!$AD$5:$AD$13,"EDU",'1_바디시그널'!$AY$5:$AY$13,"BI",'1_바디시그널'!$AW$5:$AW$13,"&gt;=1")+SUMIFS('2_개행동'!$AW$5:$AW$28,'2_개행동'!$AD$5:$AD$28,"EDU",'2_개행동'!$AY$5:$AY$28,"BI",'2_개행동'!$AW$5:$AW$28,"&gt;=1")+SUMIFS('3_보호자행동'!$AW$5:$AW$15,'3_보호자행동'!$AD$5:$AD$15,"EDU",'3_보호자행동'!$AY$5:$AY$15,"BI",'3_보호자행동'!$AW$5:$AW$15,"&gt;=1"))/(COUNTIFS('1_바디시그널'!$AD$5:$AD$13,"EDU",'1_바디시그널'!$AY$5:$AY$13,"BI",'1_바디시그널'!$AW$5:$AW$13,"&gt;=1")+COUNTIFS('2_개행동'!$AD$5:$AD$28,"EDU",'2_개행동'!$AY$5:$AY$28,"BI",'2_개행동'!$AW$5:$AW$28,"&gt;=1")+COUNTIFS('3_보호자행동'!$AD$5:$AD$15,"EDU",'3_보호자행동'!$AY$5:$AY$15,"BI",'3_보호자행동'!$AW$5:$AW$15,"&gt;=1"))-3,2))</f>
        <v/>
      </c>
      <c r="E24" s="39">
        <f>IF((COUNTIFS('1_바디시그널'!$AD$5:$AD$13,"EDU",'1_바디시그널'!$AW$5:$AW$13,"&gt;=1")+COUNTIFS('2_개행동'!$AD$5:$AD$28,"EDU",'2_개행동'!$AW$5:$AW$28,"&gt;=1")+COUNTIFS('3_보호자행동'!$AD$5:$AD$15,"EDU",'3_보호자행동'!$AW$5:$AW$15,"&gt;=1"))=0,"",MAX(MAX(SUMPRODUCT(MAX(('1_바디시그널'!$AD$5:$AD$13="EDU")*('1_바디시그널'!$AW$5:$AW$13-3))),SUMPRODUCT(MAX(('2_개행동'!$AD$5:$AD$28="EDU")*('2_개행동'!$AW$5:$AW$28-3))),SUMPRODUCT(MAX(('3_보호자행동'!$AD$5:$AD$15="EDU")*('3_보호자행동'!$AW$5:$AW$15-3)))),MAX(SUMPRODUCT(MAX(('1_바디시그널'!$AD$5:$AD$13="EDU")*('1_바디시그널'!$AW$5:$AW$13&gt;=1)*(3-'1_바디시그널'!$AW$5:$AW$13))),SUMPRODUCT(MAX(('2_개행동'!$AD$5:$AD$28="EDU")*('2_개행동'!$AW$5:$AW$28&gt;=1)*(3-'2_개행동'!$AW$5:$AW$28))),SUMPRODUCT(MAX(('3_보호자행동'!$AD$5:$AD$15="EDU")*('3_보호자행동'!$AW$5:$AW$15&gt;=1)*(3-'3_보호자행동'!$AW$5:$AW$15))))))</f>
        <v/>
      </c>
      <c r="F24" s="39">
        <f>IF((COUNTIFS('1_바디시그널'!$AD$5:$AD$13,"EDU",'1_바디시그널'!$AY$5:$AY$13,"ONE",'1_바디시그널'!$AW$5:$AW$13,"&gt;=1")+COUNTIFS('2_개행동'!$AD$5:$AD$28,"EDU",'2_개행동'!$AY$5:$AY$28,"ONE",'2_개행동'!$AW$5:$AW$28,"&gt;=1")+COUNTIFS('3_보호자행동'!$AD$5:$AD$15,"EDU",'3_보호자행동'!$AY$5:$AY$15,"ONE",'3_보호자행동'!$AW$5:$AW$15,"&gt;=1"))=0,"",ROUND((SUMIFS('1_바디시그널'!$AW$5:$AW$13,'1_바디시그널'!$AD$5:$AD$13,"EDU",'1_바디시그널'!$AY$5:$AY$13,"ONE",'1_바디시그널'!$AW$5:$AW$13,"&gt;=1")+SUMIFS('2_개행동'!$AW$5:$AW$28,'2_개행동'!$AD$5:$AD$28,"EDU",'2_개행동'!$AY$5:$AY$28,"ONE",'2_개행동'!$AW$5:$AW$28,"&gt;=1")+SUMIFS('3_보호자행동'!$AW$5:$AW$15,'3_보호자행동'!$AD$5:$AD$15,"EDU",'3_보호자행동'!$AY$5:$AY$15,"ONE",'3_보호자행동'!$AW$5:$AW$15,"&gt;=1"))/(COUNTIFS('1_바디시그널'!$AD$5:$AD$13,"EDU",'1_바디시그널'!$AY$5:$AY$13,"ONE",'1_바디시그널'!$AW$5:$AW$13,"&gt;=1")+COUNTIFS('2_개행동'!$AD$5:$AD$28,"EDU",'2_개행동'!$AY$5:$AY$28,"ONE",'2_개행동'!$AW$5:$AW$28,"&gt;=1")+COUNTIFS('3_보호자행동'!$AD$5:$AD$15,"EDU",'3_보호자행동'!$AY$5:$AY$15,"ONE",'3_보호자행동'!$AW$5:$AW$15,"&gt;=1")),2))</f>
        <v/>
      </c>
      <c r="G24" s="48">
        <f>IF((COUNTIFS('1_바디시그널'!$AD$5:$AD$13,"SOC_E",'1_바디시그널'!$AY$5:$AY$13,"BI",'1_바디시그널'!$AW$5:$AW$13,"&gt;=1")+COUNTIFS('2_개행동'!$AD$5:$AD$28,"SOC_E",'2_개행동'!$AY$5:$AY$28,"BI",'2_개행동'!$AW$5:$AW$28,"&gt;=1")+COUNTIFS('3_보호자행동'!$AD$5:$AD$15,"SOC_E",'3_보호자행동'!$AY$5:$AY$15,"BI",'3_보호자행동'!$AW$5:$AW$15,"&gt;=1"))=0,"",ROUND((SUMIFS('1_바디시그널'!$AW$5:$AW$13,'1_바디시그널'!$AD$5:$AD$13,"SOC_E",'1_바디시그널'!$AY$5:$AY$13,"BI",'1_바디시그널'!$AW$5:$AW$13,"&gt;=1")+SUMIFS('2_개행동'!$AW$5:$AW$28,'2_개행동'!$AD$5:$AD$28,"SOC_E",'2_개행동'!$AY$5:$AY$28,"BI",'2_개행동'!$AW$5:$AW$28,"&gt;=1")+SUMIFS('3_보호자행동'!$AW$5:$AW$15,'3_보호자행동'!$AD$5:$AD$15,"SOC_E",'3_보호자행동'!$AY$5:$AY$15,"BI",'3_보호자행동'!$AW$5:$AW$15,"&gt;=1"))/(COUNTIFS('1_바디시그널'!$AD$5:$AD$13,"SOC_E",'1_바디시그널'!$AY$5:$AY$13,"BI",'1_바디시그널'!$AW$5:$AW$13,"&gt;=1")+COUNTIFS('2_개행동'!$AD$5:$AD$28,"SOC_E",'2_개행동'!$AY$5:$AY$28,"BI",'2_개행동'!$AW$5:$AW$28,"&gt;=1")+COUNTIFS('3_보호자행동'!$AD$5:$AD$15,"SOC_E",'3_보호자행동'!$AY$5:$AY$15,"BI",'3_보호자행동'!$AW$5:$AW$15,"&gt;=1"))-3,2))</f>
        <v/>
      </c>
      <c r="H24" s="39">
        <f>IF((COUNTIFS('1_바디시그널'!$AD$5:$AD$13,"SOC_E",'1_바디시그널'!$AW$5:$AW$13,"&gt;=1")+COUNTIFS('2_개행동'!$AD$5:$AD$28,"SOC_E",'2_개행동'!$AW$5:$AW$28,"&gt;=1")+COUNTIFS('3_보호자행동'!$AD$5:$AD$15,"SOC_E",'3_보호자행동'!$AW$5:$AW$15,"&gt;=1"))=0,"",MAX(MAX(SUMPRODUCT(MAX(('1_바디시그널'!$AD$5:$AD$13="SOC_E")*('1_바디시그널'!$AW$5:$AW$13-3))),SUMPRODUCT(MAX(('2_개행동'!$AD$5:$AD$28="SOC_E")*('2_개행동'!$AW$5:$AW$28-3))),SUMPRODUCT(MAX(('3_보호자행동'!$AD$5:$AD$15="SOC_E")*('3_보호자행동'!$AW$5:$AW$15-3)))),MAX(SUMPRODUCT(MAX(('1_바디시그널'!$AD$5:$AD$13="SOC_E")*('1_바디시그널'!$AW$5:$AW$13&gt;=1)*(3-'1_바디시그널'!$AW$5:$AW$13))),SUMPRODUCT(MAX(('2_개행동'!$AD$5:$AD$28="SOC_E")*('2_개행동'!$AW$5:$AW$28&gt;=1)*(3-'2_개행동'!$AW$5:$AW$28))),SUMPRODUCT(MAX(('3_보호자행동'!$AD$5:$AD$15="SOC_E")*('3_보호자행동'!$AW$5:$AW$15&gt;=1)*(3-'3_보호자행동'!$AW$5:$AW$15))))))</f>
        <v/>
      </c>
      <c r="I24" s="39">
        <f>IF((COUNTIFS('1_바디시그널'!$AD$5:$AD$13,"SOC_E",'1_바디시그널'!$AY$5:$AY$13,"ONE",'1_바디시그널'!$AW$5:$AW$13,"&gt;=1")+COUNTIFS('2_개행동'!$AD$5:$AD$28,"SOC_E",'2_개행동'!$AY$5:$AY$28,"ONE",'2_개행동'!$AW$5:$AW$28,"&gt;=1")+COUNTIFS('3_보호자행동'!$AD$5:$AD$15,"SOC_E",'3_보호자행동'!$AY$5:$AY$15,"ONE",'3_보호자행동'!$AW$5:$AW$15,"&gt;=1"))=0,"",ROUND((SUMIFS('1_바디시그널'!$AW$5:$AW$13,'1_바디시그널'!$AD$5:$AD$13,"SOC_E",'1_바디시그널'!$AY$5:$AY$13,"ONE",'1_바디시그널'!$AW$5:$AW$13,"&gt;=1")+SUMIFS('2_개행동'!$AW$5:$AW$28,'2_개행동'!$AD$5:$AD$28,"SOC_E",'2_개행동'!$AY$5:$AY$28,"ONE",'2_개행동'!$AW$5:$AW$28,"&gt;=1")+SUMIFS('3_보호자행동'!$AW$5:$AW$15,'3_보호자행동'!$AD$5:$AD$15,"SOC_E",'3_보호자행동'!$AY$5:$AY$15,"ONE",'3_보호자행동'!$AW$5:$AW$15,"&gt;=1"))/(COUNTIFS('1_바디시그널'!$AD$5:$AD$13,"SOC_E",'1_바디시그널'!$AY$5:$AY$13,"ONE",'1_바디시그널'!$AW$5:$AW$13,"&gt;=1")+COUNTIFS('2_개행동'!$AD$5:$AD$28,"SOC_E",'2_개행동'!$AY$5:$AY$28,"ONE",'2_개행동'!$AW$5:$AW$28,"&gt;=1")+COUNTIFS('3_보호자행동'!$AD$5:$AD$15,"SOC_E",'3_보호자행동'!$AY$5:$AY$15,"ONE",'3_보호자행동'!$AW$5:$AW$15,"&gt;=1")),2))</f>
        <v/>
      </c>
      <c r="J24" s="39">
        <f>IF(OR('2_개행동'!$AB$13="",'2_개행동'!$AB$14=""),"",IF('2_개행동'!$AB$13&gt;=3,IF(ABS('2_개행동'!$AB$14-3)&lt;=1,"편안·우호","우호·들뜸"),IF(ABS('2_개행동'!$AB$14-3)&lt;=1,"담담·거리둠","경계·긴장")))</f>
        <v/>
      </c>
      <c r="K24" s="39">
        <f>IF((COUNTIFS('1_바디시그널'!$AD$5:$AD$13,"SOC_H",'1_바디시그널'!$AW$5:$AW$13,"&gt;=1")+COUNTIFS('2_개행동'!$AD$5:$AD$28,"SOC_H",'2_개행동'!$AW$5:$AW$28,"&gt;=1")+COUNTIFS('3_보호자행동'!$AD$5:$AD$15,"SOC_H",'3_보호자행동'!$AW$5:$AW$15,"&gt;=1"))=0,"",MAX(MAX(SUMPRODUCT(MAX(('1_바디시그널'!$AD$5:$AD$13="SOC_H")*('1_바디시그널'!$AW$5:$AW$13-3))),SUMPRODUCT(MAX(('2_개행동'!$AD$5:$AD$28="SOC_H")*('2_개행동'!$AW$5:$AW$28-3))),SUMPRODUCT(MAX(('3_보호자행동'!$AD$5:$AD$15="SOC_H")*('3_보호자행동'!$AW$5:$AW$15-3)))),MAX(SUMPRODUCT(MAX(('1_바디시그널'!$AD$5:$AD$13="SOC_H")*('1_바디시그널'!$AW$5:$AW$13&gt;=1)*(3-'1_바디시그널'!$AW$5:$AW$13))),SUMPRODUCT(MAX(('2_개행동'!$AD$5:$AD$28="SOC_H")*('2_개행동'!$AW$5:$AW$28&gt;=1)*(3-'2_개행동'!$AW$5:$AW$28))),SUMPRODUCT(MAX(('3_보호자행동'!$AD$5:$AD$15="SOC_H")*('3_보호자행동'!$AW$5:$AW$15&gt;=1)*(3-'3_보호자행동'!$AW$5:$AW$15))))))</f>
        <v/>
      </c>
      <c r="L24" s="39">
        <f>IF((COUNTIFS('1_바디시그널'!$AD$5:$AD$13,"SOC_H",'1_바디시그널'!$AY$5:$AY$13,"ONE",'1_바디시그널'!$AW$5:$AW$13,"&gt;=1")+COUNTIFS('2_개행동'!$AD$5:$AD$28,"SOC_H",'2_개행동'!$AY$5:$AY$28,"ONE",'2_개행동'!$AW$5:$AW$28,"&gt;=1")+COUNTIFS('3_보호자행동'!$AD$5:$AD$15,"SOC_H",'3_보호자행동'!$AY$5:$AY$15,"ONE",'3_보호자행동'!$AW$5:$AW$15,"&gt;=1"))=0,"",ROUND((SUMIFS('1_바디시그널'!$AW$5:$AW$13,'1_바디시그널'!$AD$5:$AD$13,"SOC_H",'1_바디시그널'!$AY$5:$AY$13,"ONE",'1_바디시그널'!$AW$5:$AW$13,"&gt;=1")+SUMIFS('2_개행동'!$AW$5:$AW$28,'2_개행동'!$AD$5:$AD$28,"SOC_H",'2_개행동'!$AY$5:$AY$28,"ONE",'2_개행동'!$AW$5:$AW$28,"&gt;=1")+SUMIFS('3_보호자행동'!$AW$5:$AW$15,'3_보호자행동'!$AD$5:$AD$15,"SOC_H",'3_보호자행동'!$AY$5:$AY$15,"ONE",'3_보호자행동'!$AW$5:$AW$15,"&gt;=1"))/(COUNTIFS('1_바디시그널'!$AD$5:$AD$13,"SOC_H",'1_바디시그널'!$AY$5:$AY$13,"ONE",'1_바디시그널'!$AW$5:$AW$13,"&gt;=1")+COUNTIFS('2_개행동'!$AD$5:$AD$28,"SOC_H",'2_개행동'!$AY$5:$AY$28,"ONE",'2_개행동'!$AW$5:$AW$28,"&gt;=1")+COUNTIFS('3_보호자행동'!$AD$5:$AD$15,"SOC_H",'3_보호자행동'!$AY$5:$AY$15,"ONE",'3_보호자행동'!$AW$5:$AW$15,"&gt;=1")),2))</f>
        <v/>
      </c>
      <c r="M24" s="39">
        <f>IF(OR('2_개행동'!$AB$21="",'2_개행동'!$AB$9="",'2_개행동'!$AB$16="",'2_개행동'!$AB$17=""),"",IF(N('2_개행동'!$AB$20)&gt;=1,"일관되지 않음",IF(AVERAGE('2_개행동'!$AB$21,'2_개행동'!$AB$9,'2_개행동'!$AB$16,'2_개행동'!$AB$18)&lt;=3.5,IF(ABS('2_개행동'!$AB$17-3)&lt;=1,"안정","불안"),IF(ABS('2_개행동'!$AB$17-3)&lt;=1,"거리 둠","일관되지 않음"))))</f>
        <v/>
      </c>
      <c r="N24" s="39">
        <f>IF((COUNTIFS('1_바디시그널'!$AD$5:$AD$13,"ATT",'1_바디시그널'!$AW$5:$AW$13,"&gt;=1")+COUNTIFS('2_개행동'!$AD$5:$AD$28,"ATT",'2_개행동'!$AW$5:$AW$28,"&gt;=1")+COUNTIFS('3_보호자행동'!$AD$5:$AD$15,"ATT",'3_보호자행동'!$AW$5:$AW$15,"&gt;=1"))=0,"",MAX(MAX(SUMPRODUCT(MAX(('1_바디시그널'!$AD$5:$AD$13="ATT")*('1_바디시그널'!$AW$5:$AW$13-3))),SUMPRODUCT(MAX(('2_개행동'!$AD$5:$AD$28="ATT")*('2_개행동'!$AW$5:$AW$28-3))),SUMPRODUCT(MAX(('3_보호자행동'!$AD$5:$AD$15="ATT")*('3_보호자행동'!$AW$5:$AW$15-3)))),MAX(SUMPRODUCT(MAX(('1_바디시그널'!$AD$5:$AD$13="ATT")*('1_바디시그널'!$AW$5:$AW$13&gt;=1)*(3-'1_바디시그널'!$AW$5:$AW$13))),SUMPRODUCT(MAX(('2_개행동'!$AD$5:$AD$28="ATT")*('2_개행동'!$AW$5:$AW$28&gt;=1)*(3-'2_개행동'!$AW$5:$AW$28))),SUMPRODUCT(MAX(('3_보호자행동'!$AD$5:$AD$15="ATT")*('3_보호자행동'!$AW$5:$AW$15&gt;=1)*(3-'3_보호자행동'!$AW$5:$AW$15))))))</f>
        <v/>
      </c>
      <c r="O24" s="39">
        <f>IF((COUNTIFS('1_바디시그널'!$AD$5:$AD$13,"ATT",'1_바디시그널'!$AY$5:$AY$13,"ONE",'1_바디시그널'!$AW$5:$AW$13,"&gt;=1")+COUNTIFS('2_개행동'!$AD$5:$AD$28,"ATT",'2_개행동'!$AY$5:$AY$28,"ONE",'2_개행동'!$AW$5:$AW$28,"&gt;=1")+COUNTIFS('3_보호자행동'!$AD$5:$AD$15,"ATT",'3_보호자행동'!$AY$5:$AY$15,"ONE",'3_보호자행동'!$AW$5:$AW$15,"&gt;=1"))=0,"",ROUND((SUMIFS('1_바디시그널'!$AW$5:$AW$13,'1_바디시그널'!$AD$5:$AD$13,"ATT",'1_바디시그널'!$AY$5:$AY$13,"ONE",'1_바디시그널'!$AW$5:$AW$13,"&gt;=1")+SUMIFS('2_개행동'!$AW$5:$AW$28,'2_개행동'!$AD$5:$AD$28,"ATT",'2_개행동'!$AY$5:$AY$28,"ONE",'2_개행동'!$AW$5:$AW$28,"&gt;=1")+SUMIFS('3_보호자행동'!$AW$5:$AW$15,'3_보호자행동'!$AD$5:$AD$15,"ATT",'3_보호자행동'!$AY$5:$AY$15,"ONE",'3_보호자행동'!$AW$5:$AW$15,"&gt;=1"))/(COUNTIFS('1_바디시그널'!$AD$5:$AD$13,"ATT",'1_바디시그널'!$AY$5:$AY$13,"ONE",'1_바디시그널'!$AW$5:$AW$13,"&gt;=1")+COUNTIFS('2_개행동'!$AD$5:$AD$28,"ATT",'2_개행동'!$AY$5:$AY$28,"ONE",'2_개행동'!$AW$5:$AW$28,"&gt;=1")+COUNTIFS('3_보호자행동'!$AD$5:$AD$15,"ATT",'3_보호자행동'!$AY$5:$AY$15,"ONE",'3_보호자행동'!$AW$5:$AW$15,"&gt;=1")),2))</f>
        <v/>
      </c>
      <c r="P24" s="48">
        <f>IF((COUNTIFS('1_바디시그널'!$AD$5:$AD$13,"SYN",'1_바디시그널'!$AY$5:$AY$13,"BI",'1_바디시그널'!$AW$5:$AW$13,"&gt;=1")+COUNTIFS('2_개행동'!$AD$5:$AD$28,"SYN",'2_개행동'!$AY$5:$AY$28,"BI",'2_개행동'!$AW$5:$AW$28,"&gt;=1")+COUNTIFS('3_보호자행동'!$AD$5:$AD$15,"SYN",'3_보호자행동'!$AY$5:$AY$15,"BI",'3_보호자행동'!$AW$5:$AW$15,"&gt;=1"))=0,"",ROUND((SUMIFS('1_바디시그널'!$AW$5:$AW$13,'1_바디시그널'!$AD$5:$AD$13,"SYN",'1_바디시그널'!$AY$5:$AY$13,"BI",'1_바디시그널'!$AW$5:$AW$13,"&gt;=1")+SUMIFS('2_개행동'!$AW$5:$AW$28,'2_개행동'!$AD$5:$AD$28,"SYN",'2_개행동'!$AY$5:$AY$28,"BI",'2_개행동'!$AW$5:$AW$28,"&gt;=1")+SUMIFS('3_보호자행동'!$AW$5:$AW$15,'3_보호자행동'!$AD$5:$AD$15,"SYN",'3_보호자행동'!$AY$5:$AY$15,"BI",'3_보호자행동'!$AW$5:$AW$15,"&gt;=1"))/(COUNTIFS('1_바디시그널'!$AD$5:$AD$13,"SYN",'1_바디시그널'!$AY$5:$AY$13,"BI",'1_바디시그널'!$AW$5:$AW$13,"&gt;=1")+COUNTIFS('2_개행동'!$AD$5:$AD$28,"SYN",'2_개행동'!$AY$5:$AY$28,"BI",'2_개행동'!$AW$5:$AW$28,"&gt;=1")+COUNTIFS('3_보호자행동'!$AD$5:$AD$15,"SYN",'3_보호자행동'!$AY$5:$AY$15,"BI",'3_보호자행동'!$AW$5:$AW$15,"&gt;=1"))-3,2))</f>
        <v/>
      </c>
      <c r="Q24" s="39">
        <f>IF((COUNTIFS('1_바디시그널'!$AD$5:$AD$13,"SYN",'1_바디시그널'!$AW$5:$AW$13,"&gt;=1")+COUNTIFS('2_개행동'!$AD$5:$AD$28,"SYN",'2_개행동'!$AW$5:$AW$28,"&gt;=1")+COUNTIFS('3_보호자행동'!$AD$5:$AD$15,"SYN",'3_보호자행동'!$AW$5:$AW$15,"&gt;=1"))=0,"",MAX(MAX(SUMPRODUCT(MAX(('1_바디시그널'!$AD$5:$AD$13="SYN")*('1_바디시그널'!$AW$5:$AW$13-3))),SUMPRODUCT(MAX(('2_개행동'!$AD$5:$AD$28="SYN")*('2_개행동'!$AW$5:$AW$28-3))),SUMPRODUCT(MAX(('3_보호자행동'!$AD$5:$AD$15="SYN")*('3_보호자행동'!$AW$5:$AW$15-3)))),MAX(SUMPRODUCT(MAX(('1_바디시그널'!$AD$5:$AD$13="SYN")*('1_바디시그널'!$AW$5:$AW$13&gt;=1)*(3-'1_바디시그널'!$AW$5:$AW$13))),SUMPRODUCT(MAX(('2_개행동'!$AD$5:$AD$28="SYN")*('2_개행동'!$AW$5:$AW$28&gt;=1)*(3-'2_개행동'!$AW$5:$AW$28))),SUMPRODUCT(MAX(('3_보호자행동'!$AD$5:$AD$15="SYN")*('3_보호자행동'!$AW$5:$AW$15&gt;=1)*(3-'3_보호자행동'!$AW$5:$AW$15))))))</f>
        <v/>
      </c>
      <c r="R24" s="39">
        <f>IF((COUNTIFS('1_바디시그널'!$AD$5:$AD$13,"SYN",'1_바디시그널'!$AY$5:$AY$13,"ONE",'1_바디시그널'!$AW$5:$AW$13,"&gt;=1")+COUNTIFS('2_개행동'!$AD$5:$AD$28,"SYN",'2_개행동'!$AY$5:$AY$28,"ONE",'2_개행동'!$AW$5:$AW$28,"&gt;=1")+COUNTIFS('3_보호자행동'!$AD$5:$AD$15,"SYN",'3_보호자행동'!$AY$5:$AY$15,"ONE",'3_보호자행동'!$AW$5:$AW$15,"&gt;=1"))=0,"",ROUND((SUMIFS('1_바디시그널'!$AW$5:$AW$13,'1_바디시그널'!$AD$5:$AD$13,"SYN",'1_바디시그널'!$AY$5:$AY$13,"ONE",'1_바디시그널'!$AW$5:$AW$13,"&gt;=1")+SUMIFS('2_개행동'!$AW$5:$AW$28,'2_개행동'!$AD$5:$AD$28,"SYN",'2_개행동'!$AY$5:$AY$28,"ONE",'2_개행동'!$AW$5:$AW$28,"&gt;=1")+SUMIFS('3_보호자행동'!$AW$5:$AW$15,'3_보호자행동'!$AD$5:$AD$15,"SYN",'3_보호자행동'!$AY$5:$AY$15,"ONE",'3_보호자행동'!$AW$5:$AW$15,"&gt;=1"))/(COUNTIFS('1_바디시그널'!$AD$5:$AD$13,"SYN",'1_바디시그널'!$AY$5:$AY$13,"ONE",'1_바디시그널'!$AW$5:$AW$13,"&gt;=1")+COUNTIFS('2_개행동'!$AD$5:$AD$28,"SYN",'2_개행동'!$AY$5:$AY$28,"ONE",'2_개행동'!$AW$5:$AW$28,"&gt;=1")+COUNTIFS('3_보호자행동'!$AD$5:$AD$15,"SYN",'3_보호자행동'!$AY$5:$AY$15,"ONE",'3_보호자행동'!$AW$5:$AW$15,"&gt;=1")),2))</f>
        <v/>
      </c>
      <c r="S24" s="48">
        <f>IF((COUNTIFS('1_바디시그널'!$AD$5:$AD$13,"EXIT",'1_바디시그널'!$AY$5:$AY$13,"BI",'1_바디시그널'!$AW$5:$AW$13,"&gt;=1")+COUNTIFS('2_개행동'!$AD$5:$AD$28,"EXIT",'2_개행동'!$AY$5:$AY$28,"BI",'2_개행동'!$AW$5:$AW$28,"&gt;=1")+COUNTIFS('3_보호자행동'!$AD$5:$AD$15,"EXIT",'3_보호자행동'!$AY$5:$AY$15,"BI",'3_보호자행동'!$AW$5:$AW$15,"&gt;=1"))=0,"",ROUND((SUMIFS('1_바디시그널'!$AW$5:$AW$13,'1_바디시그널'!$AD$5:$AD$13,"EXIT",'1_바디시그널'!$AY$5:$AY$13,"BI",'1_바디시그널'!$AW$5:$AW$13,"&gt;=1")+SUMIFS('2_개행동'!$AW$5:$AW$28,'2_개행동'!$AD$5:$AD$28,"EXIT",'2_개행동'!$AY$5:$AY$28,"BI",'2_개행동'!$AW$5:$AW$28,"&gt;=1")+SUMIFS('3_보호자행동'!$AW$5:$AW$15,'3_보호자행동'!$AD$5:$AD$15,"EXIT",'3_보호자행동'!$AY$5:$AY$15,"BI",'3_보호자행동'!$AW$5:$AW$15,"&gt;=1"))/(COUNTIFS('1_바디시그널'!$AD$5:$AD$13,"EXIT",'1_바디시그널'!$AY$5:$AY$13,"BI",'1_바디시그널'!$AW$5:$AW$13,"&gt;=1")+COUNTIFS('2_개행동'!$AD$5:$AD$28,"EXIT",'2_개행동'!$AY$5:$AY$28,"BI",'2_개행동'!$AW$5:$AW$28,"&gt;=1")+COUNTIFS('3_보호자행동'!$AD$5:$AD$15,"EXIT",'3_보호자행동'!$AY$5:$AY$15,"BI",'3_보호자행동'!$AW$5:$AW$15,"&gt;=1"))-3,2))</f>
        <v/>
      </c>
      <c r="T24" s="39">
        <f>IF((COUNTIFS('1_바디시그널'!$AD$5:$AD$13,"EXIT",'1_바디시그널'!$AW$5:$AW$13,"&gt;=1")+COUNTIFS('2_개행동'!$AD$5:$AD$28,"EXIT",'2_개행동'!$AW$5:$AW$28,"&gt;=1")+COUNTIFS('3_보호자행동'!$AD$5:$AD$15,"EXIT",'3_보호자행동'!$AW$5:$AW$15,"&gt;=1"))=0,"",MAX(MAX(SUMPRODUCT(MAX(('1_바디시그널'!$AD$5:$AD$13="EXIT")*('1_바디시그널'!$AW$5:$AW$13-3))),SUMPRODUCT(MAX(('2_개행동'!$AD$5:$AD$28="EXIT")*('2_개행동'!$AW$5:$AW$28-3))),SUMPRODUCT(MAX(('3_보호자행동'!$AD$5:$AD$15="EXIT")*('3_보호자행동'!$AW$5:$AW$15-3)))),MAX(SUMPRODUCT(MAX(('1_바디시그널'!$AD$5:$AD$13="EXIT")*('1_바디시그널'!$AW$5:$AW$13&gt;=1)*(3-'1_바디시그널'!$AW$5:$AW$13))),SUMPRODUCT(MAX(('2_개행동'!$AD$5:$AD$28="EXIT")*('2_개행동'!$AW$5:$AW$28&gt;=1)*(3-'2_개행동'!$AW$5:$AW$28))),SUMPRODUCT(MAX(('3_보호자행동'!$AD$5:$AD$15="EXIT")*('3_보호자행동'!$AW$5:$AW$15&gt;=1)*(3-'3_보호자행동'!$AW$5:$AW$15))))))</f>
        <v/>
      </c>
      <c r="U24" s="39">
        <f>IF((COUNTIFS('1_바디시그널'!$AD$5:$AD$13,"EXIT",'1_바디시그널'!$AY$5:$AY$13,"ONE",'1_바디시그널'!$AW$5:$AW$13,"&gt;=1")+COUNTIFS('2_개행동'!$AD$5:$AD$28,"EXIT",'2_개행동'!$AY$5:$AY$28,"ONE",'2_개행동'!$AW$5:$AW$28,"&gt;=1")+COUNTIFS('3_보호자행동'!$AD$5:$AD$15,"EXIT",'3_보호자행동'!$AY$5:$AY$15,"ONE",'3_보호자행동'!$AW$5:$AW$15,"&gt;=1"))=0,"",ROUND((SUMIFS('1_바디시그널'!$AW$5:$AW$13,'1_바디시그널'!$AD$5:$AD$13,"EXIT",'1_바디시그널'!$AY$5:$AY$13,"ONE",'1_바디시그널'!$AW$5:$AW$13,"&gt;=1")+SUMIFS('2_개행동'!$AW$5:$AW$28,'2_개행동'!$AD$5:$AD$28,"EXIT",'2_개행동'!$AY$5:$AY$28,"ONE",'2_개행동'!$AW$5:$AW$28,"&gt;=1")+SUMIFS('3_보호자행동'!$AW$5:$AW$15,'3_보호자행동'!$AD$5:$AD$15,"EXIT",'3_보호자행동'!$AY$5:$AY$15,"ONE",'3_보호자행동'!$AW$5:$AW$15,"&gt;=1"))/(COUNTIFS('1_바디시그널'!$AD$5:$AD$13,"EXIT",'1_바디시그널'!$AY$5:$AY$13,"ONE",'1_바디시그널'!$AW$5:$AW$13,"&gt;=1")+COUNTIFS('2_개행동'!$AD$5:$AD$28,"EXIT",'2_개행동'!$AY$5:$AY$28,"ONE",'2_개행동'!$AW$5:$AW$28,"&gt;=1")+COUNTIFS('3_보호자행동'!$AD$5:$AD$15,"EXIT",'3_보호자행동'!$AY$5:$AY$15,"ONE",'3_보호자행동'!$AW$5:$AW$15,"&gt;=1")),2))</f>
        <v/>
      </c>
      <c r="V24" s="49">
        <f>IF(OR('2_개행동'!$AB$8="",'2_개행동'!$AB$22=""),"",ABS('2_개행동'!$AB$8-3)-ABS('2_개행동'!$AB$22-3))</f>
        <v/>
      </c>
      <c r="W24" s="49">
        <f>IF(OR('2_개행동'!$AB$10="",'2_개행동'!$AB$17=""),"",ABS('2_개행동'!$AB$10-3)-ABS('2_개행동'!$AB$17-3))</f>
        <v/>
      </c>
      <c r="X24" s="49">
        <f>IF(OR('2_개행동'!$AB$10="",'2_개행동'!$AB$14=""),"",ABS('2_개행동'!$AB$10-3)-ABS('2_개행동'!$AB$14-3))</f>
        <v/>
      </c>
      <c r="Y24" s="39">
        <f>IF('2_개행동'!$AB$8="","",'2_개행동'!$AB$8)</f>
        <v/>
      </c>
      <c r="Z24" s="40">
        <f>IF('2_개행동'!$AB$25="","",IF('3_보호자행동'!$AB$13=3,"무효",'2_개행동'!$AB$25/6))</f>
        <v/>
      </c>
      <c r="AA24" s="35" t="n"/>
    </row>
    <row r="25">
      <c r="A25" s="39" t="n">
        <v>20</v>
      </c>
      <c r="B25" s="39" t="n"/>
      <c r="C25" s="39" t="n"/>
      <c r="D25" s="48">
        <f>IF((COUNTIFS('1_바디시그널'!$AD$5:$AD$13,"EDU",'1_바디시그널'!$AY$5:$AY$13,"BI",'1_바디시그널'!$AX$5:$AX$13,"&gt;=1")+COUNTIFS('2_개행동'!$AD$5:$AD$28,"EDU",'2_개행동'!$AY$5:$AY$28,"BI",'2_개행동'!$AX$5:$AX$28,"&gt;=1")+COUNTIFS('3_보호자행동'!$AD$5:$AD$15,"EDU",'3_보호자행동'!$AY$5:$AY$15,"BI",'3_보호자행동'!$AX$5:$AX$15,"&gt;=1"))=0,"",ROUND((SUMIFS('1_바디시그널'!$AX$5:$AX$13,'1_바디시그널'!$AD$5:$AD$13,"EDU",'1_바디시그널'!$AY$5:$AY$13,"BI",'1_바디시그널'!$AX$5:$AX$13,"&gt;=1")+SUMIFS('2_개행동'!$AX$5:$AX$28,'2_개행동'!$AD$5:$AD$28,"EDU",'2_개행동'!$AY$5:$AY$28,"BI",'2_개행동'!$AX$5:$AX$28,"&gt;=1")+SUMIFS('3_보호자행동'!$AX$5:$AX$15,'3_보호자행동'!$AD$5:$AD$15,"EDU",'3_보호자행동'!$AY$5:$AY$15,"BI",'3_보호자행동'!$AX$5:$AX$15,"&gt;=1"))/(COUNTIFS('1_바디시그널'!$AD$5:$AD$13,"EDU",'1_바디시그널'!$AY$5:$AY$13,"BI",'1_바디시그널'!$AX$5:$AX$13,"&gt;=1")+COUNTIFS('2_개행동'!$AD$5:$AD$28,"EDU",'2_개행동'!$AY$5:$AY$28,"BI",'2_개행동'!$AX$5:$AX$28,"&gt;=1")+COUNTIFS('3_보호자행동'!$AD$5:$AD$15,"EDU",'3_보호자행동'!$AY$5:$AY$15,"BI",'3_보호자행동'!$AX$5:$AX$15,"&gt;=1"))-3,2))</f>
        <v/>
      </c>
      <c r="E25" s="39">
        <f>IF((COUNTIFS('1_바디시그널'!$AD$5:$AD$13,"EDU",'1_바디시그널'!$AX$5:$AX$13,"&gt;=1")+COUNTIFS('2_개행동'!$AD$5:$AD$28,"EDU",'2_개행동'!$AX$5:$AX$28,"&gt;=1")+COUNTIFS('3_보호자행동'!$AD$5:$AD$15,"EDU",'3_보호자행동'!$AX$5:$AX$15,"&gt;=1"))=0,"",MAX(MAX(SUMPRODUCT(MAX(('1_바디시그널'!$AD$5:$AD$13="EDU")*('1_바디시그널'!$AX$5:$AX$13-3))),SUMPRODUCT(MAX(('2_개행동'!$AD$5:$AD$28="EDU")*('2_개행동'!$AX$5:$AX$28-3))),SUMPRODUCT(MAX(('3_보호자행동'!$AD$5:$AD$15="EDU")*('3_보호자행동'!$AX$5:$AX$15-3)))),MAX(SUMPRODUCT(MAX(('1_바디시그널'!$AD$5:$AD$13="EDU")*('1_바디시그널'!$AX$5:$AX$13&gt;=1)*(3-'1_바디시그널'!$AX$5:$AX$13))),SUMPRODUCT(MAX(('2_개행동'!$AD$5:$AD$28="EDU")*('2_개행동'!$AX$5:$AX$28&gt;=1)*(3-'2_개행동'!$AX$5:$AX$28))),SUMPRODUCT(MAX(('3_보호자행동'!$AD$5:$AD$15="EDU")*('3_보호자행동'!$AX$5:$AX$15&gt;=1)*(3-'3_보호자행동'!$AX$5:$AX$15))))))</f>
        <v/>
      </c>
      <c r="F25" s="39">
        <f>IF((COUNTIFS('1_바디시그널'!$AD$5:$AD$13,"EDU",'1_바디시그널'!$AY$5:$AY$13,"ONE",'1_바디시그널'!$AX$5:$AX$13,"&gt;=1")+COUNTIFS('2_개행동'!$AD$5:$AD$28,"EDU",'2_개행동'!$AY$5:$AY$28,"ONE",'2_개행동'!$AX$5:$AX$28,"&gt;=1")+COUNTIFS('3_보호자행동'!$AD$5:$AD$15,"EDU",'3_보호자행동'!$AY$5:$AY$15,"ONE",'3_보호자행동'!$AX$5:$AX$15,"&gt;=1"))=0,"",ROUND((SUMIFS('1_바디시그널'!$AX$5:$AX$13,'1_바디시그널'!$AD$5:$AD$13,"EDU",'1_바디시그널'!$AY$5:$AY$13,"ONE",'1_바디시그널'!$AX$5:$AX$13,"&gt;=1")+SUMIFS('2_개행동'!$AX$5:$AX$28,'2_개행동'!$AD$5:$AD$28,"EDU",'2_개행동'!$AY$5:$AY$28,"ONE",'2_개행동'!$AX$5:$AX$28,"&gt;=1")+SUMIFS('3_보호자행동'!$AX$5:$AX$15,'3_보호자행동'!$AD$5:$AD$15,"EDU",'3_보호자행동'!$AY$5:$AY$15,"ONE",'3_보호자행동'!$AX$5:$AX$15,"&gt;=1"))/(COUNTIFS('1_바디시그널'!$AD$5:$AD$13,"EDU",'1_바디시그널'!$AY$5:$AY$13,"ONE",'1_바디시그널'!$AX$5:$AX$13,"&gt;=1")+COUNTIFS('2_개행동'!$AD$5:$AD$28,"EDU",'2_개행동'!$AY$5:$AY$28,"ONE",'2_개행동'!$AX$5:$AX$28,"&gt;=1")+COUNTIFS('3_보호자행동'!$AD$5:$AD$15,"EDU",'3_보호자행동'!$AY$5:$AY$15,"ONE",'3_보호자행동'!$AX$5:$AX$15,"&gt;=1")),2))</f>
        <v/>
      </c>
      <c r="G25" s="48">
        <f>IF((COUNTIFS('1_바디시그널'!$AD$5:$AD$13,"SOC_E",'1_바디시그널'!$AY$5:$AY$13,"BI",'1_바디시그널'!$AX$5:$AX$13,"&gt;=1")+COUNTIFS('2_개행동'!$AD$5:$AD$28,"SOC_E",'2_개행동'!$AY$5:$AY$28,"BI",'2_개행동'!$AX$5:$AX$28,"&gt;=1")+COUNTIFS('3_보호자행동'!$AD$5:$AD$15,"SOC_E",'3_보호자행동'!$AY$5:$AY$15,"BI",'3_보호자행동'!$AX$5:$AX$15,"&gt;=1"))=0,"",ROUND((SUMIFS('1_바디시그널'!$AX$5:$AX$13,'1_바디시그널'!$AD$5:$AD$13,"SOC_E",'1_바디시그널'!$AY$5:$AY$13,"BI",'1_바디시그널'!$AX$5:$AX$13,"&gt;=1")+SUMIFS('2_개행동'!$AX$5:$AX$28,'2_개행동'!$AD$5:$AD$28,"SOC_E",'2_개행동'!$AY$5:$AY$28,"BI",'2_개행동'!$AX$5:$AX$28,"&gt;=1")+SUMIFS('3_보호자행동'!$AX$5:$AX$15,'3_보호자행동'!$AD$5:$AD$15,"SOC_E",'3_보호자행동'!$AY$5:$AY$15,"BI",'3_보호자행동'!$AX$5:$AX$15,"&gt;=1"))/(COUNTIFS('1_바디시그널'!$AD$5:$AD$13,"SOC_E",'1_바디시그널'!$AY$5:$AY$13,"BI",'1_바디시그널'!$AX$5:$AX$13,"&gt;=1")+COUNTIFS('2_개행동'!$AD$5:$AD$28,"SOC_E",'2_개행동'!$AY$5:$AY$28,"BI",'2_개행동'!$AX$5:$AX$28,"&gt;=1")+COUNTIFS('3_보호자행동'!$AD$5:$AD$15,"SOC_E",'3_보호자행동'!$AY$5:$AY$15,"BI",'3_보호자행동'!$AX$5:$AX$15,"&gt;=1"))-3,2))</f>
        <v/>
      </c>
      <c r="H25" s="39">
        <f>IF((COUNTIFS('1_바디시그널'!$AD$5:$AD$13,"SOC_E",'1_바디시그널'!$AX$5:$AX$13,"&gt;=1")+COUNTIFS('2_개행동'!$AD$5:$AD$28,"SOC_E",'2_개행동'!$AX$5:$AX$28,"&gt;=1")+COUNTIFS('3_보호자행동'!$AD$5:$AD$15,"SOC_E",'3_보호자행동'!$AX$5:$AX$15,"&gt;=1"))=0,"",MAX(MAX(SUMPRODUCT(MAX(('1_바디시그널'!$AD$5:$AD$13="SOC_E")*('1_바디시그널'!$AX$5:$AX$13-3))),SUMPRODUCT(MAX(('2_개행동'!$AD$5:$AD$28="SOC_E")*('2_개행동'!$AX$5:$AX$28-3))),SUMPRODUCT(MAX(('3_보호자행동'!$AD$5:$AD$15="SOC_E")*('3_보호자행동'!$AX$5:$AX$15-3)))),MAX(SUMPRODUCT(MAX(('1_바디시그널'!$AD$5:$AD$13="SOC_E")*('1_바디시그널'!$AX$5:$AX$13&gt;=1)*(3-'1_바디시그널'!$AX$5:$AX$13))),SUMPRODUCT(MAX(('2_개행동'!$AD$5:$AD$28="SOC_E")*('2_개행동'!$AX$5:$AX$28&gt;=1)*(3-'2_개행동'!$AX$5:$AX$28))),SUMPRODUCT(MAX(('3_보호자행동'!$AD$5:$AD$15="SOC_E")*('3_보호자행동'!$AX$5:$AX$15&gt;=1)*(3-'3_보호자행동'!$AX$5:$AX$15))))))</f>
        <v/>
      </c>
      <c r="I25" s="39">
        <f>IF((COUNTIFS('1_바디시그널'!$AD$5:$AD$13,"SOC_E",'1_바디시그널'!$AY$5:$AY$13,"ONE",'1_바디시그널'!$AX$5:$AX$13,"&gt;=1")+COUNTIFS('2_개행동'!$AD$5:$AD$28,"SOC_E",'2_개행동'!$AY$5:$AY$28,"ONE",'2_개행동'!$AX$5:$AX$28,"&gt;=1")+COUNTIFS('3_보호자행동'!$AD$5:$AD$15,"SOC_E",'3_보호자행동'!$AY$5:$AY$15,"ONE",'3_보호자행동'!$AX$5:$AX$15,"&gt;=1"))=0,"",ROUND((SUMIFS('1_바디시그널'!$AX$5:$AX$13,'1_바디시그널'!$AD$5:$AD$13,"SOC_E",'1_바디시그널'!$AY$5:$AY$13,"ONE",'1_바디시그널'!$AX$5:$AX$13,"&gt;=1")+SUMIFS('2_개행동'!$AX$5:$AX$28,'2_개행동'!$AD$5:$AD$28,"SOC_E",'2_개행동'!$AY$5:$AY$28,"ONE",'2_개행동'!$AX$5:$AX$28,"&gt;=1")+SUMIFS('3_보호자행동'!$AX$5:$AX$15,'3_보호자행동'!$AD$5:$AD$15,"SOC_E",'3_보호자행동'!$AY$5:$AY$15,"ONE",'3_보호자행동'!$AX$5:$AX$15,"&gt;=1"))/(COUNTIFS('1_바디시그널'!$AD$5:$AD$13,"SOC_E",'1_바디시그널'!$AY$5:$AY$13,"ONE",'1_바디시그널'!$AX$5:$AX$13,"&gt;=1")+COUNTIFS('2_개행동'!$AD$5:$AD$28,"SOC_E",'2_개행동'!$AY$5:$AY$28,"ONE",'2_개행동'!$AX$5:$AX$28,"&gt;=1")+COUNTIFS('3_보호자행동'!$AD$5:$AD$15,"SOC_E",'3_보호자행동'!$AY$5:$AY$15,"ONE",'3_보호자행동'!$AX$5:$AX$15,"&gt;=1")),2))</f>
        <v/>
      </c>
      <c r="J25" s="39">
        <f>IF(OR('2_개행동'!$AC$13="",'2_개행동'!$AC$14=""),"",IF('2_개행동'!$AC$13&gt;=3,IF(ABS('2_개행동'!$AC$14-3)&lt;=1,"편안·우호","우호·들뜸"),IF(ABS('2_개행동'!$AC$14-3)&lt;=1,"담담·거리둠","경계·긴장")))</f>
        <v/>
      </c>
      <c r="K25" s="39">
        <f>IF((COUNTIFS('1_바디시그널'!$AD$5:$AD$13,"SOC_H",'1_바디시그널'!$AX$5:$AX$13,"&gt;=1")+COUNTIFS('2_개행동'!$AD$5:$AD$28,"SOC_H",'2_개행동'!$AX$5:$AX$28,"&gt;=1")+COUNTIFS('3_보호자행동'!$AD$5:$AD$15,"SOC_H",'3_보호자행동'!$AX$5:$AX$15,"&gt;=1"))=0,"",MAX(MAX(SUMPRODUCT(MAX(('1_바디시그널'!$AD$5:$AD$13="SOC_H")*('1_바디시그널'!$AX$5:$AX$13-3))),SUMPRODUCT(MAX(('2_개행동'!$AD$5:$AD$28="SOC_H")*('2_개행동'!$AX$5:$AX$28-3))),SUMPRODUCT(MAX(('3_보호자행동'!$AD$5:$AD$15="SOC_H")*('3_보호자행동'!$AX$5:$AX$15-3)))),MAX(SUMPRODUCT(MAX(('1_바디시그널'!$AD$5:$AD$13="SOC_H")*('1_바디시그널'!$AX$5:$AX$13&gt;=1)*(3-'1_바디시그널'!$AX$5:$AX$13))),SUMPRODUCT(MAX(('2_개행동'!$AD$5:$AD$28="SOC_H")*('2_개행동'!$AX$5:$AX$28&gt;=1)*(3-'2_개행동'!$AX$5:$AX$28))),SUMPRODUCT(MAX(('3_보호자행동'!$AD$5:$AD$15="SOC_H")*('3_보호자행동'!$AX$5:$AX$15&gt;=1)*(3-'3_보호자행동'!$AX$5:$AX$15))))))</f>
        <v/>
      </c>
      <c r="L25" s="39">
        <f>IF((COUNTIFS('1_바디시그널'!$AD$5:$AD$13,"SOC_H",'1_바디시그널'!$AY$5:$AY$13,"ONE",'1_바디시그널'!$AX$5:$AX$13,"&gt;=1")+COUNTIFS('2_개행동'!$AD$5:$AD$28,"SOC_H",'2_개행동'!$AY$5:$AY$28,"ONE",'2_개행동'!$AX$5:$AX$28,"&gt;=1")+COUNTIFS('3_보호자행동'!$AD$5:$AD$15,"SOC_H",'3_보호자행동'!$AY$5:$AY$15,"ONE",'3_보호자행동'!$AX$5:$AX$15,"&gt;=1"))=0,"",ROUND((SUMIFS('1_바디시그널'!$AX$5:$AX$13,'1_바디시그널'!$AD$5:$AD$13,"SOC_H",'1_바디시그널'!$AY$5:$AY$13,"ONE",'1_바디시그널'!$AX$5:$AX$13,"&gt;=1")+SUMIFS('2_개행동'!$AX$5:$AX$28,'2_개행동'!$AD$5:$AD$28,"SOC_H",'2_개행동'!$AY$5:$AY$28,"ONE",'2_개행동'!$AX$5:$AX$28,"&gt;=1")+SUMIFS('3_보호자행동'!$AX$5:$AX$15,'3_보호자행동'!$AD$5:$AD$15,"SOC_H",'3_보호자행동'!$AY$5:$AY$15,"ONE",'3_보호자행동'!$AX$5:$AX$15,"&gt;=1"))/(COUNTIFS('1_바디시그널'!$AD$5:$AD$13,"SOC_H",'1_바디시그널'!$AY$5:$AY$13,"ONE",'1_바디시그널'!$AX$5:$AX$13,"&gt;=1")+COUNTIFS('2_개행동'!$AD$5:$AD$28,"SOC_H",'2_개행동'!$AY$5:$AY$28,"ONE",'2_개행동'!$AX$5:$AX$28,"&gt;=1")+COUNTIFS('3_보호자행동'!$AD$5:$AD$15,"SOC_H",'3_보호자행동'!$AY$5:$AY$15,"ONE",'3_보호자행동'!$AX$5:$AX$15,"&gt;=1")),2))</f>
        <v/>
      </c>
      <c r="M25" s="39">
        <f>IF(OR('2_개행동'!$AC$21="",'2_개행동'!$AC$9="",'2_개행동'!$AC$16="",'2_개행동'!$AC$17=""),"",IF(N('2_개행동'!$AC$20)&gt;=1,"일관되지 않음",IF(AVERAGE('2_개행동'!$AC$21,'2_개행동'!$AC$9,'2_개행동'!$AC$16,'2_개행동'!$AC$18)&lt;=3.5,IF(ABS('2_개행동'!$AC$17-3)&lt;=1,"안정","불안"),IF(ABS('2_개행동'!$AC$17-3)&lt;=1,"거리 둠","일관되지 않음"))))</f>
        <v/>
      </c>
      <c r="N25" s="39">
        <f>IF((COUNTIFS('1_바디시그널'!$AD$5:$AD$13,"ATT",'1_바디시그널'!$AX$5:$AX$13,"&gt;=1")+COUNTIFS('2_개행동'!$AD$5:$AD$28,"ATT",'2_개행동'!$AX$5:$AX$28,"&gt;=1")+COUNTIFS('3_보호자행동'!$AD$5:$AD$15,"ATT",'3_보호자행동'!$AX$5:$AX$15,"&gt;=1"))=0,"",MAX(MAX(SUMPRODUCT(MAX(('1_바디시그널'!$AD$5:$AD$13="ATT")*('1_바디시그널'!$AX$5:$AX$13-3))),SUMPRODUCT(MAX(('2_개행동'!$AD$5:$AD$28="ATT")*('2_개행동'!$AX$5:$AX$28-3))),SUMPRODUCT(MAX(('3_보호자행동'!$AD$5:$AD$15="ATT")*('3_보호자행동'!$AX$5:$AX$15-3)))),MAX(SUMPRODUCT(MAX(('1_바디시그널'!$AD$5:$AD$13="ATT")*('1_바디시그널'!$AX$5:$AX$13&gt;=1)*(3-'1_바디시그널'!$AX$5:$AX$13))),SUMPRODUCT(MAX(('2_개행동'!$AD$5:$AD$28="ATT")*('2_개행동'!$AX$5:$AX$28&gt;=1)*(3-'2_개행동'!$AX$5:$AX$28))),SUMPRODUCT(MAX(('3_보호자행동'!$AD$5:$AD$15="ATT")*('3_보호자행동'!$AX$5:$AX$15&gt;=1)*(3-'3_보호자행동'!$AX$5:$AX$15))))))</f>
        <v/>
      </c>
      <c r="O25" s="39">
        <f>IF((COUNTIFS('1_바디시그널'!$AD$5:$AD$13,"ATT",'1_바디시그널'!$AY$5:$AY$13,"ONE",'1_바디시그널'!$AX$5:$AX$13,"&gt;=1")+COUNTIFS('2_개행동'!$AD$5:$AD$28,"ATT",'2_개행동'!$AY$5:$AY$28,"ONE",'2_개행동'!$AX$5:$AX$28,"&gt;=1")+COUNTIFS('3_보호자행동'!$AD$5:$AD$15,"ATT",'3_보호자행동'!$AY$5:$AY$15,"ONE",'3_보호자행동'!$AX$5:$AX$15,"&gt;=1"))=0,"",ROUND((SUMIFS('1_바디시그널'!$AX$5:$AX$13,'1_바디시그널'!$AD$5:$AD$13,"ATT",'1_바디시그널'!$AY$5:$AY$13,"ONE",'1_바디시그널'!$AX$5:$AX$13,"&gt;=1")+SUMIFS('2_개행동'!$AX$5:$AX$28,'2_개행동'!$AD$5:$AD$28,"ATT",'2_개행동'!$AY$5:$AY$28,"ONE",'2_개행동'!$AX$5:$AX$28,"&gt;=1")+SUMIFS('3_보호자행동'!$AX$5:$AX$15,'3_보호자행동'!$AD$5:$AD$15,"ATT",'3_보호자행동'!$AY$5:$AY$15,"ONE",'3_보호자행동'!$AX$5:$AX$15,"&gt;=1"))/(COUNTIFS('1_바디시그널'!$AD$5:$AD$13,"ATT",'1_바디시그널'!$AY$5:$AY$13,"ONE",'1_바디시그널'!$AX$5:$AX$13,"&gt;=1")+COUNTIFS('2_개행동'!$AD$5:$AD$28,"ATT",'2_개행동'!$AY$5:$AY$28,"ONE",'2_개행동'!$AX$5:$AX$28,"&gt;=1")+COUNTIFS('3_보호자행동'!$AD$5:$AD$15,"ATT",'3_보호자행동'!$AY$5:$AY$15,"ONE",'3_보호자행동'!$AX$5:$AX$15,"&gt;=1")),2))</f>
        <v/>
      </c>
      <c r="P25" s="48">
        <f>IF((COUNTIFS('1_바디시그널'!$AD$5:$AD$13,"SYN",'1_바디시그널'!$AY$5:$AY$13,"BI",'1_바디시그널'!$AX$5:$AX$13,"&gt;=1")+COUNTIFS('2_개행동'!$AD$5:$AD$28,"SYN",'2_개행동'!$AY$5:$AY$28,"BI",'2_개행동'!$AX$5:$AX$28,"&gt;=1")+COUNTIFS('3_보호자행동'!$AD$5:$AD$15,"SYN",'3_보호자행동'!$AY$5:$AY$15,"BI",'3_보호자행동'!$AX$5:$AX$15,"&gt;=1"))=0,"",ROUND((SUMIFS('1_바디시그널'!$AX$5:$AX$13,'1_바디시그널'!$AD$5:$AD$13,"SYN",'1_바디시그널'!$AY$5:$AY$13,"BI",'1_바디시그널'!$AX$5:$AX$13,"&gt;=1")+SUMIFS('2_개행동'!$AX$5:$AX$28,'2_개행동'!$AD$5:$AD$28,"SYN",'2_개행동'!$AY$5:$AY$28,"BI",'2_개행동'!$AX$5:$AX$28,"&gt;=1")+SUMIFS('3_보호자행동'!$AX$5:$AX$15,'3_보호자행동'!$AD$5:$AD$15,"SYN",'3_보호자행동'!$AY$5:$AY$15,"BI",'3_보호자행동'!$AX$5:$AX$15,"&gt;=1"))/(COUNTIFS('1_바디시그널'!$AD$5:$AD$13,"SYN",'1_바디시그널'!$AY$5:$AY$13,"BI",'1_바디시그널'!$AX$5:$AX$13,"&gt;=1")+COUNTIFS('2_개행동'!$AD$5:$AD$28,"SYN",'2_개행동'!$AY$5:$AY$28,"BI",'2_개행동'!$AX$5:$AX$28,"&gt;=1")+COUNTIFS('3_보호자행동'!$AD$5:$AD$15,"SYN",'3_보호자행동'!$AY$5:$AY$15,"BI",'3_보호자행동'!$AX$5:$AX$15,"&gt;=1"))-3,2))</f>
        <v/>
      </c>
      <c r="Q25" s="39">
        <f>IF((COUNTIFS('1_바디시그널'!$AD$5:$AD$13,"SYN",'1_바디시그널'!$AX$5:$AX$13,"&gt;=1")+COUNTIFS('2_개행동'!$AD$5:$AD$28,"SYN",'2_개행동'!$AX$5:$AX$28,"&gt;=1")+COUNTIFS('3_보호자행동'!$AD$5:$AD$15,"SYN",'3_보호자행동'!$AX$5:$AX$15,"&gt;=1"))=0,"",MAX(MAX(SUMPRODUCT(MAX(('1_바디시그널'!$AD$5:$AD$13="SYN")*('1_바디시그널'!$AX$5:$AX$13-3))),SUMPRODUCT(MAX(('2_개행동'!$AD$5:$AD$28="SYN")*('2_개행동'!$AX$5:$AX$28-3))),SUMPRODUCT(MAX(('3_보호자행동'!$AD$5:$AD$15="SYN")*('3_보호자행동'!$AX$5:$AX$15-3)))),MAX(SUMPRODUCT(MAX(('1_바디시그널'!$AD$5:$AD$13="SYN")*('1_바디시그널'!$AX$5:$AX$13&gt;=1)*(3-'1_바디시그널'!$AX$5:$AX$13))),SUMPRODUCT(MAX(('2_개행동'!$AD$5:$AD$28="SYN")*('2_개행동'!$AX$5:$AX$28&gt;=1)*(3-'2_개행동'!$AX$5:$AX$28))),SUMPRODUCT(MAX(('3_보호자행동'!$AD$5:$AD$15="SYN")*('3_보호자행동'!$AX$5:$AX$15&gt;=1)*(3-'3_보호자행동'!$AX$5:$AX$15))))))</f>
        <v/>
      </c>
      <c r="R25" s="39">
        <f>IF((COUNTIFS('1_바디시그널'!$AD$5:$AD$13,"SYN",'1_바디시그널'!$AY$5:$AY$13,"ONE",'1_바디시그널'!$AX$5:$AX$13,"&gt;=1")+COUNTIFS('2_개행동'!$AD$5:$AD$28,"SYN",'2_개행동'!$AY$5:$AY$28,"ONE",'2_개행동'!$AX$5:$AX$28,"&gt;=1")+COUNTIFS('3_보호자행동'!$AD$5:$AD$15,"SYN",'3_보호자행동'!$AY$5:$AY$15,"ONE",'3_보호자행동'!$AX$5:$AX$15,"&gt;=1"))=0,"",ROUND((SUMIFS('1_바디시그널'!$AX$5:$AX$13,'1_바디시그널'!$AD$5:$AD$13,"SYN",'1_바디시그널'!$AY$5:$AY$13,"ONE",'1_바디시그널'!$AX$5:$AX$13,"&gt;=1")+SUMIFS('2_개행동'!$AX$5:$AX$28,'2_개행동'!$AD$5:$AD$28,"SYN",'2_개행동'!$AY$5:$AY$28,"ONE",'2_개행동'!$AX$5:$AX$28,"&gt;=1")+SUMIFS('3_보호자행동'!$AX$5:$AX$15,'3_보호자행동'!$AD$5:$AD$15,"SYN",'3_보호자행동'!$AY$5:$AY$15,"ONE",'3_보호자행동'!$AX$5:$AX$15,"&gt;=1"))/(COUNTIFS('1_바디시그널'!$AD$5:$AD$13,"SYN",'1_바디시그널'!$AY$5:$AY$13,"ONE",'1_바디시그널'!$AX$5:$AX$13,"&gt;=1")+COUNTIFS('2_개행동'!$AD$5:$AD$28,"SYN",'2_개행동'!$AY$5:$AY$28,"ONE",'2_개행동'!$AX$5:$AX$28,"&gt;=1")+COUNTIFS('3_보호자행동'!$AD$5:$AD$15,"SYN",'3_보호자행동'!$AY$5:$AY$15,"ONE",'3_보호자행동'!$AX$5:$AX$15,"&gt;=1")),2))</f>
        <v/>
      </c>
      <c r="S25" s="48">
        <f>IF((COUNTIFS('1_바디시그널'!$AD$5:$AD$13,"EXIT",'1_바디시그널'!$AY$5:$AY$13,"BI",'1_바디시그널'!$AX$5:$AX$13,"&gt;=1")+COUNTIFS('2_개행동'!$AD$5:$AD$28,"EXIT",'2_개행동'!$AY$5:$AY$28,"BI",'2_개행동'!$AX$5:$AX$28,"&gt;=1")+COUNTIFS('3_보호자행동'!$AD$5:$AD$15,"EXIT",'3_보호자행동'!$AY$5:$AY$15,"BI",'3_보호자행동'!$AX$5:$AX$15,"&gt;=1"))=0,"",ROUND((SUMIFS('1_바디시그널'!$AX$5:$AX$13,'1_바디시그널'!$AD$5:$AD$13,"EXIT",'1_바디시그널'!$AY$5:$AY$13,"BI",'1_바디시그널'!$AX$5:$AX$13,"&gt;=1")+SUMIFS('2_개행동'!$AX$5:$AX$28,'2_개행동'!$AD$5:$AD$28,"EXIT",'2_개행동'!$AY$5:$AY$28,"BI",'2_개행동'!$AX$5:$AX$28,"&gt;=1")+SUMIFS('3_보호자행동'!$AX$5:$AX$15,'3_보호자행동'!$AD$5:$AD$15,"EXIT",'3_보호자행동'!$AY$5:$AY$15,"BI",'3_보호자행동'!$AX$5:$AX$15,"&gt;=1"))/(COUNTIFS('1_바디시그널'!$AD$5:$AD$13,"EXIT",'1_바디시그널'!$AY$5:$AY$13,"BI",'1_바디시그널'!$AX$5:$AX$13,"&gt;=1")+COUNTIFS('2_개행동'!$AD$5:$AD$28,"EXIT",'2_개행동'!$AY$5:$AY$28,"BI",'2_개행동'!$AX$5:$AX$28,"&gt;=1")+COUNTIFS('3_보호자행동'!$AD$5:$AD$15,"EXIT",'3_보호자행동'!$AY$5:$AY$15,"BI",'3_보호자행동'!$AX$5:$AX$15,"&gt;=1"))-3,2))</f>
        <v/>
      </c>
      <c r="T25" s="39">
        <f>IF((COUNTIFS('1_바디시그널'!$AD$5:$AD$13,"EXIT",'1_바디시그널'!$AX$5:$AX$13,"&gt;=1")+COUNTIFS('2_개행동'!$AD$5:$AD$28,"EXIT",'2_개행동'!$AX$5:$AX$28,"&gt;=1")+COUNTIFS('3_보호자행동'!$AD$5:$AD$15,"EXIT",'3_보호자행동'!$AX$5:$AX$15,"&gt;=1"))=0,"",MAX(MAX(SUMPRODUCT(MAX(('1_바디시그널'!$AD$5:$AD$13="EXIT")*('1_바디시그널'!$AX$5:$AX$13-3))),SUMPRODUCT(MAX(('2_개행동'!$AD$5:$AD$28="EXIT")*('2_개행동'!$AX$5:$AX$28-3))),SUMPRODUCT(MAX(('3_보호자행동'!$AD$5:$AD$15="EXIT")*('3_보호자행동'!$AX$5:$AX$15-3)))),MAX(SUMPRODUCT(MAX(('1_바디시그널'!$AD$5:$AD$13="EXIT")*('1_바디시그널'!$AX$5:$AX$13&gt;=1)*(3-'1_바디시그널'!$AX$5:$AX$13))),SUMPRODUCT(MAX(('2_개행동'!$AD$5:$AD$28="EXIT")*('2_개행동'!$AX$5:$AX$28&gt;=1)*(3-'2_개행동'!$AX$5:$AX$28))),SUMPRODUCT(MAX(('3_보호자행동'!$AD$5:$AD$15="EXIT")*('3_보호자행동'!$AX$5:$AX$15&gt;=1)*(3-'3_보호자행동'!$AX$5:$AX$15))))))</f>
        <v/>
      </c>
      <c r="U25" s="39">
        <f>IF((COUNTIFS('1_바디시그널'!$AD$5:$AD$13,"EXIT",'1_바디시그널'!$AY$5:$AY$13,"ONE",'1_바디시그널'!$AX$5:$AX$13,"&gt;=1")+COUNTIFS('2_개행동'!$AD$5:$AD$28,"EXIT",'2_개행동'!$AY$5:$AY$28,"ONE",'2_개행동'!$AX$5:$AX$28,"&gt;=1")+COUNTIFS('3_보호자행동'!$AD$5:$AD$15,"EXIT",'3_보호자행동'!$AY$5:$AY$15,"ONE",'3_보호자행동'!$AX$5:$AX$15,"&gt;=1"))=0,"",ROUND((SUMIFS('1_바디시그널'!$AX$5:$AX$13,'1_바디시그널'!$AD$5:$AD$13,"EXIT",'1_바디시그널'!$AY$5:$AY$13,"ONE",'1_바디시그널'!$AX$5:$AX$13,"&gt;=1")+SUMIFS('2_개행동'!$AX$5:$AX$28,'2_개행동'!$AD$5:$AD$28,"EXIT",'2_개행동'!$AY$5:$AY$28,"ONE",'2_개행동'!$AX$5:$AX$28,"&gt;=1")+SUMIFS('3_보호자행동'!$AX$5:$AX$15,'3_보호자행동'!$AD$5:$AD$15,"EXIT",'3_보호자행동'!$AY$5:$AY$15,"ONE",'3_보호자행동'!$AX$5:$AX$15,"&gt;=1"))/(COUNTIFS('1_바디시그널'!$AD$5:$AD$13,"EXIT",'1_바디시그널'!$AY$5:$AY$13,"ONE",'1_바디시그널'!$AX$5:$AX$13,"&gt;=1")+COUNTIFS('2_개행동'!$AD$5:$AD$28,"EXIT",'2_개행동'!$AY$5:$AY$28,"ONE",'2_개행동'!$AX$5:$AX$28,"&gt;=1")+COUNTIFS('3_보호자행동'!$AD$5:$AD$15,"EXIT",'3_보호자행동'!$AY$5:$AY$15,"ONE",'3_보호자행동'!$AX$5:$AX$15,"&gt;=1")),2))</f>
        <v/>
      </c>
      <c r="V25" s="49">
        <f>IF(OR('2_개행동'!$AC$8="",'2_개행동'!$AC$22=""),"",ABS('2_개행동'!$AC$8-3)-ABS('2_개행동'!$AC$22-3))</f>
        <v/>
      </c>
      <c r="W25" s="49">
        <f>IF(OR('2_개행동'!$AC$10="",'2_개행동'!$AC$17=""),"",ABS('2_개행동'!$AC$10-3)-ABS('2_개행동'!$AC$17-3))</f>
        <v/>
      </c>
      <c r="X25" s="49">
        <f>IF(OR('2_개행동'!$AC$10="",'2_개행동'!$AC$14=""),"",ABS('2_개행동'!$AC$10-3)-ABS('2_개행동'!$AC$14-3))</f>
        <v/>
      </c>
      <c r="Y25" s="39">
        <f>IF('2_개행동'!$AC$8="","",'2_개행동'!$AC$8)</f>
        <v/>
      </c>
      <c r="Z25" s="40">
        <f>IF('2_개행동'!$AC$25="","",IF('3_보호자행동'!$AC$13=3,"무효",'2_개행동'!$AC$25/6))</f>
        <v/>
      </c>
      <c r="AA25" s="35" t="n"/>
    </row>
  </sheetData>
  <mergeCells count="11">
    <mergeCell ref="B4:B5"/>
    <mergeCell ref="C4:C5"/>
    <mergeCell ref="A4:A5"/>
    <mergeCell ref="AA4:AA5"/>
    <mergeCell ref="Z4:Z5"/>
    <mergeCell ref="S4:U4"/>
    <mergeCell ref="M4:O4"/>
    <mergeCell ref="D4:F4"/>
    <mergeCell ref="G4:I4"/>
    <mergeCell ref="J4:L4"/>
    <mergeCell ref="P4:R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6.5"/>
  <cols>
    <col width="26" customWidth="1" min="1" max="1"/>
    <col width="13" customWidth="1" min="2" max="2"/>
    <col width="8" customWidth="1" min="3" max="4"/>
    <col width="62" customWidth="1" min="5" max="5"/>
  </cols>
  <sheetData>
    <row r="1" ht="20.25" customHeight="1">
      <c r="A1" s="1" t="inlineStr">
        <is>
          <t>한 마리 자세히 보기</t>
        </is>
      </c>
    </row>
    <row r="3">
      <c r="A3" t="inlineStr">
        <is>
          <t>번호 입력 →</t>
        </is>
      </c>
      <c r="B3" s="34" t="n">
        <v>1</v>
      </c>
      <c r="C3">
        <f>IFERROR(IF(INDEX(여러쌍비교!$B$6:$B$25,$B$3)="","(이름 미입력)",INDEX(여러쌍비교!$B$6:$B$25,$B$3)),"")</f>
        <v/>
      </c>
    </row>
    <row r="5">
      <c r="A5" s="5" t="inlineStr">
        <is>
          <t>영역</t>
        </is>
      </c>
      <c r="B5" s="5" t="inlineStr">
        <is>
          <t>기운 / 유형</t>
        </is>
      </c>
      <c r="C5" s="5" t="inlineStr">
        <is>
          <t>폭</t>
        </is>
      </c>
      <c r="D5" s="5" t="inlineStr">
        <is>
          <t>정도</t>
        </is>
      </c>
      <c r="E5" s="5" t="inlineStr">
        <is>
          <t>읽는 법</t>
        </is>
      </c>
    </row>
    <row r="6">
      <c r="A6" s="35" t="inlineStr">
        <is>
          <t>교육태도</t>
        </is>
      </c>
      <c r="B6" s="48">
        <f>IFERROR(INDEX(여러쌍비교!$D$6:$D$25,$B$3),"")</f>
        <v/>
      </c>
      <c r="C6" s="36">
        <f>IFERROR(INDEX(여러쌍비교!$E$6:$E$25,$B$3),"")</f>
        <v/>
      </c>
      <c r="D6" s="37">
        <f>IFERROR(INDEX(여러쌍비교!$F$6:$F$25,$B$3),"")</f>
        <v/>
      </c>
      <c r="E6" s="38">
        <f>IF($B6="","아직 입력 없음",IF(ABS($B6)&lt;0.5,IF($C6&gt;=2,"평균은 안정인데 한 항목이 크게 튐 — 그 장면을 보세요","대체로 안정"),IF($B6&lt;0,IF($B6&lt;=-1,"1 쪽으로 뚜렷","1 쪽으로 조금"),IF($B6&gt;=1,"5 쪽으로 뚜렷","5 쪽으로 조금"))))</f>
        <v/>
      </c>
    </row>
    <row r="7">
      <c r="A7" s="35" t="inlineStr">
        <is>
          <t>사회성 — 환경</t>
        </is>
      </c>
      <c r="B7" s="48">
        <f>IFERROR(INDEX(여러쌍비교!$G$6:$G$25,$B$3),"")</f>
        <v/>
      </c>
      <c r="C7" s="36">
        <f>IFERROR(INDEX(여러쌍비교!$H$6:$H$25,$B$3),"")</f>
        <v/>
      </c>
      <c r="D7" s="37">
        <f>IFERROR(INDEX(여러쌍비교!$I$6:$I$25,$B$3),"")</f>
        <v/>
      </c>
      <c r="E7" s="38">
        <f>IF($B7="","아직 입력 없음",IF(ABS($B7)&lt;0.5,IF($C7&gt;=2,"평균은 안정인데 한 항목이 크게 튐 — 그 장면을 보세요","대체로 안정"),IF($B7&lt;0,IF($B7&lt;=-1,"1 쪽으로 뚜렷","1 쪽으로 조금"),IF($B7&gt;=1,"5 쪽으로 뚜렷","5 쪽으로 조금"))))</f>
        <v/>
      </c>
    </row>
    <row r="8">
      <c r="A8" s="35" t="inlineStr">
        <is>
          <t>사회성 — 사람</t>
        </is>
      </c>
      <c r="B8" s="39">
        <f>IFERROR(INDEX(여러쌍비교!$J$6:$J$25,$B$3),"")</f>
        <v/>
      </c>
      <c r="C8" s="36">
        <f>IFERROR(INDEX(여러쌍비교!$K$6:$K$25,$B$3),"")</f>
        <v/>
      </c>
      <c r="D8" s="37">
        <f>IFERROR(INDEX(여러쌍비교!$L$6:$L$25,$B$3),"")</f>
        <v/>
      </c>
      <c r="E8" s="38">
        <f>IF($B8="","아직 입력 없음",IF($B8="편안·우호","처음 보는 사람에게도 편안한 아이입니다",IF($B8="우호·들뜸","사람을 좋아하는데 조절이 아직 어렵습니다",IF($B8="담담·거리둠","낯선 사람에게 관심이 없습니다 — 문제가 아닙니다","낯선 사람이 부담스러웠습니다"))))</f>
        <v/>
      </c>
    </row>
    <row r="9">
      <c r="A9" s="35" t="inlineStr">
        <is>
          <t>친밀·애착</t>
        </is>
      </c>
      <c r="B9" s="39">
        <f>IFERROR(INDEX(여러쌍비교!$M$6:$M$25,$B$3),"")</f>
        <v/>
      </c>
      <c r="C9" s="36">
        <f>IFERROR(INDEX(여러쌍비교!$N$6:$N$25,$B$3),"")</f>
        <v/>
      </c>
      <c r="D9" s="37">
        <f>IFERROR(INDEX(여러쌍비교!$O$6:$O$25,$B$3),"")</f>
        <v/>
      </c>
      <c r="E9" s="38">
        <f>IF($B9="","아직 입력 없음",IF($B9="안정","떨어지면 찾고 돌아오면 금방 가라앉습니다 — 가장 편한 조합",IF($B9="불안","찾는 건 자연스럽습니다. 가라앉는 데 시간이 걸립니다",IF($B9="거리 둠","떨어져도 티를 안 냅니다. 편해서일 수도, 혼자 견디는 데 익숙해진 것일 수도","다가가는 것과 물러나는 것이 섞여 있었습니다. 오늘 한 번으로 단정하지 않습니다"))))</f>
        <v/>
      </c>
    </row>
    <row r="10">
      <c r="A10" s="35" t="inlineStr">
        <is>
          <t>행동 동조</t>
        </is>
      </c>
      <c r="B10" s="48">
        <f>IFERROR(INDEX(여러쌍비교!$P$6:$P$25,$B$3),"")</f>
        <v/>
      </c>
      <c r="C10" s="36">
        <f>IFERROR(INDEX(여러쌍비교!$Q$6:$Q$25,$B$3),"")</f>
        <v/>
      </c>
      <c r="D10" s="37">
        <f>IFERROR(INDEX(여러쌍비교!$R$6:$R$25,$B$3),"")</f>
        <v/>
      </c>
      <c r="E10" s="38">
        <f>IF($B10="","아직 입력 없음",IF(ABS($B10)&lt;0.5,IF($C10&gt;=2,"평균은 안정인데 한 항목이 크게 튐 — 그 장면을 보세요","대체로 안정"),IF($B10&lt;0,IF($B10&lt;=-1,"1 쪽으로 뚜렷","1 쪽으로 조금"),IF($B10&gt;=1,"5 쪽으로 뚜렷","5 쪽으로 조금"))))</f>
        <v/>
      </c>
    </row>
    <row r="11">
      <c r="A11" s="35" t="inlineStr">
        <is>
          <t>퇴장 — 환경 적응</t>
        </is>
      </c>
      <c r="B11" s="48">
        <f>IFERROR(INDEX(여러쌍비교!$S$6:$S$25,$B$3),"")</f>
        <v/>
      </c>
      <c r="C11" s="36">
        <f>IFERROR(INDEX(여러쌍비교!$T$6:$T$25,$B$3),"")</f>
        <v/>
      </c>
      <c r="D11" s="37">
        <f>IFERROR(INDEX(여러쌍비교!$U$6:$U$25,$B$3),"")</f>
        <v/>
      </c>
      <c r="E11" s="38">
        <f>IF($B11="","아직 입력 없음",IF(ABS($B11)&lt;0.5,IF($C11&gt;=2,"평균은 안정인데 한 항목이 크게 튐 — 그 장면을 보세요","대체로 안정"),IF($B11&lt;0,IF($B11&lt;=-1,"1 쪽으로 뚜렷","1 쪽으로 조금"),IF($B11&gt;=1,"5 쪽으로 뚜렷","5 쪽으로 조금"))))</f>
        <v/>
      </c>
    </row>
    <row r="12">
      <c r="A12" s="35" t="n"/>
      <c r="B12" s="39" t="n"/>
      <c r="C12" s="39" t="n"/>
      <c r="D12" s="39" t="n"/>
      <c r="E12" s="38" t="n"/>
    </row>
    <row r="13">
      <c r="A13" s="35" t="inlineStr">
        <is>
          <t>적응 (기준 → 무시)</t>
        </is>
      </c>
      <c r="B13" s="49">
        <f>IFERROR(INDEX(여러쌍비교!$V$6:$V$25,$B$3),"")</f>
        <v/>
      </c>
      <c r="C13" s="39" t="n"/>
      <c r="D13" s="39" t="n"/>
      <c r="E13" s="38">
        <f>IF($B13="","아직 입력 없음",IF($B13&gt;=1,"처음보다 안정 쪽으로 왔습니다 — 이 자리에 적응했습니다",IF($B13&lt;=-1,"처음보다 안정에서 멀어졌습니다","큰 변화가 없었습니다")))</f>
        <v/>
      </c>
    </row>
    <row r="14">
      <c r="A14" s="35" t="inlineStr">
        <is>
          <t>회복 (혼자 → 재회)</t>
        </is>
      </c>
      <c r="B14" s="49">
        <f>IFERROR(INDEX(여러쌍비교!$W$6:$W$25,$B$3),"")</f>
        <v/>
      </c>
      <c r="C14" s="39" t="n"/>
      <c r="D14" s="39" t="n"/>
      <c r="E14" s="38">
        <f>IF($B14="","아직 입력 없음",IF($B14&gt;=1,"떨어졌다 만난 뒤 안정 쪽으로 왔습니다",IF($B14&lt;=-1,"만난 뒤 오히려 안정에서 더 멀어졌습니다","큰 변화가 없었습니다")))</f>
        <v/>
      </c>
    </row>
    <row r="15">
      <c r="A15" s="35" t="inlineStr">
        <is>
          <t>낯선 진정 (혼자 → 낯선)</t>
        </is>
      </c>
      <c r="B15" s="49">
        <f>IFERROR(INDEX(여러쌍비교!$X$6:$X$25,$B$3),"")</f>
        <v/>
      </c>
      <c r="C15" s="39" t="n"/>
      <c r="D15" s="39" t="n"/>
      <c r="E15" s="38">
        <f>IF($B15="","아직 입력 없음",IF($B15&gt;=1,"낯선 사람이 와도 안정 쪽으로 왔습니다",IF($B15&lt;=-1,"낯선 사람이 오자 안정에서 더 멀어졌습니다","큰 변화가 없었습니다")))</f>
        <v/>
      </c>
    </row>
    <row r="16">
      <c r="A16" s="35" t="inlineStr">
        <is>
          <t>기준선 (기준 각성)</t>
        </is>
      </c>
      <c r="B16" s="36">
        <f>IFERROR(INDEX(여러쌍비교!$Y$6:$Y$25,$B$3),"")</f>
        <v/>
      </c>
      <c r="C16" s="39" t="n"/>
      <c r="D16" s="39" t="n"/>
      <c r="E16" s="38">
        <f>IF($B16="","","아무 일도 없을 때의 바탕입니다. 다른 구간과 비교해 읽습니다.")</f>
        <v/>
      </c>
    </row>
    <row r="17">
      <c r="A17" s="35" t="inlineStr">
        <is>
          <t>걷기 동조율</t>
        </is>
      </c>
      <c r="B17" s="40">
        <f>IFERROR(INDEX(여러쌍비교!$Z$6:$Z$25,$B$3),"")</f>
        <v/>
      </c>
      <c r="C17" s="39" t="n"/>
      <c r="D17" s="39" t="n"/>
      <c r="E17" s="38">
        <f>IF($B17="","","보호자와 같은 상태였던 국면의 비율입니다. 높고 낮음에 좋고 나쁨이 없습니다.")</f>
        <v/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2026-09-12T09:10:15Z</dcterms:created>
  <dcterms:modified xmlns:dcterms="http://purl.org/dc/terms/" xmlns:xsi="http://www.w3.org/2001/XMLSchema-instance" xsi:type="dcterms:W3CDTF">2026-09-15T00:17:04Z</dcterms:modified>
  <cp:lastModifiedBy>User</cp:lastModifiedBy>
</cp:coreProperties>
</file>
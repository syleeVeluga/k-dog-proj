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데이터입력" sheetId="2" state="visible" r:id="rId2"/>
    <sheet xmlns:r="http://schemas.openxmlformats.org/officeDocument/2006/relationships" name="결과" sheetId="3" state="visible" r:id="rId3"/>
    <sheet xmlns:r="http://schemas.openxmlformats.org/officeDocument/2006/relationships" name="온도차대조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1F3864"/>
      <sz val="15"/>
    </font>
    <font>
      <name val="맑은 고딕"/>
      <charset val="1"/>
      <family val="0"/>
      <b val="1"/>
      <color rgb="FF1F3864"/>
      <sz val="15"/>
    </font>
    <font>
      <name val="맑은 고딕"/>
      <charset val="1"/>
      <family val="0"/>
      <sz val="10"/>
    </font>
    <font>
      <name val="Noto Sans CJK SC"/>
      <family val="2"/>
      <b val="1"/>
      <color rgb="FF1F3864"/>
      <sz val="12"/>
    </font>
    <font>
      <name val="맑은 고딕"/>
      <charset val="1"/>
      <family val="0"/>
      <b val="1"/>
      <color rgb="FF1F3864"/>
      <sz val="12"/>
    </font>
    <font>
      <name val="Noto Sans CJK SC"/>
      <family val="2"/>
      <sz val="10"/>
    </font>
    <font>
      <name val="Noto Sans CJK SC"/>
      <family val="2"/>
      <b val="1"/>
      <color rgb="FF1F3864"/>
      <sz val="14"/>
    </font>
    <font>
      <name val="맑은 고딕"/>
      <charset val="1"/>
      <family val="0"/>
      <b val="1"/>
      <color rgb="FF1F3864"/>
      <sz val="14"/>
    </font>
    <font>
      <name val="Noto Sans CJK SC"/>
      <family val="2"/>
      <i val="1"/>
      <color rgb="FFC00000"/>
      <sz val="9"/>
    </font>
    <font>
      <name val="맑은 고딕"/>
      <charset val="1"/>
      <family val="0"/>
      <i val="1"/>
      <color rgb="FFC00000"/>
      <sz val="9"/>
    </font>
    <font>
      <name val="Noto Sans CJK SC"/>
      <family val="2"/>
      <b val="1"/>
      <sz val="10"/>
    </font>
    <font>
      <name val="맑은 고딕"/>
      <charset val="1"/>
      <family val="0"/>
      <b val="1"/>
      <color rgb="FF833C00"/>
      <sz val="10"/>
    </font>
    <font>
      <name val="Noto Sans CJK SC"/>
      <family val="2"/>
      <b val="1"/>
      <color rgb="FF833C00"/>
      <sz val="10"/>
    </font>
    <font>
      <name val="맑은 고딕"/>
      <charset val="1"/>
      <family val="0"/>
      <sz val="9"/>
    </font>
    <font>
      <name val="Noto Sans CJK SC"/>
      <family val="2"/>
      <sz val="9"/>
    </font>
    <font>
      <name val="맑은 고딕"/>
      <charset val="1"/>
      <family val="0"/>
      <b val="1"/>
      <color rgb="FF0000FF"/>
      <sz val="10"/>
    </font>
    <font>
      <name val="Noto Sans CJK SC"/>
      <family val="2"/>
      <b val="1"/>
      <color rgb="FFC00000"/>
      <sz val="9"/>
    </font>
    <font>
      <name val="맑은 고딕"/>
      <charset val="1"/>
      <family val="0"/>
      <b val="1"/>
      <color rgb="FFC00000"/>
      <sz val="9"/>
    </font>
    <font>
      <name val="Noto Sans CJK SC"/>
      <family val="2"/>
      <b val="1"/>
      <color rgb="FF555555"/>
      <sz val="9"/>
    </font>
    <font>
      <name val="맑은 고딕"/>
      <charset val="1"/>
      <family val="0"/>
      <b val="1"/>
      <color rgb="FF555555"/>
      <sz val="9"/>
    </font>
    <font>
      <name val="Noto Sans CJK SC"/>
      <family val="2"/>
      <b val="1"/>
      <sz val="9"/>
    </font>
    <font>
      <name val="맑은 고딕"/>
      <charset val="1"/>
      <family val="0"/>
      <b val="1"/>
      <sz val="9"/>
    </font>
    <font>
      <name val="Noto Sans CJK SC"/>
      <family val="2"/>
      <color rgb="FF555555"/>
      <sz val="9"/>
    </font>
    <font>
      <name val="맑은 고딕"/>
      <charset val="1"/>
      <family val="0"/>
      <color rgb="FF555555"/>
      <sz val="9"/>
    </font>
    <font>
      <name val="Noto Sans CJK SC"/>
      <family val="2"/>
      <b val="1"/>
      <color rgb="FF1F3864"/>
      <sz val="9"/>
    </font>
    <font>
      <name val="맑은 고딕"/>
      <charset val="1"/>
      <family val="0"/>
      <b val="1"/>
      <color rgb="FF1F3864"/>
      <sz val="9"/>
    </font>
    <font>
      <name val="맑은 고딕"/>
      <charset val="1"/>
      <family val="0"/>
      <b val="1"/>
      <sz val="10"/>
    </font>
    <font>
      <name val="Noto Sans CJK SC"/>
      <family val="2"/>
      <b val="1"/>
      <color rgb="FF1F3864"/>
      <sz val="11"/>
    </font>
    <font>
      <name val="맑은 고딕"/>
      <charset val="1"/>
      <family val="0"/>
      <b val="1"/>
      <color rgb="FF1F3864"/>
      <sz val="11"/>
    </font>
    <font>
      <name val="Noto Sans CJK SC"/>
      <family val="2"/>
      <b val="1"/>
      <color rgb="FF1F3864"/>
      <sz val="10"/>
    </font>
    <font>
      <name val="맑은 고딕"/>
      <charset val="1"/>
      <family val="0"/>
      <color rgb="FF000000"/>
      <sz val="10"/>
    </font>
    <font>
      <name val="Noto Sans CJK SC"/>
      <family val="2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FCE4D6"/>
        <bgColor rgb="FFFBE4EC"/>
      </patternFill>
    </fill>
    <fill>
      <patternFill patternType="solid">
        <fgColor rgb="FFFFF2CC"/>
        <bgColor rgb="FFFCE4D6"/>
      </patternFill>
    </fill>
    <fill>
      <patternFill patternType="solid">
        <fgColor rgb="FFF2F7FB"/>
        <bgColor rgb="FFF3F9F3"/>
      </patternFill>
    </fill>
    <fill>
      <patternFill patternType="solid">
        <fgColor rgb="FFE2EFDA"/>
        <bgColor rgb="FFDCE6F1"/>
      </patternFill>
    </fill>
    <fill>
      <patternFill patternType="solid">
        <fgColor rgb="FFFBE4EC"/>
        <bgColor rgb="FFFCE4D6"/>
      </patternFill>
    </fill>
    <fill>
      <patternFill patternType="solid">
        <fgColor rgb="FFF7F3FA"/>
        <bgColor rgb="FFF2F7FB"/>
      </patternFill>
    </fill>
    <fill>
      <patternFill patternType="solid">
        <fgColor rgb="FFF3F9F3"/>
        <bgColor rgb="FFF2F7FB"/>
      </patternFill>
    </fill>
    <fill>
      <patternFill patternType="solid">
        <fgColor rgb="FFFDF6EF"/>
        <bgColor rgb="FFF7F3FA"/>
      </patternFill>
    </fill>
    <fill>
      <patternFill patternType="solid">
        <fgColor rgb="FFC6E0B4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bottom"/>
    </xf>
    <xf numFmtId="0" fontId="15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left" vertical="bottom"/>
    </xf>
    <xf numFmtId="0" fontId="6" fillId="4" borderId="2" applyAlignment="1" pivotButton="0" quotePrefix="0" xfId="0">
      <alignment horizontal="center" vertical="bottom"/>
    </xf>
    <xf numFmtId="0" fontId="6" fillId="4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9" fillId="4" borderId="2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left" vertical="bottom"/>
    </xf>
    <xf numFmtId="0" fontId="17" fillId="4" borderId="2" applyAlignment="1" pivotButton="0" quotePrefix="0" xfId="0">
      <alignment horizontal="center" vertical="bottom"/>
    </xf>
    <xf numFmtId="0" fontId="17" fillId="4" borderId="1" applyAlignment="1" pivotButton="0" quotePrefix="0" xfId="0">
      <alignment horizontal="center" vertical="bottom"/>
    </xf>
    <xf numFmtId="0" fontId="26" fillId="0" borderId="0" applyAlignment="1" pivotButton="0" quotePrefix="0" xfId="0">
      <alignment horizontal="general" vertical="bottom"/>
    </xf>
    <xf numFmtId="0" fontId="28" fillId="2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center" vertical="center" wrapText="1"/>
    </xf>
    <xf numFmtId="0" fontId="28" fillId="12" borderId="1" applyAlignment="1" pivotButton="0" quotePrefix="0" xfId="0">
      <alignment horizontal="center" vertical="center" wrapText="1"/>
    </xf>
    <xf numFmtId="0" fontId="28" fillId="13" borderId="1" applyAlignment="1" pivotButton="0" quotePrefix="0" xfId="0">
      <alignment horizontal="center" vertical="center" wrapText="1"/>
    </xf>
    <xf numFmtId="0" fontId="29" fillId="11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2" applyAlignment="1" pivotButton="0" quotePrefix="0" xfId="0">
      <alignment horizontal="center" vertical="bottom"/>
    </xf>
    <xf numFmtId="0" fontId="31" fillId="0" borderId="0" applyAlignment="1" pivotButton="0" quotePrefix="0" xfId="0">
      <alignment horizontal="general" vertical="bottom"/>
    </xf>
    <xf numFmtId="0" fontId="24" fillId="2" borderId="1" applyAlignment="1" pivotButton="0" quotePrefix="0" xfId="0">
      <alignment horizontal="center" vertical="bottom"/>
    </xf>
    <xf numFmtId="0" fontId="25" fillId="2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left" vertical="bottom"/>
    </xf>
    <xf numFmtId="0" fontId="27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2" borderId="1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bottom"/>
    </xf>
    <xf numFmtId="0" fontId="15" fillId="3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14" fillId="0" borderId="1" applyAlignment="1" pivotButton="0" quotePrefix="0" xfId="0">
      <alignment horizontal="left" vertical="bottom"/>
    </xf>
    <xf numFmtId="0" fontId="6" fillId="4" borderId="2" applyAlignment="1" pivotButton="0" quotePrefix="0" xfId="0">
      <alignment horizontal="center" vertical="bottom"/>
    </xf>
    <xf numFmtId="0" fontId="6" fillId="4" borderId="1" applyAlignment="1" pivotButton="0" quotePrefix="0" xfId="0">
      <alignment horizontal="center" vertical="bottom"/>
    </xf>
    <xf numFmtId="0" fontId="17" fillId="0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19" fillId="4" borderId="2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left" vertical="bottom"/>
    </xf>
    <xf numFmtId="0" fontId="17" fillId="4" borderId="2" applyAlignment="1" pivotButton="0" quotePrefix="0" xfId="0">
      <alignment horizontal="center" vertical="bottom"/>
    </xf>
    <xf numFmtId="0" fontId="17" fillId="4" borderId="1" applyAlignment="1" pivotButton="0" quotePrefix="0" xfId="0">
      <alignment horizontal="center" vertical="bottom"/>
    </xf>
    <xf numFmtId="0" fontId="26" fillId="0" borderId="0" applyAlignment="1" pivotButton="0" quotePrefix="0" xfId="0">
      <alignment horizontal="general" vertical="bottom"/>
    </xf>
    <xf numFmtId="0" fontId="28" fillId="2" borderId="1" applyAlignment="1" pivotButton="0" quotePrefix="0" xfId="0">
      <alignment horizontal="center" vertical="center" wrapText="1"/>
    </xf>
    <xf numFmtId="0" fontId="28" fillId="11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8" fillId="12" borderId="1" applyAlignment="1" pivotButton="0" quotePrefix="0" xfId="0">
      <alignment horizontal="center" vertical="center" wrapText="1"/>
    </xf>
    <xf numFmtId="0" fontId="28" fillId="1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9" fillId="11" borderId="1" applyAlignment="1" pivotButton="0" quotePrefix="0" xfId="0">
      <alignment horizontal="center" vertical="center" wrapText="1"/>
    </xf>
    <xf numFmtId="0" fontId="29" fillId="12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left" vertical="bottom"/>
    </xf>
    <xf numFmtId="0" fontId="6" fillId="0" borderId="2" applyAlignment="1" pivotButton="0" quotePrefix="0" xfId="0">
      <alignment horizontal="center" vertical="bottom"/>
    </xf>
    <xf numFmtId="0" fontId="31" fillId="0" borderId="0" applyAlignment="1" pivotButton="0" quotePrefix="0" xfId="0">
      <alignment horizontal="general" vertical="bottom"/>
    </xf>
    <xf numFmtId="0" fontId="24" fillId="2" borderId="1" applyAlignment="1" pivotButton="0" quotePrefix="0" xfId="0">
      <alignment horizontal="center" vertical="bottom"/>
    </xf>
    <xf numFmtId="0" fontId="25" fillId="2" borderId="1" applyAlignment="1" pivotButton="0" quotePrefix="0" xfId="0">
      <alignment horizontal="center" vertical="bottom"/>
    </xf>
    <xf numFmtId="0" fontId="18" fillId="0" borderId="1" applyAlignment="1" pivotButton="0" quotePrefix="0" xfId="0">
      <alignment horizontal="left" vertical="bottom"/>
    </xf>
    <xf numFmtId="0" fontId="27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DF6EF"/>
      <rgbColor rgb="FFC00000"/>
      <rgbColor rgb="FF00FF00"/>
      <rgbColor rgb="FF0000FF"/>
      <rgbColor rgb="FFF3F9F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E2EFDA"/>
      <rgbColor rgb="FFFFE699"/>
      <rgbColor rgb="FFFBE4EC"/>
      <rgbColor rgb="FFFCE4D6"/>
      <rgbColor rgb="FFF7F3FA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52" min="1" max="1"/>
  </cols>
  <sheetData>
    <row r="1" ht="23.1" customHeight="1" s="53">
      <c r="A1" s="54" t="inlineStr">
        <is>
          <t>반려견-보호자 관계 진단 설문 — 자동 채점 (30문항 · 4영역 · 20명)</t>
        </is>
      </c>
    </row>
    <row r="2" ht="15" customHeight="1" s="53">
      <c r="A2" s="55" t="n"/>
    </row>
    <row r="3" ht="19.4" customHeight="1" s="53">
      <c r="A3" s="56" t="inlineStr">
        <is>
          <t>■ 문항 출처 3층</t>
        </is>
      </c>
    </row>
    <row r="4" ht="15" customHeight="1" s="53">
      <c r="A4" s="57" t="inlineStr">
        <is>
          <t>원 (16문항)   건국대 검증 척도 원문. 채점의 뼈대이며 기준선 비교도 이것으로만 합니다.</t>
        </is>
      </c>
    </row>
    <row r="5" ht="15" customHeight="1" s="53">
      <c r="A5" s="55" t="inlineStr">
        <is>
          <t>C  (8문항)    C-BARQ에서 가져와 현재형으로 번안. 개의 성향·사회화 정도를 봅니다. 검증 점수와 분리합니다.</t>
        </is>
      </c>
    </row>
    <row r="6" ht="15" customHeight="1" s="53">
      <c r="A6" s="57" t="inlineStr">
        <is>
          <t>영 (6문항)    자체 제작. 점수를 매기지 않고, 영상 실제 모습과 대조하는 온도차 재료로만 씁니다.</t>
        </is>
      </c>
    </row>
    <row r="7" ht="15" customHeight="1" s="53">
      <c r="A7" s="55" t="n"/>
    </row>
    <row r="8" ht="15" customHeight="1" s="53">
      <c r="A8" s="56" t="inlineStr">
        <is>
          <t>■ 채점 원칙 — 세 층을 섞지 않습니다</t>
        </is>
      </c>
    </row>
    <row r="9" ht="15" customHeight="1" s="53">
      <c r="A9" s="57" t="inlineStr">
        <is>
          <t>결과 시트는 [검증 점수] / [개 성향 참고] / [온도차 재료] 세 묶음으로 나뉘어 있습니다.</t>
        </is>
      </c>
    </row>
    <row r="10" ht="15" customHeight="1" s="53">
      <c r="A10" s="57" t="inlineStr">
        <is>
          <t>전체 평균은 검증 점수 세 영역(A·C-1·D)으로만 계산합니다. C와 영은 여기에 섞이지 않습니다.</t>
        </is>
      </c>
    </row>
    <row r="11" ht="15" customHeight="1" s="53">
      <c r="A11" s="57" t="inlineStr">
        <is>
          <t>역채점(R): 22 · 26 · 27 · 28 · 29 · 30 → 6에서 응답값을 뺍니다. 응답은 그대로 입력하면 됩니다.</t>
        </is>
      </c>
    </row>
    <row r="12" ht="15" customHeight="1" s="53">
      <c r="A12" s="55" t="inlineStr">
        <is>
          <t>23번(내가 안 보이면 나를 찾아다닌다)은 중간(3)이 가장 안정입니다. 3→5점, 4→4, 2→3, 1→2, 5→1점으로 환산하고, 결과 시트에 [A]과함 / [B]위축 방향을 함께 표시합니다.</t>
        </is>
      </c>
    </row>
    <row r="13" ht="15" customHeight="1" s="53">
      <c r="A13" s="56" t="inlineStr">
        <is>
          <t>■ 시트 구성</t>
        </is>
      </c>
    </row>
    <row r="14" ht="15" customHeight="1" s="53">
      <c r="A14" s="57" t="inlineStr">
        <is>
          <t>데이터입력    30문항 × 20명. 노란 칸에 1~5 입력. 아래쪽에 견종·나이 등 참고 정보 칸.</t>
        </is>
      </c>
    </row>
    <row r="15" ht="15" customHeight="1" s="53">
      <c r="A15" s="57" t="inlineStr">
        <is>
          <t>결과          세 묶음으로 나눈 자동 채점 + 해석 + 원 논문 기준선.</t>
        </is>
      </c>
    </row>
    <row r="16" ht="15" customHeight="1" s="53">
      <c r="A16" s="57" t="inlineStr">
        <is>
          <t>온도차대조    [영] 문항이 영상 어느 구간·어느 항목과 짝인지 정리한 표.</t>
        </is>
      </c>
    </row>
    <row r="17" ht="15" customHeight="1" s="53">
      <c r="A17" s="55" t="n"/>
    </row>
    <row r="18" ht="15" customHeight="1" s="53">
      <c r="A18" s="56" t="inlineStr">
        <is>
          <t>■ 번호는 행동 채점표와 같습니다</t>
        </is>
      </c>
    </row>
    <row r="19" ht="15" customHeight="1" s="53">
      <c r="A19" s="57" t="inlineStr">
        <is>
          <t>여기의 1번~20번은 행동 채점표 파일의 1번~20번과 같은 아이입니다.</t>
        </is>
      </c>
    </row>
    <row r="20" ht="15" customHeight="1" s="53">
      <c r="A20" s="57" t="inlineStr">
        <is>
          <t>설문 결과와 영상 결과를 같은 번호로 맞춰 보면 그것이 곧 온도차 리포트의 재료가 됩니다.</t>
        </is>
      </c>
    </row>
    <row r="21" ht="15" customHeight="1" s="53">
      <c r="A21" s="55" t="n"/>
    </row>
    <row r="22" ht="15" customHeight="1" s="53">
      <c r="A22" s="56" t="inlineStr">
        <is>
          <t>■ 주의</t>
        </is>
      </c>
    </row>
    <row r="23" ht="15" customHeight="1" s="53">
      <c r="A23" s="55" t="inlineStr">
        <is>
          <t>· 사회화(B)는 원 논문 기준선과 비교할 수 없습니다. 과거형(어릴 적 경험)을 현재형(지금 편안한가)으로 바꿨기 때문입니다.</t>
        </is>
      </c>
    </row>
    <row r="24" ht="15" customHeight="1" s="53">
      <c r="A24" s="55" t="inlineStr">
        <is>
          <t>· 23번(찾아다님)은 높을수록 좋은 문항이 아닙니다. 3점이 가장 좋고 4→2→1→5 순으로 나빠집니다.</t>
        </is>
      </c>
    </row>
    <row r="25" ht="15" customHeight="1" s="53">
      <c r="A25" s="57" t="inlineStr">
        <is>
          <t xml:space="preserve">  3=5점 / 4=4점 / 2=3점 / 1=2점 / 5=1점 으로 환산해 C-2 평균에 넣습니다. 방향은 [A]과함(4·5) / [B]위축(1·2).</t>
        </is>
      </c>
    </row>
    <row r="26" ht="15" customHeight="1" s="53">
      <c r="A26" s="55" t="inlineStr">
        <is>
          <t xml:space="preserve">  그리고 영상 [분리] 블라인드 지향과 1:1로 대조합니다 — 방향이 어긋나면 온도차입니다.</t>
        </is>
      </c>
    </row>
    <row r="27" ht="15" customHeight="1" s="53">
      <c r="A27" s="55" t="inlineStr">
        <is>
          <t>· C-BARQ는 펜실베이니아대학교 등록 후 사용이며, 상업적 사용이면 별도 확인이 필요합니다.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52" min="1" max="3"/>
    <col width="52" customWidth="1" style="52" min="4" max="4"/>
    <col width="11" customWidth="1" style="52" min="5" max="5"/>
    <col width="5.4" customWidth="1" style="52" min="6" max="25"/>
  </cols>
  <sheetData>
    <row r="1" ht="21.6" customHeight="1" s="53">
      <c r="A1" s="58" t="inlineStr">
        <is>
          <t>반려견-보호자 관계 진단 설문 — 데이터 입력 (30문항 · 20명)</t>
        </is>
      </c>
    </row>
    <row r="2" ht="15" customHeight="1" s="53">
      <c r="A2" s="59" t="inlineStr">
        <is>
          <t>노란 칸에만 1~5를 입력하세요 (1=전혀 아니다 ~ 5=매우 그렇다). 역채점 문항도 응답값 그대로 넣으면 자동 처리됩니다. 번호는 행동 채점표의 1번~20번과 같은 아이입니다.</t>
        </is>
      </c>
    </row>
    <row r="4" ht="15" customHeight="1" s="53">
      <c r="A4" s="60" t="inlineStr">
        <is>
          <t>번호</t>
        </is>
      </c>
      <c r="B4" s="60" t="inlineStr">
        <is>
          <t>영역</t>
        </is>
      </c>
      <c r="C4" s="60" t="inlineStr">
        <is>
          <t>출처</t>
        </is>
      </c>
      <c r="D4" s="60" t="inlineStr">
        <is>
          <t>문항</t>
        </is>
      </c>
      <c r="E4" s="60" t="inlineStr">
        <is>
          <t>채점</t>
        </is>
      </c>
      <c r="F4" s="61" t="inlineStr">
        <is>
          <t>1번</t>
        </is>
      </c>
      <c r="G4" s="62" t="inlineStr">
        <is>
          <t>2번</t>
        </is>
      </c>
      <c r="H4" s="62" t="inlineStr">
        <is>
          <t>3번</t>
        </is>
      </c>
      <c r="I4" s="62" t="inlineStr">
        <is>
          <t>4번</t>
        </is>
      </c>
      <c r="J4" s="62" t="inlineStr">
        <is>
          <t>5번</t>
        </is>
      </c>
      <c r="K4" s="62" t="inlineStr">
        <is>
          <t>6번</t>
        </is>
      </c>
      <c r="L4" s="62" t="inlineStr">
        <is>
          <t>7번</t>
        </is>
      </c>
      <c r="M4" s="62" t="inlineStr">
        <is>
          <t>8번</t>
        </is>
      </c>
      <c r="N4" s="62" t="inlineStr">
        <is>
          <t>9번</t>
        </is>
      </c>
      <c r="O4" s="62" t="inlineStr">
        <is>
          <t>10번</t>
        </is>
      </c>
      <c r="P4" s="62" t="inlineStr">
        <is>
          <t>11번</t>
        </is>
      </c>
      <c r="Q4" s="62" t="inlineStr">
        <is>
          <t>12번</t>
        </is>
      </c>
      <c r="R4" s="62" t="inlineStr">
        <is>
          <t>13번</t>
        </is>
      </c>
      <c r="S4" s="62" t="inlineStr">
        <is>
          <t>14번</t>
        </is>
      </c>
      <c r="T4" s="62" t="inlineStr">
        <is>
          <t>15번</t>
        </is>
      </c>
      <c r="U4" s="62" t="inlineStr">
        <is>
          <t>16번</t>
        </is>
      </c>
      <c r="V4" s="62" t="inlineStr">
        <is>
          <t>17번</t>
        </is>
      </c>
      <c r="W4" s="62" t="inlineStr">
        <is>
          <t>18번</t>
        </is>
      </c>
      <c r="X4" s="62" t="inlineStr">
        <is>
          <t>19번</t>
        </is>
      </c>
      <c r="Y4" s="62" t="inlineStr">
        <is>
          <t>20번</t>
        </is>
      </c>
    </row>
    <row r="5" ht="19.5" customHeight="1" s="53">
      <c r="A5" s="63" t="n"/>
      <c r="B5" s="63" t="n"/>
      <c r="C5" s="63" t="n"/>
      <c r="D5" s="64" t="inlineStr">
        <is>
          <t>반려견 이름</t>
        </is>
      </c>
      <c r="E5" s="63" t="n"/>
      <c r="F5" s="65" t="n"/>
      <c r="G5" s="66" t="n"/>
      <c r="H5" s="66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 ht="18" customHeight="1" s="53">
      <c r="A6" s="67" t="n">
        <v>1</v>
      </c>
      <c r="B6" s="68" t="inlineStr">
        <is>
          <t>A</t>
        </is>
      </c>
      <c r="C6" s="69" t="inlineStr">
        <is>
          <t>원</t>
        </is>
      </c>
      <c r="D6" s="70" t="inlineStr">
        <is>
          <t>무언가를 가르칠 때 단계적으로 시도한다</t>
        </is>
      </c>
      <c r="E6" s="67" t="inlineStr">
        <is>
          <t>-</t>
        </is>
      </c>
      <c r="F6" s="71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</row>
    <row r="7" ht="18" customHeight="1" s="53">
      <c r="A7" s="67" t="n">
        <v>2</v>
      </c>
      <c r="B7" s="68" t="inlineStr">
        <is>
          <t>A</t>
        </is>
      </c>
      <c r="C7" s="69" t="inlineStr">
        <is>
          <t>원</t>
        </is>
      </c>
      <c r="D7" s="70" t="inlineStr">
        <is>
          <t>문제행동이 있으면 그 원인을 파악하려 한다</t>
        </is>
      </c>
      <c r="E7" s="67" t="inlineStr">
        <is>
          <t>-</t>
        </is>
      </c>
      <c r="F7" s="71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</row>
    <row r="8" ht="18" customHeight="1" s="53">
      <c r="A8" s="67" t="n">
        <v>3</v>
      </c>
      <c r="B8" s="68" t="inlineStr">
        <is>
          <t>A</t>
        </is>
      </c>
      <c r="C8" s="69" t="inlineStr">
        <is>
          <t>원</t>
        </is>
      </c>
      <c r="D8" s="70" t="inlineStr">
        <is>
          <t>문제행동을 고칠 때 대신할 행동을 가르치려 한다</t>
        </is>
      </c>
      <c r="E8" s="67" t="inlineStr">
        <is>
          <t>-</t>
        </is>
      </c>
      <c r="F8" s="71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</row>
    <row r="9" ht="18" customHeight="1" s="53">
      <c r="A9" s="67" t="n">
        <v>4</v>
      </c>
      <c r="B9" s="68" t="inlineStr">
        <is>
          <t>A</t>
        </is>
      </c>
      <c r="C9" s="69" t="inlineStr">
        <is>
          <t>원</t>
        </is>
      </c>
      <c r="D9" s="70" t="inlineStr">
        <is>
          <t>책·영상 등으로 훈련 방법을 배우려 노력한다</t>
        </is>
      </c>
      <c r="E9" s="67" t="inlineStr">
        <is>
          <t>-</t>
        </is>
      </c>
      <c r="F9" s="71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</row>
    <row r="10" ht="18" customHeight="1" s="53">
      <c r="A10" s="67" t="n">
        <v>5</v>
      </c>
      <c r="B10" s="68" t="inlineStr">
        <is>
          <t>A</t>
        </is>
      </c>
      <c r="C10" s="69" t="inlineStr">
        <is>
          <t>원</t>
        </is>
      </c>
      <c r="D10" s="70" t="inlineStr">
        <is>
          <t>두려워하는 것에 천천히 적응할 시간을 준다</t>
        </is>
      </c>
      <c r="E10" s="67" t="inlineStr">
        <is>
          <t>-</t>
        </is>
      </c>
      <c r="F10" s="71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</row>
    <row r="11" ht="18" customHeight="1" s="53">
      <c r="A11" s="67" t="n">
        <v>6</v>
      </c>
      <c r="B11" s="68" t="inlineStr">
        <is>
          <t>A</t>
        </is>
      </c>
      <c r="C11" s="69" t="inlineStr">
        <is>
          <t>원</t>
        </is>
      </c>
      <c r="D11" s="70" t="inlineStr">
        <is>
          <t>두려운 것을 좋은 경험과 연결해 극복하도록 돕는다</t>
        </is>
      </c>
      <c r="E11" s="67" t="inlineStr">
        <is>
          <t>-</t>
        </is>
      </c>
      <c r="F11" s="71" t="n"/>
      <c r="G11" s="72" t="n"/>
      <c r="H11" s="72" t="n"/>
      <c r="I11" s="72" t="n"/>
      <c r="J11" s="72" t="n"/>
      <c r="K11" s="72" t="n"/>
      <c r="L11" s="72" t="n"/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</row>
    <row r="12" ht="18" customHeight="1" s="53">
      <c r="A12" s="67" t="n">
        <v>7</v>
      </c>
      <c r="B12" s="68" t="inlineStr">
        <is>
          <t>A</t>
        </is>
      </c>
      <c r="C12" s="73" t="inlineStr">
        <is>
          <t>영</t>
        </is>
      </c>
      <c r="D12" s="70" t="inlineStr">
        <is>
          <t>지시할 때 칭찬을 먼저 하고 간식은 그다음에 준다</t>
        </is>
      </c>
      <c r="E12" s="67" t="inlineStr">
        <is>
          <t>-</t>
        </is>
      </c>
      <c r="F12" s="71" t="n"/>
      <c r="G12" s="72" t="n"/>
      <c r="H12" s="72" t="n"/>
      <c r="I12" s="72" t="n"/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</row>
    <row r="13" ht="18" customHeight="1" s="53">
      <c r="A13" s="67" t="n">
        <v>8</v>
      </c>
      <c r="B13" s="68" t="inlineStr">
        <is>
          <t>A</t>
        </is>
      </c>
      <c r="C13" s="73" t="inlineStr">
        <is>
          <t>영</t>
        </is>
      </c>
      <c r="D13" s="70" t="inlineStr">
        <is>
          <t>간식이 없어도 아는 지시(앉아 등)를 시킬 수 있다</t>
        </is>
      </c>
      <c r="E13" s="67" t="inlineStr">
        <is>
          <t>-</t>
        </is>
      </c>
      <c r="F13" s="71" t="n"/>
      <c r="G13" s="72" t="n"/>
      <c r="H13" s="72" t="n"/>
      <c r="I13" s="72" t="n"/>
      <c r="J13" s="72" t="n"/>
      <c r="K13" s="72" t="n"/>
      <c r="L13" s="72" t="n"/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</row>
    <row r="14" ht="18" customHeight="1" s="53">
      <c r="A14" s="67" t="n">
        <v>9</v>
      </c>
      <c r="B14" s="74" t="inlineStr">
        <is>
          <t>B</t>
        </is>
      </c>
      <c r="C14" s="75" t="inlineStr">
        <is>
          <t>C</t>
        </is>
      </c>
      <c r="D14" s="70" t="inlineStr">
        <is>
          <t>처음 가는 장소에서도 곧 편안해한다</t>
        </is>
      </c>
      <c r="E14" s="67" t="inlineStr">
        <is>
          <t>-</t>
        </is>
      </c>
      <c r="F14" s="71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</row>
    <row r="15" ht="18" customHeight="1" s="53">
      <c r="A15" s="67" t="n">
        <v>10</v>
      </c>
      <c r="B15" s="74" t="inlineStr">
        <is>
          <t>B</t>
        </is>
      </c>
      <c r="C15" s="75" t="inlineStr">
        <is>
          <t>C</t>
        </is>
      </c>
      <c r="D15" s="70" t="inlineStr">
        <is>
          <t>낯선 사람이 다가와도 편안하게 대한다</t>
        </is>
      </c>
      <c r="E15" s="67" t="inlineStr">
        <is>
          <t>-</t>
        </is>
      </c>
      <c r="F15" s="71" t="n"/>
      <c r="G15" s="72" t="n"/>
      <c r="H15" s="72" t="n"/>
      <c r="I15" s="72" t="n"/>
      <c r="J15" s="72" t="n"/>
      <c r="K15" s="72" t="n"/>
      <c r="L15" s="72" t="n"/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</row>
    <row r="16" ht="18" customHeight="1" s="53">
      <c r="A16" s="67" t="n">
        <v>11</v>
      </c>
      <c r="B16" s="74" t="inlineStr">
        <is>
          <t>B</t>
        </is>
      </c>
      <c r="C16" s="75" t="inlineStr">
        <is>
          <t>C</t>
        </is>
      </c>
      <c r="D16" s="70" t="inlineStr">
        <is>
          <t>낯선 개를 만나도 크게 긴장하지 않는다</t>
        </is>
      </c>
      <c r="E16" s="67" t="inlineStr">
        <is>
          <t>-</t>
        </is>
      </c>
      <c r="F16" s="71" t="n"/>
      <c r="G16" s="72" t="n"/>
      <c r="H16" s="72" t="n"/>
      <c r="I16" s="72" t="n"/>
      <c r="J16" s="72" t="n"/>
      <c r="K16" s="72" t="n"/>
      <c r="L16" s="72" t="n"/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</row>
    <row r="17" ht="18" customHeight="1" s="53">
      <c r="A17" s="67" t="n">
        <v>12</v>
      </c>
      <c r="B17" s="74" t="inlineStr">
        <is>
          <t>B</t>
        </is>
      </c>
      <c r="C17" s="75" t="inlineStr">
        <is>
          <t>C</t>
        </is>
      </c>
      <c r="D17" s="70" t="inlineStr">
        <is>
          <t>새로운 물건(우산·큰 가방 등)을 무서워하지 않는다</t>
        </is>
      </c>
      <c r="E17" s="67" t="inlineStr">
        <is>
          <t>-</t>
        </is>
      </c>
      <c r="F17" s="71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</row>
    <row r="18" ht="18" customHeight="1" s="53">
      <c r="A18" s="67" t="n">
        <v>13</v>
      </c>
      <c r="B18" s="74" t="inlineStr">
        <is>
          <t>B</t>
        </is>
      </c>
      <c r="C18" s="75" t="inlineStr">
        <is>
          <t>C</t>
        </is>
      </c>
      <c r="D18" s="70" t="inlineStr">
        <is>
          <t>갑작스러운 소리(천둥·공사음 등)에 크게 놀라지 않는다</t>
        </is>
      </c>
      <c r="E18" s="67" t="inlineStr">
        <is>
          <t>-</t>
        </is>
      </c>
      <c r="F18" s="71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</row>
    <row r="19" ht="18" customHeight="1" s="53">
      <c r="A19" s="67" t="n">
        <v>14</v>
      </c>
      <c r="B19" s="74" t="inlineStr">
        <is>
          <t>B</t>
        </is>
      </c>
      <c r="C19" s="73" t="inlineStr">
        <is>
          <t>영</t>
        </is>
      </c>
      <c r="D19" s="70" t="inlineStr">
        <is>
          <t>낯선 곳에서도 바닥 냄새를 맡으며 탐색한다</t>
        </is>
      </c>
      <c r="E19" s="67" t="inlineStr">
        <is>
          <t>-</t>
        </is>
      </c>
      <c r="F19" s="71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</row>
    <row r="20" ht="18" customHeight="1" s="53">
      <c r="A20" s="67" t="n">
        <v>15</v>
      </c>
      <c r="B20" s="76" t="inlineStr">
        <is>
          <t>C</t>
        </is>
      </c>
      <c r="C20" s="69" t="inlineStr">
        <is>
          <t>원</t>
        </is>
      </c>
      <c r="D20" s="70" t="inlineStr">
        <is>
          <t>반려견과 나는 서로 긍정적인 영향을 준다</t>
        </is>
      </c>
      <c r="E20" s="67" t="inlineStr">
        <is>
          <t>-</t>
        </is>
      </c>
      <c r="F20" s="71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</row>
    <row r="21" ht="18" customHeight="1" s="53">
      <c r="A21" s="67" t="n">
        <v>16</v>
      </c>
      <c r="B21" s="76" t="inlineStr">
        <is>
          <t>C</t>
        </is>
      </c>
      <c r="C21" s="69" t="inlineStr">
        <is>
          <t>원</t>
        </is>
      </c>
      <c r="D21" s="70" t="inlineStr">
        <is>
          <t>반려견과 자주 눈을 맞춘다</t>
        </is>
      </c>
      <c r="E21" s="67" t="inlineStr">
        <is>
          <t>-</t>
        </is>
      </c>
      <c r="F21" s="71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</row>
    <row r="22" ht="18" customHeight="1" s="53">
      <c r="A22" s="67" t="n">
        <v>17</v>
      </c>
      <c r="B22" s="76" t="inlineStr">
        <is>
          <t>C</t>
        </is>
      </c>
      <c r="C22" s="69" t="inlineStr">
        <is>
          <t>원</t>
        </is>
      </c>
      <c r="D22" s="70" t="inlineStr">
        <is>
          <t>함께 있는 것만으로 행복하다</t>
        </is>
      </c>
      <c r="E22" s="67" t="inlineStr">
        <is>
          <t>-</t>
        </is>
      </c>
      <c r="F22" s="71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</row>
    <row r="23" ht="18" customHeight="1" s="53">
      <c r="A23" s="67" t="n">
        <v>18</v>
      </c>
      <c r="B23" s="76" t="inlineStr">
        <is>
          <t>C</t>
        </is>
      </c>
      <c r="C23" s="69" t="inlineStr">
        <is>
          <t>원</t>
        </is>
      </c>
      <c r="D23" s="70" t="inlineStr">
        <is>
          <t>시간이 나면 함께 시간을 보내려 한다</t>
        </is>
      </c>
      <c r="E23" s="67" t="inlineStr">
        <is>
          <t>-</t>
        </is>
      </c>
      <c r="F23" s="71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</row>
    <row r="24" ht="18" customHeight="1" s="53">
      <c r="A24" s="67" t="n">
        <v>19</v>
      </c>
      <c r="B24" s="76" t="inlineStr">
        <is>
          <t>C</t>
        </is>
      </c>
      <c r="C24" s="69" t="inlineStr">
        <is>
          <t>원</t>
        </is>
      </c>
      <c r="D24" s="70" t="inlineStr">
        <is>
          <t>반려견과 나는 서로 의지한다</t>
        </is>
      </c>
      <c r="E24" s="67" t="inlineStr">
        <is>
          <t>-</t>
        </is>
      </c>
      <c r="F24" s="71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</row>
    <row r="25" ht="18" customHeight="1" s="53">
      <c r="A25" s="67" t="n">
        <v>20</v>
      </c>
      <c r="B25" s="76" t="inlineStr">
        <is>
          <t>C</t>
        </is>
      </c>
      <c r="C25" s="69" t="inlineStr">
        <is>
          <t>원</t>
        </is>
      </c>
      <c r="D25" s="70" t="inlineStr">
        <is>
          <t>자주 만지고 쓰다듬으며, 아이도 이를 즐긴다</t>
        </is>
      </c>
      <c r="E25" s="67" t="inlineStr">
        <is>
          <t>-</t>
        </is>
      </c>
      <c r="F25" s="71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</row>
    <row r="26" ht="18" customHeight="1" s="53">
      <c r="A26" s="67" t="n">
        <v>21</v>
      </c>
      <c r="B26" s="76" t="inlineStr">
        <is>
          <t>C</t>
        </is>
      </c>
      <c r="C26" s="69" t="inlineStr">
        <is>
          <t>원</t>
        </is>
      </c>
      <c r="D26" s="70" t="inlineStr">
        <is>
          <t>서로 사랑한다고 느낀다</t>
        </is>
      </c>
      <c r="E26" s="67" t="inlineStr">
        <is>
          <t>-</t>
        </is>
      </c>
      <c r="F26" s="71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</row>
    <row r="27" ht="18" customHeight="1" s="53">
      <c r="A27" s="67" t="n">
        <v>22</v>
      </c>
      <c r="B27" s="76" t="inlineStr">
        <is>
          <t>C</t>
        </is>
      </c>
      <c r="C27" s="75" t="inlineStr">
        <is>
          <t>C</t>
        </is>
      </c>
      <c r="D27" s="70" t="inlineStr">
        <is>
          <t>내가 잠깐 자리를 비우면 아이가 불안해한다</t>
        </is>
      </c>
      <c r="E27" s="77" t="inlineStr">
        <is>
          <t>역(R)</t>
        </is>
      </c>
      <c r="F27" s="71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</row>
    <row r="28" ht="18" customHeight="1" s="53">
      <c r="A28" s="67" t="n">
        <v>23</v>
      </c>
      <c r="B28" s="76" t="inlineStr">
        <is>
          <t>C</t>
        </is>
      </c>
      <c r="C28" s="75" t="inlineStr">
        <is>
          <t>C</t>
        </is>
      </c>
      <c r="D28" s="70" t="inlineStr">
        <is>
          <t>내가 안 보이면 나를 찾아다닌다</t>
        </is>
      </c>
      <c r="E28" s="77" t="inlineStr">
        <is>
          <t>※중간이 정상</t>
        </is>
      </c>
      <c r="F28" s="71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</row>
    <row r="29" ht="18" customHeight="1" s="53">
      <c r="A29" s="67" t="n">
        <v>24</v>
      </c>
      <c r="B29" s="76" t="inlineStr">
        <is>
          <t>C</t>
        </is>
      </c>
      <c r="C29" s="75" t="inlineStr">
        <is>
          <t>C</t>
        </is>
      </c>
      <c r="D29" s="70" t="inlineStr">
        <is>
          <t>내가 돌아오면 반갑게 맞이하고 금방 안정된다</t>
        </is>
      </c>
      <c r="E29" s="67" t="inlineStr">
        <is>
          <t>-</t>
        </is>
      </c>
      <c r="F29" s="71" t="n"/>
      <c r="G29" s="72" t="n"/>
      <c r="H29" s="72" t="n"/>
      <c r="I29" s="72" t="n"/>
      <c r="J29" s="72" t="n"/>
      <c r="K29" s="72" t="n"/>
      <c r="L29" s="72" t="n"/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</row>
    <row r="30" ht="18" customHeight="1" s="53">
      <c r="A30" s="67" t="n">
        <v>25</v>
      </c>
      <c r="B30" s="76" t="inlineStr">
        <is>
          <t>C</t>
        </is>
      </c>
      <c r="C30" s="73" t="inlineStr">
        <is>
          <t>영</t>
        </is>
      </c>
      <c r="D30" s="70" t="inlineStr">
        <is>
          <t>우리 아이는 나와 놀 때 서로 주고받는 흐름이 있다</t>
        </is>
      </c>
      <c r="E30" s="67" t="inlineStr">
        <is>
          <t>-</t>
        </is>
      </c>
      <c r="F30" s="71" t="n"/>
      <c r="G30" s="72" t="n"/>
      <c r="H30" s="72" t="n"/>
      <c r="I30" s="72" t="n"/>
      <c r="J30" s="72" t="n"/>
      <c r="K30" s="72" t="n"/>
      <c r="L30" s="72" t="n"/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</row>
    <row r="31" ht="18" customHeight="1" s="53">
      <c r="A31" s="67" t="n">
        <v>26</v>
      </c>
      <c r="B31" s="78" t="inlineStr">
        <is>
          <t>D</t>
        </is>
      </c>
      <c r="C31" s="69" t="inlineStr">
        <is>
          <t>원</t>
        </is>
      </c>
      <c r="D31" s="70" t="inlineStr">
        <is>
          <t>내 기분에 따라 아이를 대하는 방식이 달라진다</t>
        </is>
      </c>
      <c r="E31" s="77" t="inlineStr">
        <is>
          <t>역(R)</t>
        </is>
      </c>
      <c r="F31" s="71" t="n"/>
      <c r="G31" s="72" t="n"/>
      <c r="H31" s="72" t="n"/>
      <c r="I31" s="72" t="n"/>
      <c r="J31" s="72" t="n"/>
      <c r="K31" s="72" t="n"/>
      <c r="L31" s="72" t="n"/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</row>
    <row r="32" ht="18" customHeight="1" s="53">
      <c r="A32" s="67" t="n">
        <v>27</v>
      </c>
      <c r="B32" s="78" t="inlineStr">
        <is>
          <t>D</t>
        </is>
      </c>
      <c r="C32" s="69" t="inlineStr">
        <is>
          <t>원</t>
        </is>
      </c>
      <c r="D32" s="70" t="inlineStr">
        <is>
          <t>내 기분에 따라 더 심하게 혼내곤 한다</t>
        </is>
      </c>
      <c r="E32" s="77" t="inlineStr">
        <is>
          <t>역(R)</t>
        </is>
      </c>
      <c r="F32" s="71" t="n"/>
      <c r="G32" s="72" t="n"/>
      <c r="H32" s="72" t="n"/>
      <c r="I32" s="72" t="n"/>
      <c r="J32" s="72" t="n"/>
      <c r="K32" s="72" t="n"/>
      <c r="L32" s="72" t="n"/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</row>
    <row r="33" ht="18" customHeight="1" s="53">
      <c r="A33" s="67" t="n">
        <v>28</v>
      </c>
      <c r="B33" s="78" t="inlineStr">
        <is>
          <t>D</t>
        </is>
      </c>
      <c r="C33" s="69" t="inlineStr">
        <is>
          <t>원</t>
        </is>
      </c>
      <c r="D33" s="70" t="inlineStr">
        <is>
          <t>반려견 때문에 자주 화가 난다</t>
        </is>
      </c>
      <c r="E33" s="77" t="inlineStr">
        <is>
          <t>역(R)</t>
        </is>
      </c>
      <c r="F33" s="71" t="n"/>
      <c r="G33" s="72" t="n"/>
      <c r="H33" s="72" t="n"/>
      <c r="I33" s="72" t="n"/>
      <c r="J33" s="72" t="n"/>
      <c r="K33" s="72" t="n"/>
      <c r="L33" s="72" t="n"/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</row>
    <row r="34" ht="18" customHeight="1" s="53">
      <c r="A34" s="67" t="n">
        <v>29</v>
      </c>
      <c r="B34" s="78" t="inlineStr">
        <is>
          <t>D</t>
        </is>
      </c>
      <c r="C34" s="73" t="inlineStr">
        <is>
          <t>영</t>
        </is>
      </c>
      <c r="D34" s="70" t="inlineStr">
        <is>
          <t>훈련이 뜻대로 안 되면 짜증이 난다</t>
        </is>
      </c>
      <c r="E34" s="77" t="inlineStr">
        <is>
          <t>역(R)</t>
        </is>
      </c>
      <c r="F34" s="71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</row>
    <row r="35" ht="18" customHeight="1" s="53">
      <c r="A35" s="67" t="n">
        <v>30</v>
      </c>
      <c r="B35" s="78" t="inlineStr">
        <is>
          <t>D</t>
        </is>
      </c>
      <c r="C35" s="73" t="inlineStr">
        <is>
          <t>영</t>
        </is>
      </c>
      <c r="D35" s="70" t="inlineStr">
        <is>
          <t>아이가 흥분하면 나도 덩달아 목소리가 커진다</t>
        </is>
      </c>
      <c r="E35" s="77" t="inlineStr">
        <is>
          <t>역(R)</t>
        </is>
      </c>
      <c r="F35" s="71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</row>
    <row r="36" ht="15" customHeight="1" s="53">
      <c r="D36" s="79" t="inlineStr">
        <is>
          <t>▼ 아래는 참고 정보 (채점에 쓰이지 않음)</t>
        </is>
      </c>
    </row>
    <row r="37" ht="15" customHeight="1" s="53">
      <c r="A37" s="80" t="n"/>
      <c r="B37" s="80" t="n"/>
      <c r="C37" s="80" t="n"/>
      <c r="D37" s="81" t="inlineStr">
        <is>
          <t>견종</t>
        </is>
      </c>
      <c r="E37" s="80" t="n"/>
      <c r="F37" s="82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  <c r="T37" s="83" t="n"/>
      <c r="U37" s="83" t="n"/>
      <c r="V37" s="83" t="n"/>
      <c r="W37" s="83" t="n"/>
      <c r="X37" s="83" t="n"/>
      <c r="Y37" s="83" t="n"/>
    </row>
    <row r="38" ht="15" customHeight="1" s="53">
      <c r="A38" s="80" t="n"/>
      <c r="B38" s="80" t="n"/>
      <c r="C38" s="80" t="n"/>
      <c r="D38" s="81" t="inlineStr">
        <is>
          <t>나이 / 성별</t>
        </is>
      </c>
      <c r="E38" s="80" t="n"/>
      <c r="F38" s="82" t="n"/>
      <c r="G38" s="83" t="n"/>
      <c r="H38" s="83" t="n"/>
      <c r="I38" s="83" t="n"/>
      <c r="J38" s="83" t="n"/>
      <c r="K38" s="83" t="n"/>
      <c r="L38" s="83" t="n"/>
      <c r="M38" s="83" t="n"/>
      <c r="N38" s="83" t="n"/>
      <c r="O38" s="83" t="n"/>
      <c r="P38" s="83" t="n"/>
      <c r="Q38" s="83" t="n"/>
      <c r="R38" s="83" t="n"/>
      <c r="S38" s="83" t="n"/>
      <c r="T38" s="83" t="n"/>
      <c r="U38" s="83" t="n"/>
      <c r="V38" s="83" t="n"/>
      <c r="W38" s="83" t="n"/>
      <c r="X38" s="83" t="n"/>
      <c r="Y38" s="83" t="n"/>
    </row>
    <row r="39" ht="15" customHeight="1" s="53">
      <c r="A39" s="80" t="n"/>
      <c r="B39" s="80" t="n"/>
      <c r="C39" s="80" t="n"/>
      <c r="D39" s="81" t="inlineStr">
        <is>
          <t>함께 산 기간</t>
        </is>
      </c>
      <c r="E39" s="80" t="n"/>
      <c r="F39" s="82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  <c r="T39" s="83" t="n"/>
      <c r="U39" s="83" t="n"/>
      <c r="V39" s="83" t="n"/>
      <c r="W39" s="83" t="n"/>
      <c r="X39" s="83" t="n"/>
      <c r="Y39" s="83" t="n"/>
    </row>
    <row r="40" ht="15" customHeight="1" s="53">
      <c r="A40" s="80" t="n"/>
      <c r="B40" s="80" t="n"/>
      <c r="C40" s="80" t="n"/>
      <c r="D40" s="81" t="inlineStr">
        <is>
          <t>입양 경로</t>
        </is>
      </c>
      <c r="E40" s="80" t="n"/>
      <c r="F40" s="82" t="n"/>
      <c r="G40" s="83" t="n"/>
      <c r="H40" s="83" t="n"/>
      <c r="I40" s="83" t="n"/>
      <c r="J40" s="83" t="n"/>
      <c r="K40" s="83" t="n"/>
      <c r="L40" s="83" t="n"/>
      <c r="M40" s="83" t="n"/>
      <c r="N40" s="83" t="n"/>
      <c r="O40" s="83" t="n"/>
      <c r="P40" s="83" t="n"/>
      <c r="Q40" s="83" t="n"/>
      <c r="R40" s="83" t="n"/>
      <c r="S40" s="83" t="n"/>
      <c r="T40" s="83" t="n"/>
      <c r="U40" s="83" t="n"/>
      <c r="V40" s="83" t="n"/>
      <c r="W40" s="83" t="n"/>
      <c r="X40" s="83" t="n"/>
      <c r="Y40" s="83" t="n"/>
    </row>
    <row r="41" ht="15" customHeight="1" s="53">
      <c r="A41" s="80" t="n"/>
      <c r="B41" s="80" t="n"/>
      <c r="C41" s="80" t="n"/>
      <c r="D41" s="81" t="inlineStr">
        <is>
          <t>보호자 이름</t>
        </is>
      </c>
      <c r="E41" s="80" t="n"/>
      <c r="F41" s="82" t="n"/>
      <c r="G41" s="83" t="n"/>
      <c r="H41" s="83" t="n"/>
      <c r="I41" s="83" t="n"/>
      <c r="J41" s="83" t="n"/>
      <c r="K41" s="83" t="n"/>
      <c r="L41" s="83" t="n"/>
      <c r="M41" s="83" t="n"/>
      <c r="N41" s="83" t="n"/>
      <c r="O41" s="83" t="n"/>
      <c r="P41" s="83" t="n"/>
      <c r="Q41" s="83" t="n"/>
      <c r="R41" s="83" t="n"/>
      <c r="S41" s="83" t="n"/>
      <c r="T41" s="83" t="n"/>
      <c r="U41" s="83" t="n"/>
      <c r="V41" s="83" t="n"/>
      <c r="W41" s="83" t="n"/>
      <c r="X41" s="83" t="n"/>
      <c r="Y41" s="83" t="n"/>
    </row>
    <row r="42" ht="15" customHeight="1" s="53">
      <c r="A42" s="80" t="n"/>
      <c r="B42" s="80" t="n"/>
      <c r="C42" s="80" t="n"/>
      <c r="D42" s="81" t="inlineStr">
        <is>
          <t>연락처</t>
        </is>
      </c>
      <c r="E42" s="80" t="n"/>
      <c r="F42" s="82" t="n"/>
      <c r="G42" s="83" t="n"/>
      <c r="H42" s="83" t="n"/>
      <c r="I42" s="83" t="n"/>
      <c r="J42" s="83" t="n"/>
      <c r="K42" s="83" t="n"/>
      <c r="L42" s="83" t="n"/>
      <c r="M42" s="83" t="n"/>
      <c r="N42" s="83" t="n"/>
      <c r="O42" s="83" t="n"/>
      <c r="P42" s="83" t="n"/>
      <c r="Q42" s="83" t="n"/>
      <c r="R42" s="83" t="n"/>
      <c r="S42" s="83" t="n"/>
      <c r="T42" s="83" t="n"/>
      <c r="U42" s="83" t="n"/>
      <c r="V42" s="83" t="n"/>
      <c r="W42" s="83" t="n"/>
      <c r="X42" s="83" t="n"/>
      <c r="Y42" s="83" t="n"/>
    </row>
  </sheetData>
  <dataValidations count="1">
    <dataValidation sqref="F6:Y35" showDropDown="0" showInputMessage="0" showErrorMessage="1" allowBlank="1" errorTitle="1~5만 입력" error="1=전혀 아니다 ~ 5=매우 그렇다" type="whole" errorStyle="stop" operator="between">
      <formula1>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52" min="1" max="1"/>
    <col width="14" customWidth="1" style="52" min="2" max="2"/>
    <col width="11" customWidth="1" style="52" min="3" max="13"/>
    <col width="10" customWidth="1" style="52" min="14" max="14"/>
  </cols>
  <sheetData>
    <row r="1" ht="17.35" customHeight="1" s="53">
      <c r="A1" s="58" t="inlineStr">
        <is>
          <t>자동 채점 결과</t>
        </is>
      </c>
    </row>
    <row r="2" ht="15" customHeight="1" s="53">
      <c r="A2" s="84" t="inlineStr">
        <is>
          <t>설문 원칙에 따라 세 층을 섞지 않고 따로 계산합니다. 모든 값은 1~5점이며 높을수록 좋은 방향입니다. 역채점 문항은 6에서 뺀 값으로 반영됩니다.</t>
        </is>
      </c>
    </row>
    <row r="4" ht="19.5" customHeight="1" s="53">
      <c r="A4" s="85" t="inlineStr">
        <is>
          <t>번호</t>
        </is>
      </c>
      <c r="B4" s="85" t="inlineStr">
        <is>
          <t>반려견 이름</t>
        </is>
      </c>
      <c r="C4" s="86" t="inlineStr">
        <is>
          <t>검증 점수 [원]</t>
        </is>
      </c>
      <c r="D4" s="87" t="n"/>
      <c r="E4" s="88" t="n"/>
      <c r="F4" s="89" t="inlineStr">
        <is>
          <t>개 성향 참고 [C]</t>
        </is>
      </c>
      <c r="G4" s="87" t="n"/>
      <c r="H4" s="88" t="n"/>
      <c r="I4" s="90" t="inlineStr">
        <is>
          <t>온도차 재료 [영] — 점수 아님</t>
        </is>
      </c>
      <c r="J4" s="87" t="n"/>
      <c r="K4" s="87" t="n"/>
      <c r="L4" s="88" t="n"/>
      <c r="M4" s="85" t="inlineStr">
        <is>
          <t>검증 전체</t>
        </is>
      </c>
      <c r="N4" s="85" t="inlineStr">
        <is>
          <t>해석 (검증 점수 기준)</t>
        </is>
      </c>
    </row>
    <row r="5" ht="33.75" customHeight="1" s="53">
      <c r="A5" s="91" t="n"/>
      <c r="B5" s="91" t="n"/>
      <c r="C5" s="92" t="inlineStr">
        <is>
          <t>A 가르치는 방식</t>
        </is>
      </c>
      <c r="D5" s="92" t="inlineStr">
        <is>
          <t>C-1 정서적 애정</t>
        </is>
      </c>
      <c r="E5" s="92" t="inlineStr">
        <is>
          <t>D 안정적 반응</t>
        </is>
      </c>
      <c r="F5" s="93" t="inlineStr">
        <is>
          <t>B 사회화 정도</t>
        </is>
      </c>
      <c r="G5" s="93" t="inlineStr">
        <is>
          <t>C-2 애착 안정성 (22·23·24)</t>
        </is>
      </c>
      <c r="H5" s="93" t="inlineStr">
        <is>
          <t>23번 응답 · 방향</t>
        </is>
      </c>
      <c r="I5" s="90" t="inlineStr">
        <is>
          <t>훈련 방식</t>
        </is>
      </c>
      <c r="J5" s="90" t="inlineStr">
        <is>
          <t>탐색</t>
        </is>
      </c>
      <c r="K5" s="90" t="inlineStr">
        <is>
          <t>놀이 교류</t>
        </is>
      </c>
      <c r="L5" s="90" t="inlineStr">
        <is>
          <t>자기조절</t>
        </is>
      </c>
      <c r="M5" s="91" t="n"/>
      <c r="N5" s="91" t="n"/>
    </row>
    <row r="6" ht="18" customHeight="1" s="53">
      <c r="A6" s="94" t="n">
        <v>1</v>
      </c>
      <c r="B6" s="95">
        <f>IF(데이터입력!F$5="","",데이터입력!F$5)</f>
        <v/>
      </c>
      <c r="C6" s="96">
        <f>IF(COUNT(데이터입력!$F$6,데이터입력!$F$7,데이터입력!$F$8,데이터입력!$F$9,데이터입력!$F$10,데이터입력!$F$11)=6,ROUND((데이터입력!$F$6+데이터입력!$F$7+데이터입력!$F$8+데이터입력!$F$9+데이터입력!$F$10+데이터입력!$F$11)/6,2),"")</f>
        <v/>
      </c>
      <c r="D6" s="63">
        <f>IF(COUNT(데이터입력!$F$20,데이터입력!$F$21,데이터입력!$F$22,데이터입력!$F$23,데이터입력!$F$24,데이터입력!$F$25,데이터입력!$F$26)=7,ROUND((데이터입력!$F$20+데이터입력!$F$21+데이터입력!$F$22+데이터입력!$F$23+데이터입력!$F$24+데이터입력!$F$25+데이터입력!$F$26)/7,2),"")</f>
        <v/>
      </c>
      <c r="E6" s="63">
        <f>IF(COUNT(데이터입력!$F$31,데이터입력!$F$32,데이터입력!$F$33)=3,ROUND(((6-데이터입력!$F$31)+(6-데이터입력!$F$32)+(6-데이터입력!$F$33))/3,2),"")</f>
        <v/>
      </c>
      <c r="F6" s="63">
        <f>IF(COUNT(데이터입력!$F$14,데이터입력!$F$15,데이터입력!$F$16,데이터입력!$F$17,데이터입력!$F$18)=5,ROUND((데이터입력!$F$14+데이터입력!$F$15+데이터입력!$F$16+데이터입력!$F$17+데이터입력!$F$18)/5,2),"")</f>
        <v/>
      </c>
      <c r="G6" s="63">
        <f>IF(COUNT(데이터입력!$F$27,데이터입력!$F$28,데이터입력!$F$29)=3,ROUND(((6-데이터입력!$F$27)+IF(데이터입력!$F$28=3,5,IF(데이터입력!$F$28=4,4,IF(데이터입력!$F$28=2,3,IF(데이터입력!$F$28=1,2,1))))+데이터입력!$F$29)/3,2),"")</f>
        <v/>
      </c>
      <c r="H6" s="63">
        <f>IF(데이터입력!$F$28="","",데이터입력!$F$28&amp;IF(OR(데이터입력!$F$28=4,데이터입력!$F$28=5)," [A]",IF(OR(데이터입력!$F$28=1,데이터입력!$F$28=2)," [B]","")))</f>
        <v/>
      </c>
      <c r="I6" s="63">
        <f>IF(COUNT(데이터입력!$F$12,데이터입력!$F$13)=2,ROUND((데이터입력!$F$12+데이터입력!$F$13)/2,2),"")</f>
        <v/>
      </c>
      <c r="J6" s="63">
        <f>IF(데이터입력!$F$19="","",데이터입력!$F$19)</f>
        <v/>
      </c>
      <c r="K6" s="63">
        <f>IF(데이터입력!$F$30="","",데이터입력!$F$30)</f>
        <v/>
      </c>
      <c r="L6" s="63">
        <f>IF(COUNT(데이터입력!$F$34,데이터입력!$F$35)=2,ROUND(((6-데이터입력!$F$34)+(6-데이터입력!$F$35))/2,2),"")</f>
        <v/>
      </c>
      <c r="M6" s="96">
        <f>IF(COUNT(C6:E6)=3,ROUND(AVERAGE(C6:E6),2),"")</f>
        <v/>
      </c>
      <c r="N6" s="95">
        <f>IF(C6="","설문 미입력",IF(COUNT(C6:E6)&lt;3,"일부 문항 미응답",IF(MIN(C6:E6)&gt;=4,"세 영역 모두 안정적입니다.",IF(MIN(C6:E6)=C6,"가르치는 방식을 함께 살펴보면 좋아요.",IF(MIN(C6:E6)=D6,"정서적 애정·교류를 함께 살펴보면 좋아요.","정서 일관성(기복)을 함께 살펴보면 좋아요.")))))</f>
        <v/>
      </c>
    </row>
    <row r="7" ht="18" customHeight="1" s="53">
      <c r="A7" s="94" t="n">
        <v>2</v>
      </c>
      <c r="B7" s="95">
        <f>IF(데이터입력!G$5="","",데이터입력!G$5)</f>
        <v/>
      </c>
      <c r="C7" s="96">
        <f>IF(COUNT(데이터입력!$G$6,데이터입력!$G$7,데이터입력!$G$8,데이터입력!$G$9,데이터입력!$G$10,데이터입력!$G$11)=6,ROUND((데이터입력!$G$6+데이터입력!$G$7+데이터입력!$G$8+데이터입력!$G$9+데이터입력!$G$10+데이터입력!$G$11)/6,2),"")</f>
        <v/>
      </c>
      <c r="D7" s="63">
        <f>IF(COUNT(데이터입력!$G$20,데이터입력!$G$21,데이터입력!$G$22,데이터입력!$G$23,데이터입력!$G$24,데이터입력!$G$25,데이터입력!$G$26)=7,ROUND((데이터입력!$G$20+데이터입력!$G$21+데이터입력!$G$22+데이터입력!$G$23+데이터입력!$G$24+데이터입력!$G$25+데이터입력!$G$26)/7,2),"")</f>
        <v/>
      </c>
      <c r="E7" s="63">
        <f>IF(COUNT(데이터입력!$G$31,데이터입력!$G$32,데이터입력!$G$33)=3,ROUND(((6-데이터입력!$G$31)+(6-데이터입력!$G$32)+(6-데이터입력!$G$33))/3,2),"")</f>
        <v/>
      </c>
      <c r="F7" s="63">
        <f>IF(COUNT(데이터입력!$G$14,데이터입력!$G$15,데이터입력!$G$16,데이터입력!$G$17,데이터입력!$G$18)=5,ROUND((데이터입력!$G$14+데이터입력!$G$15+데이터입력!$G$16+데이터입력!$G$17+데이터입력!$G$18)/5,2),"")</f>
        <v/>
      </c>
      <c r="G7" s="63">
        <f>IF(COUNT(데이터입력!$G$27,데이터입력!$G$28,데이터입력!$G$29)=3,ROUND(((6-데이터입력!$G$27)+IF(데이터입력!$G$28=3,5,IF(데이터입력!$G$28=4,4,IF(데이터입력!$G$28=2,3,IF(데이터입력!$G$28=1,2,1))))+데이터입력!$G$29)/3,2),"")</f>
        <v/>
      </c>
      <c r="H7" s="63">
        <f>IF(데이터입력!$G$28="","",데이터입력!$G$28&amp;IF(OR(데이터입력!$G$28=4,데이터입력!$G$28=5)," [A]",IF(OR(데이터입력!$G$28=1,데이터입력!$G$28=2)," [B]","")))</f>
        <v/>
      </c>
      <c r="I7" s="63">
        <f>IF(COUNT(데이터입력!$G$12,데이터입력!$G$13)=2,ROUND((데이터입력!$G$12+데이터입력!$G$13)/2,2),"")</f>
        <v/>
      </c>
      <c r="J7" s="63">
        <f>IF(데이터입력!$G$19="","",데이터입력!$G$19)</f>
        <v/>
      </c>
      <c r="K7" s="63">
        <f>IF(데이터입력!$G$30="","",데이터입력!$G$30)</f>
        <v/>
      </c>
      <c r="L7" s="63">
        <f>IF(COUNT(데이터입력!$G$34,데이터입력!$G$35)=2,ROUND(((6-데이터입력!$G$34)+(6-데이터입력!$G$35))/2,2),"")</f>
        <v/>
      </c>
      <c r="M7" s="96">
        <f>IF(COUNT(C7:E7)=3,ROUND(AVERAGE(C7:E7),2),"")</f>
        <v/>
      </c>
      <c r="N7" s="95">
        <f>IF(C7="","설문 미입력",IF(COUNT(C7:E7)&lt;3,"일부 문항 미응답",IF(MIN(C7:E7)&gt;=4,"세 영역 모두 안정적입니다.",IF(MIN(C7:E7)=C7,"가르치는 방식을 함께 살펴보면 좋아요.",IF(MIN(C7:E7)=D7,"정서적 애정·교류를 함께 살펴보면 좋아요.","정서 일관성(기복)을 함께 살펴보면 좋아요.")))))</f>
        <v/>
      </c>
    </row>
    <row r="8" ht="18" customHeight="1" s="53">
      <c r="A8" s="94" t="n">
        <v>3</v>
      </c>
      <c r="B8" s="95">
        <f>IF(데이터입력!H$5="","",데이터입력!H$5)</f>
        <v/>
      </c>
      <c r="C8" s="96">
        <f>IF(COUNT(데이터입력!$H$6,데이터입력!$H$7,데이터입력!$H$8,데이터입력!$H$9,데이터입력!$H$10,데이터입력!$H$11)=6,ROUND((데이터입력!$H$6+데이터입력!$H$7+데이터입력!$H$8+데이터입력!$H$9+데이터입력!$H$10+데이터입력!$H$11)/6,2),"")</f>
        <v/>
      </c>
      <c r="D8" s="63">
        <f>IF(COUNT(데이터입력!$H$20,데이터입력!$H$21,데이터입력!$H$22,데이터입력!$H$23,데이터입력!$H$24,데이터입력!$H$25,데이터입력!$H$26)=7,ROUND((데이터입력!$H$20+데이터입력!$H$21+데이터입력!$H$22+데이터입력!$H$23+데이터입력!$H$24+데이터입력!$H$25+데이터입력!$H$26)/7,2),"")</f>
        <v/>
      </c>
      <c r="E8" s="63">
        <f>IF(COUNT(데이터입력!$H$31,데이터입력!$H$32,데이터입력!$H$33)=3,ROUND(((6-데이터입력!$H$31)+(6-데이터입력!$H$32)+(6-데이터입력!$H$33))/3,2),"")</f>
        <v/>
      </c>
      <c r="F8" s="63">
        <f>IF(COUNT(데이터입력!$H$14,데이터입력!$H$15,데이터입력!$H$16,데이터입력!$H$17,데이터입력!$H$18)=5,ROUND((데이터입력!$H$14+데이터입력!$H$15+데이터입력!$H$16+데이터입력!$H$17+데이터입력!$H$18)/5,2),"")</f>
        <v/>
      </c>
      <c r="G8" s="63">
        <f>IF(COUNT(데이터입력!$H$27,데이터입력!$H$28,데이터입력!$H$29)=3,ROUND(((6-데이터입력!$H$27)+IF(데이터입력!$H$28=3,5,IF(데이터입력!$H$28=4,4,IF(데이터입력!$H$28=2,3,IF(데이터입력!$H$28=1,2,1))))+데이터입력!$H$29)/3,2),"")</f>
        <v/>
      </c>
      <c r="H8" s="63">
        <f>IF(데이터입력!$H$28="","",데이터입력!$H$28&amp;IF(OR(데이터입력!$H$28=4,데이터입력!$H$28=5)," [A]",IF(OR(데이터입력!$H$28=1,데이터입력!$H$28=2)," [B]","")))</f>
        <v/>
      </c>
      <c r="I8" s="63">
        <f>IF(COUNT(데이터입력!$H$12,데이터입력!$H$13)=2,ROUND((데이터입력!$H$12+데이터입력!$H$13)/2,2),"")</f>
        <v/>
      </c>
      <c r="J8" s="63">
        <f>IF(데이터입력!$H$19="","",데이터입력!$H$19)</f>
        <v/>
      </c>
      <c r="K8" s="63">
        <f>IF(데이터입력!$H$30="","",데이터입력!$H$30)</f>
        <v/>
      </c>
      <c r="L8" s="63">
        <f>IF(COUNT(데이터입력!$H$34,데이터입력!$H$35)=2,ROUND(((6-데이터입력!$H$34)+(6-데이터입력!$H$35))/2,2),"")</f>
        <v/>
      </c>
      <c r="M8" s="96">
        <f>IF(COUNT(C8:E8)=3,ROUND(AVERAGE(C8:E8),2),"")</f>
        <v/>
      </c>
      <c r="N8" s="95">
        <f>IF(C8="","설문 미입력",IF(COUNT(C8:E8)&lt;3,"일부 문항 미응답",IF(MIN(C8:E8)&gt;=4,"세 영역 모두 안정적입니다.",IF(MIN(C8:E8)=C8,"가르치는 방식을 함께 살펴보면 좋아요.",IF(MIN(C8:E8)=D8,"정서적 애정·교류를 함께 살펴보면 좋아요.","정서 일관성(기복)을 함께 살펴보면 좋아요.")))))</f>
        <v/>
      </c>
    </row>
    <row r="9" ht="18" customHeight="1" s="53">
      <c r="A9" s="94" t="n">
        <v>4</v>
      </c>
      <c r="B9" s="95">
        <f>IF(데이터입력!I$5="","",데이터입력!I$5)</f>
        <v/>
      </c>
      <c r="C9" s="96">
        <f>IF(COUNT(데이터입력!$I$6,데이터입력!$I$7,데이터입력!$I$8,데이터입력!$I$9,데이터입력!$I$10,데이터입력!$I$11)=6,ROUND((데이터입력!$I$6+데이터입력!$I$7+데이터입력!$I$8+데이터입력!$I$9+데이터입력!$I$10+데이터입력!$I$11)/6,2),"")</f>
        <v/>
      </c>
      <c r="D9" s="63">
        <f>IF(COUNT(데이터입력!$I$20,데이터입력!$I$21,데이터입력!$I$22,데이터입력!$I$23,데이터입력!$I$24,데이터입력!$I$25,데이터입력!$I$26)=7,ROUND((데이터입력!$I$20+데이터입력!$I$21+데이터입력!$I$22+데이터입력!$I$23+데이터입력!$I$24+데이터입력!$I$25+데이터입력!$I$26)/7,2),"")</f>
        <v/>
      </c>
      <c r="E9" s="63">
        <f>IF(COUNT(데이터입력!$I$31,데이터입력!$I$32,데이터입력!$I$33)=3,ROUND(((6-데이터입력!$I$31)+(6-데이터입력!$I$32)+(6-데이터입력!$I$33))/3,2),"")</f>
        <v/>
      </c>
      <c r="F9" s="63">
        <f>IF(COUNT(데이터입력!$I$14,데이터입력!$I$15,데이터입력!$I$16,데이터입력!$I$17,데이터입력!$I$18)=5,ROUND((데이터입력!$I$14+데이터입력!$I$15+데이터입력!$I$16+데이터입력!$I$17+데이터입력!$I$18)/5,2),"")</f>
        <v/>
      </c>
      <c r="G9" s="63">
        <f>IF(COUNT(데이터입력!$I$27,데이터입력!$I$28,데이터입력!$I$29)=3,ROUND(((6-데이터입력!$I$27)+IF(데이터입력!$I$28=3,5,IF(데이터입력!$I$28=4,4,IF(데이터입력!$I$28=2,3,IF(데이터입력!$I$28=1,2,1))))+데이터입력!$I$29)/3,2),"")</f>
        <v/>
      </c>
      <c r="H9" s="63">
        <f>IF(데이터입력!$I$28="","",데이터입력!$I$28&amp;IF(OR(데이터입력!$I$28=4,데이터입력!$I$28=5)," [A]",IF(OR(데이터입력!$I$28=1,데이터입력!$I$28=2)," [B]","")))</f>
        <v/>
      </c>
      <c r="I9" s="63">
        <f>IF(COUNT(데이터입력!$I$12,데이터입력!$I$13)=2,ROUND((데이터입력!$I$12+데이터입력!$I$13)/2,2),"")</f>
        <v/>
      </c>
      <c r="J9" s="63">
        <f>IF(데이터입력!$I$19="","",데이터입력!$I$19)</f>
        <v/>
      </c>
      <c r="K9" s="63">
        <f>IF(데이터입력!$I$30="","",데이터입력!$I$30)</f>
        <v/>
      </c>
      <c r="L9" s="63">
        <f>IF(COUNT(데이터입력!$I$34,데이터입력!$I$35)=2,ROUND(((6-데이터입력!$I$34)+(6-데이터입력!$I$35))/2,2),"")</f>
        <v/>
      </c>
      <c r="M9" s="96">
        <f>IF(COUNT(C9:E9)=3,ROUND(AVERAGE(C9:E9),2),"")</f>
        <v/>
      </c>
      <c r="N9" s="95">
        <f>IF(C9="","설문 미입력",IF(COUNT(C9:E9)&lt;3,"일부 문항 미응답",IF(MIN(C9:E9)&gt;=4,"세 영역 모두 안정적입니다.",IF(MIN(C9:E9)=C9,"가르치는 방식을 함께 살펴보면 좋아요.",IF(MIN(C9:E9)=D9,"정서적 애정·교류를 함께 살펴보면 좋아요.","정서 일관성(기복)을 함께 살펴보면 좋아요.")))))</f>
        <v/>
      </c>
    </row>
    <row r="10" ht="18" customHeight="1" s="53">
      <c r="A10" s="94" t="n">
        <v>5</v>
      </c>
      <c r="B10" s="95">
        <f>IF(데이터입력!J$5="","",데이터입력!J$5)</f>
        <v/>
      </c>
      <c r="C10" s="96">
        <f>IF(COUNT(데이터입력!$J$6,데이터입력!$J$7,데이터입력!$J$8,데이터입력!$J$9,데이터입력!$J$10,데이터입력!$J$11)=6,ROUND((데이터입력!$J$6+데이터입력!$J$7+데이터입력!$J$8+데이터입력!$J$9+데이터입력!$J$10+데이터입력!$J$11)/6,2),"")</f>
        <v/>
      </c>
      <c r="D10" s="63">
        <f>IF(COUNT(데이터입력!$J$20,데이터입력!$J$21,데이터입력!$J$22,데이터입력!$J$23,데이터입력!$J$24,데이터입력!$J$25,데이터입력!$J$26)=7,ROUND((데이터입력!$J$20+데이터입력!$J$21+데이터입력!$J$22+데이터입력!$J$23+데이터입력!$J$24+데이터입력!$J$25+데이터입력!$J$26)/7,2),"")</f>
        <v/>
      </c>
      <c r="E10" s="63">
        <f>IF(COUNT(데이터입력!$J$31,데이터입력!$J$32,데이터입력!$J$33)=3,ROUND(((6-데이터입력!$J$31)+(6-데이터입력!$J$32)+(6-데이터입력!$J$33))/3,2),"")</f>
        <v/>
      </c>
      <c r="F10" s="63">
        <f>IF(COUNT(데이터입력!$J$14,데이터입력!$J$15,데이터입력!$J$16,데이터입력!$J$17,데이터입력!$J$18)=5,ROUND((데이터입력!$J$14+데이터입력!$J$15+데이터입력!$J$16+데이터입력!$J$17+데이터입력!$J$18)/5,2),"")</f>
        <v/>
      </c>
      <c r="G10" s="63">
        <f>IF(COUNT(데이터입력!$J$27,데이터입력!$J$28,데이터입력!$J$29)=3,ROUND(((6-데이터입력!$J$27)+IF(데이터입력!$J$28=3,5,IF(데이터입력!$J$28=4,4,IF(데이터입력!$J$28=2,3,IF(데이터입력!$J$28=1,2,1))))+데이터입력!$J$29)/3,2),"")</f>
        <v/>
      </c>
      <c r="H10" s="63">
        <f>IF(데이터입력!$J$28="","",데이터입력!$J$28&amp;IF(OR(데이터입력!$J$28=4,데이터입력!$J$28=5)," [A]",IF(OR(데이터입력!$J$28=1,데이터입력!$J$28=2)," [B]","")))</f>
        <v/>
      </c>
      <c r="I10" s="63">
        <f>IF(COUNT(데이터입력!$J$12,데이터입력!$J$13)=2,ROUND((데이터입력!$J$12+데이터입력!$J$13)/2,2),"")</f>
        <v/>
      </c>
      <c r="J10" s="63">
        <f>IF(데이터입력!$J$19="","",데이터입력!$J$19)</f>
        <v/>
      </c>
      <c r="K10" s="63">
        <f>IF(데이터입력!$J$30="","",데이터입력!$J$30)</f>
        <v/>
      </c>
      <c r="L10" s="63">
        <f>IF(COUNT(데이터입력!$J$34,데이터입력!$J$35)=2,ROUND(((6-데이터입력!$J$34)+(6-데이터입력!$J$35))/2,2),"")</f>
        <v/>
      </c>
      <c r="M10" s="96">
        <f>IF(COUNT(C10:E10)=3,ROUND(AVERAGE(C10:E10),2),"")</f>
        <v/>
      </c>
      <c r="N10" s="95">
        <f>IF(C10="","설문 미입력",IF(COUNT(C10:E10)&lt;3,"일부 문항 미응답",IF(MIN(C10:E10)&gt;=4,"세 영역 모두 안정적입니다.",IF(MIN(C10:E10)=C10,"가르치는 방식을 함께 살펴보면 좋아요.",IF(MIN(C10:E10)=D10,"정서적 애정·교류를 함께 살펴보면 좋아요.","정서 일관성(기복)을 함께 살펴보면 좋아요.")))))</f>
        <v/>
      </c>
    </row>
    <row r="11" ht="18" customHeight="1" s="53">
      <c r="A11" s="94" t="n">
        <v>6</v>
      </c>
      <c r="B11" s="95">
        <f>IF(데이터입력!K$5="","",데이터입력!K$5)</f>
        <v/>
      </c>
      <c r="C11" s="96">
        <f>IF(COUNT(데이터입력!$K$6,데이터입력!$K$7,데이터입력!$K$8,데이터입력!$K$9,데이터입력!$K$10,데이터입력!$K$11)=6,ROUND((데이터입력!$K$6+데이터입력!$K$7+데이터입력!$K$8+데이터입력!$K$9+데이터입력!$K$10+데이터입력!$K$11)/6,2),"")</f>
        <v/>
      </c>
      <c r="D11" s="63">
        <f>IF(COUNT(데이터입력!$K$20,데이터입력!$K$21,데이터입력!$K$22,데이터입력!$K$23,데이터입력!$K$24,데이터입력!$K$25,데이터입력!$K$26)=7,ROUND((데이터입력!$K$20+데이터입력!$K$21+데이터입력!$K$22+데이터입력!$K$23+데이터입력!$K$24+데이터입력!$K$25+데이터입력!$K$26)/7,2),"")</f>
        <v/>
      </c>
      <c r="E11" s="63">
        <f>IF(COUNT(데이터입력!$K$31,데이터입력!$K$32,데이터입력!$K$33)=3,ROUND(((6-데이터입력!$K$31)+(6-데이터입력!$K$32)+(6-데이터입력!$K$33))/3,2),"")</f>
        <v/>
      </c>
      <c r="F11" s="63">
        <f>IF(COUNT(데이터입력!$K$14,데이터입력!$K$15,데이터입력!$K$16,데이터입력!$K$17,데이터입력!$K$18)=5,ROUND((데이터입력!$K$14+데이터입력!$K$15+데이터입력!$K$16+데이터입력!$K$17+데이터입력!$K$18)/5,2),"")</f>
        <v/>
      </c>
      <c r="G11" s="63">
        <f>IF(COUNT(데이터입력!$K$27,데이터입력!$K$28,데이터입력!$K$29)=3,ROUND(((6-데이터입력!$K$27)+IF(데이터입력!$K$28=3,5,IF(데이터입력!$K$28=4,4,IF(데이터입력!$K$28=2,3,IF(데이터입력!$K$28=1,2,1))))+데이터입력!$K$29)/3,2),"")</f>
        <v/>
      </c>
      <c r="H11" s="63">
        <f>IF(데이터입력!$K$28="","",데이터입력!$K$28&amp;IF(OR(데이터입력!$K$28=4,데이터입력!$K$28=5)," [A]",IF(OR(데이터입력!$K$28=1,데이터입력!$K$28=2)," [B]","")))</f>
        <v/>
      </c>
      <c r="I11" s="63">
        <f>IF(COUNT(데이터입력!$K$12,데이터입력!$K$13)=2,ROUND((데이터입력!$K$12+데이터입력!$K$13)/2,2),"")</f>
        <v/>
      </c>
      <c r="J11" s="63">
        <f>IF(데이터입력!$K$19="","",데이터입력!$K$19)</f>
        <v/>
      </c>
      <c r="K11" s="63">
        <f>IF(데이터입력!$K$30="","",데이터입력!$K$30)</f>
        <v/>
      </c>
      <c r="L11" s="63">
        <f>IF(COUNT(데이터입력!$K$34,데이터입력!$K$35)=2,ROUND(((6-데이터입력!$K$34)+(6-데이터입력!$K$35))/2,2),"")</f>
        <v/>
      </c>
      <c r="M11" s="96">
        <f>IF(COUNT(C11:E11)=3,ROUND(AVERAGE(C11:E11),2),"")</f>
        <v/>
      </c>
      <c r="N11" s="95">
        <f>IF(C11="","설문 미입력",IF(COUNT(C11:E11)&lt;3,"일부 문항 미응답",IF(MIN(C11:E11)&gt;=4,"세 영역 모두 안정적입니다.",IF(MIN(C11:E11)=C11,"가르치는 방식을 함께 살펴보면 좋아요.",IF(MIN(C11:E11)=D11,"정서적 애정·교류를 함께 살펴보면 좋아요.","정서 일관성(기복)을 함께 살펴보면 좋아요.")))))</f>
        <v/>
      </c>
    </row>
    <row r="12" ht="18" customHeight="1" s="53">
      <c r="A12" s="94" t="n">
        <v>7</v>
      </c>
      <c r="B12" s="95">
        <f>IF(데이터입력!L$5="","",데이터입력!L$5)</f>
        <v/>
      </c>
      <c r="C12" s="96">
        <f>IF(COUNT(데이터입력!$L$6,데이터입력!$L$7,데이터입력!$L$8,데이터입력!$L$9,데이터입력!$L$10,데이터입력!$L$11)=6,ROUND((데이터입력!$L$6+데이터입력!$L$7+데이터입력!$L$8+데이터입력!$L$9+데이터입력!$L$10+데이터입력!$L$11)/6,2),"")</f>
        <v/>
      </c>
      <c r="D12" s="63">
        <f>IF(COUNT(데이터입력!$L$20,데이터입력!$L$21,데이터입력!$L$22,데이터입력!$L$23,데이터입력!$L$24,데이터입력!$L$25,데이터입력!$L$26)=7,ROUND((데이터입력!$L$20+데이터입력!$L$21+데이터입력!$L$22+데이터입력!$L$23+데이터입력!$L$24+데이터입력!$L$25+데이터입력!$L$26)/7,2),"")</f>
        <v/>
      </c>
      <c r="E12" s="63">
        <f>IF(COUNT(데이터입력!$L$31,데이터입력!$L$32,데이터입력!$L$33)=3,ROUND(((6-데이터입력!$L$31)+(6-데이터입력!$L$32)+(6-데이터입력!$L$33))/3,2),"")</f>
        <v/>
      </c>
      <c r="F12" s="63">
        <f>IF(COUNT(데이터입력!$L$14,데이터입력!$L$15,데이터입력!$L$16,데이터입력!$L$17,데이터입력!$L$18)=5,ROUND((데이터입력!$L$14+데이터입력!$L$15+데이터입력!$L$16+데이터입력!$L$17+데이터입력!$L$18)/5,2),"")</f>
        <v/>
      </c>
      <c r="G12" s="63">
        <f>IF(COUNT(데이터입력!$L$27,데이터입력!$L$28,데이터입력!$L$29)=3,ROUND(((6-데이터입력!$L$27)+IF(데이터입력!$L$28=3,5,IF(데이터입력!$L$28=4,4,IF(데이터입력!$L$28=2,3,IF(데이터입력!$L$28=1,2,1))))+데이터입력!$L$29)/3,2),"")</f>
        <v/>
      </c>
      <c r="H12" s="63">
        <f>IF(데이터입력!$L$28="","",데이터입력!$L$28&amp;IF(OR(데이터입력!$L$28=4,데이터입력!$L$28=5)," [A]",IF(OR(데이터입력!$L$28=1,데이터입력!$L$28=2)," [B]","")))</f>
        <v/>
      </c>
      <c r="I12" s="63">
        <f>IF(COUNT(데이터입력!$L$12,데이터입력!$L$13)=2,ROUND((데이터입력!$L$12+데이터입력!$L$13)/2,2),"")</f>
        <v/>
      </c>
      <c r="J12" s="63">
        <f>IF(데이터입력!$L$19="","",데이터입력!$L$19)</f>
        <v/>
      </c>
      <c r="K12" s="63">
        <f>IF(데이터입력!$L$30="","",데이터입력!$L$30)</f>
        <v/>
      </c>
      <c r="L12" s="63">
        <f>IF(COUNT(데이터입력!$L$34,데이터입력!$L$35)=2,ROUND(((6-데이터입력!$L$34)+(6-데이터입력!$L$35))/2,2),"")</f>
        <v/>
      </c>
      <c r="M12" s="96">
        <f>IF(COUNT(C12:E12)=3,ROUND(AVERAGE(C12:E12),2),"")</f>
        <v/>
      </c>
      <c r="N12" s="95">
        <f>IF(C12="","설문 미입력",IF(COUNT(C12:E12)&lt;3,"일부 문항 미응답",IF(MIN(C12:E12)&gt;=4,"세 영역 모두 안정적입니다.",IF(MIN(C12:E12)=C12,"가르치는 방식을 함께 살펴보면 좋아요.",IF(MIN(C12:E12)=D12,"정서적 애정·교류를 함께 살펴보면 좋아요.","정서 일관성(기복)을 함께 살펴보면 좋아요.")))))</f>
        <v/>
      </c>
    </row>
    <row r="13" ht="18" customHeight="1" s="53">
      <c r="A13" s="94" t="n">
        <v>8</v>
      </c>
      <c r="B13" s="95">
        <f>IF(데이터입력!M$5="","",데이터입력!M$5)</f>
        <v/>
      </c>
      <c r="C13" s="96">
        <f>IF(COUNT(데이터입력!$M$6,데이터입력!$M$7,데이터입력!$M$8,데이터입력!$M$9,데이터입력!$M$10,데이터입력!$M$11)=6,ROUND((데이터입력!$M$6+데이터입력!$M$7+데이터입력!$M$8+데이터입력!$M$9+데이터입력!$M$10+데이터입력!$M$11)/6,2),"")</f>
        <v/>
      </c>
      <c r="D13" s="63">
        <f>IF(COUNT(데이터입력!$M$20,데이터입력!$M$21,데이터입력!$M$22,데이터입력!$M$23,데이터입력!$M$24,데이터입력!$M$25,데이터입력!$M$26)=7,ROUND((데이터입력!$M$20+데이터입력!$M$21+데이터입력!$M$22+데이터입력!$M$23+데이터입력!$M$24+데이터입력!$M$25+데이터입력!$M$26)/7,2),"")</f>
        <v/>
      </c>
      <c r="E13" s="63">
        <f>IF(COUNT(데이터입력!$M$31,데이터입력!$M$32,데이터입력!$M$33)=3,ROUND(((6-데이터입력!$M$31)+(6-데이터입력!$M$32)+(6-데이터입력!$M$33))/3,2),"")</f>
        <v/>
      </c>
      <c r="F13" s="63">
        <f>IF(COUNT(데이터입력!$M$14,데이터입력!$M$15,데이터입력!$M$16,데이터입력!$M$17,데이터입력!$M$18)=5,ROUND((데이터입력!$M$14+데이터입력!$M$15+데이터입력!$M$16+데이터입력!$M$17+데이터입력!$M$18)/5,2),"")</f>
        <v/>
      </c>
      <c r="G13" s="63">
        <f>IF(COUNT(데이터입력!$M$27,데이터입력!$M$28,데이터입력!$M$29)=3,ROUND(((6-데이터입력!$M$27)+IF(데이터입력!$M$28=3,5,IF(데이터입력!$M$28=4,4,IF(데이터입력!$M$28=2,3,IF(데이터입력!$M$28=1,2,1))))+데이터입력!$M$29)/3,2),"")</f>
        <v/>
      </c>
      <c r="H13" s="63">
        <f>IF(데이터입력!$M$28="","",데이터입력!$M$28&amp;IF(OR(데이터입력!$M$28=4,데이터입력!$M$28=5)," [A]",IF(OR(데이터입력!$M$28=1,데이터입력!$M$28=2)," [B]","")))</f>
        <v/>
      </c>
      <c r="I13" s="63">
        <f>IF(COUNT(데이터입력!$M$12,데이터입력!$M$13)=2,ROUND((데이터입력!$M$12+데이터입력!$M$13)/2,2),"")</f>
        <v/>
      </c>
      <c r="J13" s="63">
        <f>IF(데이터입력!$M$19="","",데이터입력!$M$19)</f>
        <v/>
      </c>
      <c r="K13" s="63">
        <f>IF(데이터입력!$M$30="","",데이터입력!$M$30)</f>
        <v/>
      </c>
      <c r="L13" s="63">
        <f>IF(COUNT(데이터입력!$M$34,데이터입력!$M$35)=2,ROUND(((6-데이터입력!$M$34)+(6-데이터입력!$M$35))/2,2),"")</f>
        <v/>
      </c>
      <c r="M13" s="96">
        <f>IF(COUNT(C13:E13)=3,ROUND(AVERAGE(C13:E13),2),"")</f>
        <v/>
      </c>
      <c r="N13" s="95">
        <f>IF(C13="","설문 미입력",IF(COUNT(C13:E13)&lt;3,"일부 문항 미응답",IF(MIN(C13:E13)&gt;=4,"세 영역 모두 안정적입니다.",IF(MIN(C13:E13)=C13,"가르치는 방식을 함께 살펴보면 좋아요.",IF(MIN(C13:E13)=D13,"정서적 애정·교류를 함께 살펴보면 좋아요.","정서 일관성(기복)을 함께 살펴보면 좋아요.")))))</f>
        <v/>
      </c>
    </row>
    <row r="14" ht="18" customHeight="1" s="53">
      <c r="A14" s="94" t="n">
        <v>9</v>
      </c>
      <c r="B14" s="95">
        <f>IF(데이터입력!N$5="","",데이터입력!N$5)</f>
        <v/>
      </c>
      <c r="C14" s="96">
        <f>IF(COUNT(데이터입력!$N$6,데이터입력!$N$7,데이터입력!$N$8,데이터입력!$N$9,데이터입력!$N$10,데이터입력!$N$11)=6,ROUND((데이터입력!$N$6+데이터입력!$N$7+데이터입력!$N$8+데이터입력!$N$9+데이터입력!$N$10+데이터입력!$N$11)/6,2),"")</f>
        <v/>
      </c>
      <c r="D14" s="63">
        <f>IF(COUNT(데이터입력!$N$20,데이터입력!$N$21,데이터입력!$N$22,데이터입력!$N$23,데이터입력!$N$24,데이터입력!$N$25,데이터입력!$N$26)=7,ROUND((데이터입력!$N$20+데이터입력!$N$21+데이터입력!$N$22+데이터입력!$N$23+데이터입력!$N$24+데이터입력!$N$25+데이터입력!$N$26)/7,2),"")</f>
        <v/>
      </c>
      <c r="E14" s="63">
        <f>IF(COUNT(데이터입력!$N$31,데이터입력!$N$32,데이터입력!$N$33)=3,ROUND(((6-데이터입력!$N$31)+(6-데이터입력!$N$32)+(6-데이터입력!$N$33))/3,2),"")</f>
        <v/>
      </c>
      <c r="F14" s="63">
        <f>IF(COUNT(데이터입력!$N$14,데이터입력!$N$15,데이터입력!$N$16,데이터입력!$N$17,데이터입력!$N$18)=5,ROUND((데이터입력!$N$14+데이터입력!$N$15+데이터입력!$N$16+데이터입력!$N$17+데이터입력!$N$18)/5,2),"")</f>
        <v/>
      </c>
      <c r="G14" s="63">
        <f>IF(COUNT(데이터입력!$N$27,데이터입력!$N$28,데이터입력!$N$29)=3,ROUND(((6-데이터입력!$N$27)+IF(데이터입력!$N$28=3,5,IF(데이터입력!$N$28=4,4,IF(데이터입력!$N$28=2,3,IF(데이터입력!$N$28=1,2,1))))+데이터입력!$N$29)/3,2),"")</f>
        <v/>
      </c>
      <c r="H14" s="63">
        <f>IF(데이터입력!$N$28="","",데이터입력!$N$28&amp;IF(OR(데이터입력!$N$28=4,데이터입력!$N$28=5)," [A]",IF(OR(데이터입력!$N$28=1,데이터입력!$N$28=2)," [B]","")))</f>
        <v/>
      </c>
      <c r="I14" s="63">
        <f>IF(COUNT(데이터입력!$N$12,데이터입력!$N$13)=2,ROUND((데이터입력!$N$12+데이터입력!$N$13)/2,2),"")</f>
        <v/>
      </c>
      <c r="J14" s="63">
        <f>IF(데이터입력!$N$19="","",데이터입력!$N$19)</f>
        <v/>
      </c>
      <c r="K14" s="63">
        <f>IF(데이터입력!$N$30="","",데이터입력!$N$30)</f>
        <v/>
      </c>
      <c r="L14" s="63">
        <f>IF(COUNT(데이터입력!$N$34,데이터입력!$N$35)=2,ROUND(((6-데이터입력!$N$34)+(6-데이터입력!$N$35))/2,2),"")</f>
        <v/>
      </c>
      <c r="M14" s="96">
        <f>IF(COUNT(C14:E14)=3,ROUND(AVERAGE(C14:E14),2),"")</f>
        <v/>
      </c>
      <c r="N14" s="95">
        <f>IF(C14="","설문 미입력",IF(COUNT(C14:E14)&lt;3,"일부 문항 미응답",IF(MIN(C14:E14)&gt;=4,"세 영역 모두 안정적입니다.",IF(MIN(C14:E14)=C14,"가르치는 방식을 함께 살펴보면 좋아요.",IF(MIN(C14:E14)=D14,"정서적 애정·교류를 함께 살펴보면 좋아요.","정서 일관성(기복)을 함께 살펴보면 좋아요.")))))</f>
        <v/>
      </c>
    </row>
    <row r="15" ht="18" customHeight="1" s="53">
      <c r="A15" s="94" t="n">
        <v>10</v>
      </c>
      <c r="B15" s="95">
        <f>IF(데이터입력!O$5="","",데이터입력!O$5)</f>
        <v/>
      </c>
      <c r="C15" s="96">
        <f>IF(COUNT(데이터입력!$O$6,데이터입력!$O$7,데이터입력!$O$8,데이터입력!$O$9,데이터입력!$O$10,데이터입력!$O$11)=6,ROUND((데이터입력!$O$6+데이터입력!$O$7+데이터입력!$O$8+데이터입력!$O$9+데이터입력!$O$10+데이터입력!$O$11)/6,2),"")</f>
        <v/>
      </c>
      <c r="D15" s="63">
        <f>IF(COUNT(데이터입력!$O$20,데이터입력!$O$21,데이터입력!$O$22,데이터입력!$O$23,데이터입력!$O$24,데이터입력!$O$25,데이터입력!$O$26)=7,ROUND((데이터입력!$O$20+데이터입력!$O$21+데이터입력!$O$22+데이터입력!$O$23+데이터입력!$O$24+데이터입력!$O$25+데이터입력!$O$26)/7,2),"")</f>
        <v/>
      </c>
      <c r="E15" s="63">
        <f>IF(COUNT(데이터입력!$O$31,데이터입력!$O$32,데이터입력!$O$33)=3,ROUND(((6-데이터입력!$O$31)+(6-데이터입력!$O$32)+(6-데이터입력!$O$33))/3,2),"")</f>
        <v/>
      </c>
      <c r="F15" s="63">
        <f>IF(COUNT(데이터입력!$O$14,데이터입력!$O$15,데이터입력!$O$16,데이터입력!$O$17,데이터입력!$O$18)=5,ROUND((데이터입력!$O$14+데이터입력!$O$15+데이터입력!$O$16+데이터입력!$O$17+데이터입력!$O$18)/5,2),"")</f>
        <v/>
      </c>
      <c r="G15" s="63">
        <f>IF(COUNT(데이터입력!$O$27,데이터입력!$O$28,데이터입력!$O$29)=3,ROUND(((6-데이터입력!$O$27)+IF(데이터입력!$O$28=3,5,IF(데이터입력!$O$28=4,4,IF(데이터입력!$O$28=2,3,IF(데이터입력!$O$28=1,2,1))))+데이터입력!$O$29)/3,2),"")</f>
        <v/>
      </c>
      <c r="H15" s="63">
        <f>IF(데이터입력!$O$28="","",데이터입력!$O$28&amp;IF(OR(데이터입력!$O$28=4,데이터입력!$O$28=5)," [A]",IF(OR(데이터입력!$O$28=1,데이터입력!$O$28=2)," [B]","")))</f>
        <v/>
      </c>
      <c r="I15" s="63">
        <f>IF(COUNT(데이터입력!$O$12,데이터입력!$O$13)=2,ROUND((데이터입력!$O$12+데이터입력!$O$13)/2,2),"")</f>
        <v/>
      </c>
      <c r="J15" s="63">
        <f>IF(데이터입력!$O$19="","",데이터입력!$O$19)</f>
        <v/>
      </c>
      <c r="K15" s="63">
        <f>IF(데이터입력!$O$30="","",데이터입력!$O$30)</f>
        <v/>
      </c>
      <c r="L15" s="63">
        <f>IF(COUNT(데이터입력!$O$34,데이터입력!$O$35)=2,ROUND(((6-데이터입력!$O$34)+(6-데이터입력!$O$35))/2,2),"")</f>
        <v/>
      </c>
      <c r="M15" s="96">
        <f>IF(COUNT(C15:E15)=3,ROUND(AVERAGE(C15:E15),2),"")</f>
        <v/>
      </c>
      <c r="N15" s="95">
        <f>IF(C15="","설문 미입력",IF(COUNT(C15:E15)&lt;3,"일부 문항 미응답",IF(MIN(C15:E15)&gt;=4,"세 영역 모두 안정적입니다.",IF(MIN(C15:E15)=C15,"가르치는 방식을 함께 살펴보면 좋아요.",IF(MIN(C15:E15)=D15,"정서적 애정·교류를 함께 살펴보면 좋아요.","정서 일관성(기복)을 함께 살펴보면 좋아요.")))))</f>
        <v/>
      </c>
    </row>
    <row r="16" ht="18" customHeight="1" s="53">
      <c r="A16" s="94" t="n">
        <v>11</v>
      </c>
      <c r="B16" s="95">
        <f>IF(데이터입력!P$5="","",데이터입력!P$5)</f>
        <v/>
      </c>
      <c r="C16" s="96">
        <f>IF(COUNT(데이터입력!$P$6,데이터입력!$P$7,데이터입력!$P$8,데이터입력!$P$9,데이터입력!$P$10,데이터입력!$P$11)=6,ROUND((데이터입력!$P$6+데이터입력!$P$7+데이터입력!$P$8+데이터입력!$P$9+데이터입력!$P$10+데이터입력!$P$11)/6,2),"")</f>
        <v/>
      </c>
      <c r="D16" s="63">
        <f>IF(COUNT(데이터입력!$P$20,데이터입력!$P$21,데이터입력!$P$22,데이터입력!$P$23,데이터입력!$P$24,데이터입력!$P$25,데이터입력!$P$26)=7,ROUND((데이터입력!$P$20+데이터입력!$P$21+데이터입력!$P$22+데이터입력!$P$23+데이터입력!$P$24+데이터입력!$P$25+데이터입력!$P$26)/7,2),"")</f>
        <v/>
      </c>
      <c r="E16" s="63">
        <f>IF(COUNT(데이터입력!$P$31,데이터입력!$P$32,데이터입력!$P$33)=3,ROUND(((6-데이터입력!$P$31)+(6-데이터입력!$P$32)+(6-데이터입력!$P$33))/3,2),"")</f>
        <v/>
      </c>
      <c r="F16" s="63">
        <f>IF(COUNT(데이터입력!$P$14,데이터입력!$P$15,데이터입력!$P$16,데이터입력!$P$17,데이터입력!$P$18)=5,ROUND((데이터입력!$P$14+데이터입력!$P$15+데이터입력!$P$16+데이터입력!$P$17+데이터입력!$P$18)/5,2),"")</f>
        <v/>
      </c>
      <c r="G16" s="63">
        <f>IF(COUNT(데이터입력!$P$27,데이터입력!$P$28,데이터입력!$P$29)=3,ROUND(((6-데이터입력!$P$27)+IF(데이터입력!$P$28=3,5,IF(데이터입력!$P$28=4,4,IF(데이터입력!$P$28=2,3,IF(데이터입력!$P$28=1,2,1))))+데이터입력!$P$29)/3,2),"")</f>
        <v/>
      </c>
      <c r="H16" s="63">
        <f>IF(데이터입력!$P$28="","",데이터입력!$P$28&amp;IF(OR(데이터입력!$P$28=4,데이터입력!$P$28=5)," [A]",IF(OR(데이터입력!$P$28=1,데이터입력!$P$28=2)," [B]","")))</f>
        <v/>
      </c>
      <c r="I16" s="63">
        <f>IF(COUNT(데이터입력!$P$12,데이터입력!$P$13)=2,ROUND((데이터입력!$P$12+데이터입력!$P$13)/2,2),"")</f>
        <v/>
      </c>
      <c r="J16" s="63">
        <f>IF(데이터입력!$P$19="","",데이터입력!$P$19)</f>
        <v/>
      </c>
      <c r="K16" s="63">
        <f>IF(데이터입력!$P$30="","",데이터입력!$P$30)</f>
        <v/>
      </c>
      <c r="L16" s="63">
        <f>IF(COUNT(데이터입력!$P$34,데이터입력!$P$35)=2,ROUND(((6-데이터입력!$P$34)+(6-데이터입력!$P$35))/2,2),"")</f>
        <v/>
      </c>
      <c r="M16" s="96">
        <f>IF(COUNT(C16:E16)=3,ROUND(AVERAGE(C16:E16),2),"")</f>
        <v/>
      </c>
      <c r="N16" s="95">
        <f>IF(C16="","설문 미입력",IF(COUNT(C16:E16)&lt;3,"일부 문항 미응답",IF(MIN(C16:E16)&gt;=4,"세 영역 모두 안정적입니다.",IF(MIN(C16:E16)=C16,"가르치는 방식을 함께 살펴보면 좋아요.",IF(MIN(C16:E16)=D16,"정서적 애정·교류를 함께 살펴보면 좋아요.","정서 일관성(기복)을 함께 살펴보면 좋아요.")))))</f>
        <v/>
      </c>
    </row>
    <row r="17" ht="18" customHeight="1" s="53">
      <c r="A17" s="94" t="n">
        <v>12</v>
      </c>
      <c r="B17" s="95">
        <f>IF(데이터입력!Q$5="","",데이터입력!Q$5)</f>
        <v/>
      </c>
      <c r="C17" s="96">
        <f>IF(COUNT(데이터입력!$Q$6,데이터입력!$Q$7,데이터입력!$Q$8,데이터입력!$Q$9,데이터입력!$Q$10,데이터입력!$Q$11)=6,ROUND((데이터입력!$Q$6+데이터입력!$Q$7+데이터입력!$Q$8+데이터입력!$Q$9+데이터입력!$Q$10+데이터입력!$Q$11)/6,2),"")</f>
        <v/>
      </c>
      <c r="D17" s="63">
        <f>IF(COUNT(데이터입력!$Q$20,데이터입력!$Q$21,데이터입력!$Q$22,데이터입력!$Q$23,데이터입력!$Q$24,데이터입력!$Q$25,데이터입력!$Q$26)=7,ROUND((데이터입력!$Q$20+데이터입력!$Q$21+데이터입력!$Q$22+데이터입력!$Q$23+데이터입력!$Q$24+데이터입력!$Q$25+데이터입력!$Q$26)/7,2),"")</f>
        <v/>
      </c>
      <c r="E17" s="63">
        <f>IF(COUNT(데이터입력!$Q$31,데이터입력!$Q$32,데이터입력!$Q$33)=3,ROUND(((6-데이터입력!$Q$31)+(6-데이터입력!$Q$32)+(6-데이터입력!$Q$33))/3,2),"")</f>
        <v/>
      </c>
      <c r="F17" s="63">
        <f>IF(COUNT(데이터입력!$Q$14,데이터입력!$Q$15,데이터입력!$Q$16,데이터입력!$Q$17,데이터입력!$Q$18)=5,ROUND((데이터입력!$Q$14+데이터입력!$Q$15+데이터입력!$Q$16+데이터입력!$Q$17+데이터입력!$Q$18)/5,2),"")</f>
        <v/>
      </c>
      <c r="G17" s="63">
        <f>IF(COUNT(데이터입력!$Q$27,데이터입력!$Q$28,데이터입력!$Q$29)=3,ROUND(((6-데이터입력!$Q$27)+IF(데이터입력!$Q$28=3,5,IF(데이터입력!$Q$28=4,4,IF(데이터입력!$Q$28=2,3,IF(데이터입력!$Q$28=1,2,1))))+데이터입력!$Q$29)/3,2),"")</f>
        <v/>
      </c>
      <c r="H17" s="63">
        <f>IF(데이터입력!$Q$28="","",데이터입력!$Q$28&amp;IF(OR(데이터입력!$Q$28=4,데이터입력!$Q$28=5)," [A]",IF(OR(데이터입력!$Q$28=1,데이터입력!$Q$28=2)," [B]","")))</f>
        <v/>
      </c>
      <c r="I17" s="63">
        <f>IF(COUNT(데이터입력!$Q$12,데이터입력!$Q$13)=2,ROUND((데이터입력!$Q$12+데이터입력!$Q$13)/2,2),"")</f>
        <v/>
      </c>
      <c r="J17" s="63">
        <f>IF(데이터입력!$Q$19="","",데이터입력!$Q$19)</f>
        <v/>
      </c>
      <c r="K17" s="63">
        <f>IF(데이터입력!$Q$30="","",데이터입력!$Q$30)</f>
        <v/>
      </c>
      <c r="L17" s="63">
        <f>IF(COUNT(데이터입력!$Q$34,데이터입력!$Q$35)=2,ROUND(((6-데이터입력!$Q$34)+(6-데이터입력!$Q$35))/2,2),"")</f>
        <v/>
      </c>
      <c r="M17" s="96">
        <f>IF(COUNT(C17:E17)=3,ROUND(AVERAGE(C17:E17),2),"")</f>
        <v/>
      </c>
      <c r="N17" s="95">
        <f>IF(C17="","설문 미입력",IF(COUNT(C17:E17)&lt;3,"일부 문항 미응답",IF(MIN(C17:E17)&gt;=4,"세 영역 모두 안정적입니다.",IF(MIN(C17:E17)=C17,"가르치는 방식을 함께 살펴보면 좋아요.",IF(MIN(C17:E17)=D17,"정서적 애정·교류를 함께 살펴보면 좋아요.","정서 일관성(기복)을 함께 살펴보면 좋아요.")))))</f>
        <v/>
      </c>
    </row>
    <row r="18" ht="18" customHeight="1" s="53">
      <c r="A18" s="94" t="n">
        <v>13</v>
      </c>
      <c r="B18" s="95">
        <f>IF(데이터입력!R$5="","",데이터입력!R$5)</f>
        <v/>
      </c>
      <c r="C18" s="96">
        <f>IF(COUNT(데이터입력!$R$6,데이터입력!$R$7,데이터입력!$R$8,데이터입력!$R$9,데이터입력!$R$10,데이터입력!$R$11)=6,ROUND((데이터입력!$R$6+데이터입력!$R$7+데이터입력!$R$8+데이터입력!$R$9+데이터입력!$R$10+데이터입력!$R$11)/6,2),"")</f>
        <v/>
      </c>
      <c r="D18" s="63">
        <f>IF(COUNT(데이터입력!$R$20,데이터입력!$R$21,데이터입력!$R$22,데이터입력!$R$23,데이터입력!$R$24,데이터입력!$R$25,데이터입력!$R$26)=7,ROUND((데이터입력!$R$20+데이터입력!$R$21+데이터입력!$R$22+데이터입력!$R$23+데이터입력!$R$24+데이터입력!$R$25+데이터입력!$R$26)/7,2),"")</f>
        <v/>
      </c>
      <c r="E18" s="63">
        <f>IF(COUNT(데이터입력!$R$31,데이터입력!$R$32,데이터입력!$R$33)=3,ROUND(((6-데이터입력!$R$31)+(6-데이터입력!$R$32)+(6-데이터입력!$R$33))/3,2),"")</f>
        <v/>
      </c>
      <c r="F18" s="63">
        <f>IF(COUNT(데이터입력!$R$14,데이터입력!$R$15,데이터입력!$R$16,데이터입력!$R$17,데이터입력!$R$18)=5,ROUND((데이터입력!$R$14+데이터입력!$R$15+데이터입력!$R$16+데이터입력!$R$17+데이터입력!$R$18)/5,2),"")</f>
        <v/>
      </c>
      <c r="G18" s="63">
        <f>IF(COUNT(데이터입력!$R$27,데이터입력!$R$28,데이터입력!$R$29)=3,ROUND(((6-데이터입력!$R$27)+IF(데이터입력!$R$28=3,5,IF(데이터입력!$R$28=4,4,IF(데이터입력!$R$28=2,3,IF(데이터입력!$R$28=1,2,1))))+데이터입력!$R$29)/3,2),"")</f>
        <v/>
      </c>
      <c r="H18" s="63">
        <f>IF(데이터입력!$R$28="","",데이터입력!$R$28&amp;IF(OR(데이터입력!$R$28=4,데이터입력!$R$28=5)," [A]",IF(OR(데이터입력!$R$28=1,데이터입력!$R$28=2)," [B]","")))</f>
        <v/>
      </c>
      <c r="I18" s="63">
        <f>IF(COUNT(데이터입력!$R$12,데이터입력!$R$13)=2,ROUND((데이터입력!$R$12+데이터입력!$R$13)/2,2),"")</f>
        <v/>
      </c>
      <c r="J18" s="63">
        <f>IF(데이터입력!$R$19="","",데이터입력!$R$19)</f>
        <v/>
      </c>
      <c r="K18" s="63">
        <f>IF(데이터입력!$R$30="","",데이터입력!$R$30)</f>
        <v/>
      </c>
      <c r="L18" s="63">
        <f>IF(COUNT(데이터입력!$R$34,데이터입력!$R$35)=2,ROUND(((6-데이터입력!$R$34)+(6-데이터입력!$R$35))/2,2),"")</f>
        <v/>
      </c>
      <c r="M18" s="96">
        <f>IF(COUNT(C18:E18)=3,ROUND(AVERAGE(C18:E18),2),"")</f>
        <v/>
      </c>
      <c r="N18" s="95">
        <f>IF(C18="","설문 미입력",IF(COUNT(C18:E18)&lt;3,"일부 문항 미응답",IF(MIN(C18:E18)&gt;=4,"세 영역 모두 안정적입니다.",IF(MIN(C18:E18)=C18,"가르치는 방식을 함께 살펴보면 좋아요.",IF(MIN(C18:E18)=D18,"정서적 애정·교류를 함께 살펴보면 좋아요.","정서 일관성(기복)을 함께 살펴보면 좋아요.")))))</f>
        <v/>
      </c>
    </row>
    <row r="19" ht="18" customHeight="1" s="53">
      <c r="A19" s="94" t="n">
        <v>14</v>
      </c>
      <c r="B19" s="95">
        <f>IF(데이터입력!S$5="","",데이터입력!S$5)</f>
        <v/>
      </c>
      <c r="C19" s="96">
        <f>IF(COUNT(데이터입력!$S$6,데이터입력!$S$7,데이터입력!$S$8,데이터입력!$S$9,데이터입력!$S$10,데이터입력!$S$11)=6,ROUND((데이터입력!$S$6+데이터입력!$S$7+데이터입력!$S$8+데이터입력!$S$9+데이터입력!$S$10+데이터입력!$S$11)/6,2),"")</f>
        <v/>
      </c>
      <c r="D19" s="63">
        <f>IF(COUNT(데이터입력!$S$20,데이터입력!$S$21,데이터입력!$S$22,데이터입력!$S$23,데이터입력!$S$24,데이터입력!$S$25,데이터입력!$S$26)=7,ROUND((데이터입력!$S$20+데이터입력!$S$21+데이터입력!$S$22+데이터입력!$S$23+데이터입력!$S$24+데이터입력!$S$25+데이터입력!$S$26)/7,2),"")</f>
        <v/>
      </c>
      <c r="E19" s="63">
        <f>IF(COUNT(데이터입력!$S$31,데이터입력!$S$32,데이터입력!$S$33)=3,ROUND(((6-데이터입력!$S$31)+(6-데이터입력!$S$32)+(6-데이터입력!$S$33))/3,2),"")</f>
        <v/>
      </c>
      <c r="F19" s="63">
        <f>IF(COUNT(데이터입력!$S$14,데이터입력!$S$15,데이터입력!$S$16,데이터입력!$S$17,데이터입력!$S$18)=5,ROUND((데이터입력!$S$14+데이터입력!$S$15+데이터입력!$S$16+데이터입력!$S$17+데이터입력!$S$18)/5,2),"")</f>
        <v/>
      </c>
      <c r="G19" s="63">
        <f>IF(COUNT(데이터입력!$S$27,데이터입력!$S$28,데이터입력!$S$29)=3,ROUND(((6-데이터입력!$S$27)+IF(데이터입력!$S$28=3,5,IF(데이터입력!$S$28=4,4,IF(데이터입력!$S$28=2,3,IF(데이터입력!$S$28=1,2,1))))+데이터입력!$S$29)/3,2),"")</f>
        <v/>
      </c>
      <c r="H19" s="63">
        <f>IF(데이터입력!$S$28="","",데이터입력!$S$28&amp;IF(OR(데이터입력!$S$28=4,데이터입력!$S$28=5)," [A]",IF(OR(데이터입력!$S$28=1,데이터입력!$S$28=2)," [B]","")))</f>
        <v/>
      </c>
      <c r="I19" s="63">
        <f>IF(COUNT(데이터입력!$S$12,데이터입력!$S$13)=2,ROUND((데이터입력!$S$12+데이터입력!$S$13)/2,2),"")</f>
        <v/>
      </c>
      <c r="J19" s="63">
        <f>IF(데이터입력!$S$19="","",데이터입력!$S$19)</f>
        <v/>
      </c>
      <c r="K19" s="63">
        <f>IF(데이터입력!$S$30="","",데이터입력!$S$30)</f>
        <v/>
      </c>
      <c r="L19" s="63">
        <f>IF(COUNT(데이터입력!$S$34,데이터입력!$S$35)=2,ROUND(((6-데이터입력!$S$34)+(6-데이터입력!$S$35))/2,2),"")</f>
        <v/>
      </c>
      <c r="M19" s="96">
        <f>IF(COUNT(C19:E19)=3,ROUND(AVERAGE(C19:E19),2),"")</f>
        <v/>
      </c>
      <c r="N19" s="95">
        <f>IF(C19="","설문 미입력",IF(COUNT(C19:E19)&lt;3,"일부 문항 미응답",IF(MIN(C19:E19)&gt;=4,"세 영역 모두 안정적입니다.",IF(MIN(C19:E19)=C19,"가르치는 방식을 함께 살펴보면 좋아요.",IF(MIN(C19:E19)=D19,"정서적 애정·교류를 함께 살펴보면 좋아요.","정서 일관성(기복)을 함께 살펴보면 좋아요.")))))</f>
        <v/>
      </c>
    </row>
    <row r="20" ht="18" customHeight="1" s="53">
      <c r="A20" s="94" t="n">
        <v>15</v>
      </c>
      <c r="B20" s="95">
        <f>IF(데이터입력!T$5="","",데이터입력!T$5)</f>
        <v/>
      </c>
      <c r="C20" s="96">
        <f>IF(COUNT(데이터입력!$T$6,데이터입력!$T$7,데이터입력!$T$8,데이터입력!$T$9,데이터입력!$T$10,데이터입력!$T$11)=6,ROUND((데이터입력!$T$6+데이터입력!$T$7+데이터입력!$T$8+데이터입력!$T$9+데이터입력!$T$10+데이터입력!$T$11)/6,2),"")</f>
        <v/>
      </c>
      <c r="D20" s="63">
        <f>IF(COUNT(데이터입력!$T$20,데이터입력!$T$21,데이터입력!$T$22,데이터입력!$T$23,데이터입력!$T$24,데이터입력!$T$25,데이터입력!$T$26)=7,ROUND((데이터입력!$T$20+데이터입력!$T$21+데이터입력!$T$22+데이터입력!$T$23+데이터입력!$T$24+데이터입력!$T$25+데이터입력!$T$26)/7,2),"")</f>
        <v/>
      </c>
      <c r="E20" s="63">
        <f>IF(COUNT(데이터입력!$T$31,데이터입력!$T$32,데이터입력!$T$33)=3,ROUND(((6-데이터입력!$T$31)+(6-데이터입력!$T$32)+(6-데이터입력!$T$33))/3,2),"")</f>
        <v/>
      </c>
      <c r="F20" s="63">
        <f>IF(COUNT(데이터입력!$T$14,데이터입력!$T$15,데이터입력!$T$16,데이터입력!$T$17,데이터입력!$T$18)=5,ROUND((데이터입력!$T$14+데이터입력!$T$15+데이터입력!$T$16+데이터입력!$T$17+데이터입력!$T$18)/5,2),"")</f>
        <v/>
      </c>
      <c r="G20" s="63">
        <f>IF(COUNT(데이터입력!$T$27,데이터입력!$T$28,데이터입력!$T$29)=3,ROUND(((6-데이터입력!$T$27)+IF(데이터입력!$T$28=3,5,IF(데이터입력!$T$28=4,4,IF(데이터입력!$T$28=2,3,IF(데이터입력!$T$28=1,2,1))))+데이터입력!$T$29)/3,2),"")</f>
        <v/>
      </c>
      <c r="H20" s="63">
        <f>IF(데이터입력!$T$28="","",데이터입력!$T$28&amp;IF(OR(데이터입력!$T$28=4,데이터입력!$T$28=5)," [A]",IF(OR(데이터입력!$T$28=1,데이터입력!$T$28=2)," [B]","")))</f>
        <v/>
      </c>
      <c r="I20" s="63">
        <f>IF(COUNT(데이터입력!$T$12,데이터입력!$T$13)=2,ROUND((데이터입력!$T$12+데이터입력!$T$13)/2,2),"")</f>
        <v/>
      </c>
      <c r="J20" s="63">
        <f>IF(데이터입력!$T$19="","",데이터입력!$T$19)</f>
        <v/>
      </c>
      <c r="K20" s="63">
        <f>IF(데이터입력!$T$30="","",데이터입력!$T$30)</f>
        <v/>
      </c>
      <c r="L20" s="63">
        <f>IF(COUNT(데이터입력!$T$34,데이터입력!$T$35)=2,ROUND(((6-데이터입력!$T$34)+(6-데이터입력!$T$35))/2,2),"")</f>
        <v/>
      </c>
      <c r="M20" s="96">
        <f>IF(COUNT(C20:E20)=3,ROUND(AVERAGE(C20:E20),2),"")</f>
        <v/>
      </c>
      <c r="N20" s="95">
        <f>IF(C20="","설문 미입력",IF(COUNT(C20:E20)&lt;3,"일부 문항 미응답",IF(MIN(C20:E20)&gt;=4,"세 영역 모두 안정적입니다.",IF(MIN(C20:E20)=C20,"가르치는 방식을 함께 살펴보면 좋아요.",IF(MIN(C20:E20)=D20,"정서적 애정·교류를 함께 살펴보면 좋아요.","정서 일관성(기복)을 함께 살펴보면 좋아요.")))))</f>
        <v/>
      </c>
    </row>
    <row r="21" ht="18" customHeight="1" s="53">
      <c r="A21" s="94" t="n">
        <v>16</v>
      </c>
      <c r="B21" s="95">
        <f>IF(데이터입력!U$5="","",데이터입력!U$5)</f>
        <v/>
      </c>
      <c r="C21" s="96">
        <f>IF(COUNT(데이터입력!$U$6,데이터입력!$U$7,데이터입력!$U$8,데이터입력!$U$9,데이터입력!$U$10,데이터입력!$U$11)=6,ROUND((데이터입력!$U$6+데이터입력!$U$7+데이터입력!$U$8+데이터입력!$U$9+데이터입력!$U$10+데이터입력!$U$11)/6,2),"")</f>
        <v/>
      </c>
      <c r="D21" s="63">
        <f>IF(COUNT(데이터입력!$U$20,데이터입력!$U$21,데이터입력!$U$22,데이터입력!$U$23,데이터입력!$U$24,데이터입력!$U$25,데이터입력!$U$26)=7,ROUND((데이터입력!$U$20+데이터입력!$U$21+데이터입력!$U$22+데이터입력!$U$23+데이터입력!$U$24+데이터입력!$U$25+데이터입력!$U$26)/7,2),"")</f>
        <v/>
      </c>
      <c r="E21" s="63">
        <f>IF(COUNT(데이터입력!$U$31,데이터입력!$U$32,데이터입력!$U$33)=3,ROUND(((6-데이터입력!$U$31)+(6-데이터입력!$U$32)+(6-데이터입력!$U$33))/3,2),"")</f>
        <v/>
      </c>
      <c r="F21" s="63">
        <f>IF(COUNT(데이터입력!$U$14,데이터입력!$U$15,데이터입력!$U$16,데이터입력!$U$17,데이터입력!$U$18)=5,ROUND((데이터입력!$U$14+데이터입력!$U$15+데이터입력!$U$16+데이터입력!$U$17+데이터입력!$U$18)/5,2),"")</f>
        <v/>
      </c>
      <c r="G21" s="63">
        <f>IF(COUNT(데이터입력!$U$27,데이터입력!$U$28,데이터입력!$U$29)=3,ROUND(((6-데이터입력!$U$27)+IF(데이터입력!$U$28=3,5,IF(데이터입력!$U$28=4,4,IF(데이터입력!$U$28=2,3,IF(데이터입력!$U$28=1,2,1))))+데이터입력!$U$29)/3,2),"")</f>
        <v/>
      </c>
      <c r="H21" s="63">
        <f>IF(데이터입력!$U$28="","",데이터입력!$U$28&amp;IF(OR(데이터입력!$U$28=4,데이터입력!$U$28=5)," [A]",IF(OR(데이터입력!$U$28=1,데이터입력!$U$28=2)," [B]","")))</f>
        <v/>
      </c>
      <c r="I21" s="63">
        <f>IF(COUNT(데이터입력!$U$12,데이터입력!$U$13)=2,ROUND((데이터입력!$U$12+데이터입력!$U$13)/2,2),"")</f>
        <v/>
      </c>
      <c r="J21" s="63">
        <f>IF(데이터입력!$U$19="","",데이터입력!$U$19)</f>
        <v/>
      </c>
      <c r="K21" s="63">
        <f>IF(데이터입력!$U$30="","",데이터입력!$U$30)</f>
        <v/>
      </c>
      <c r="L21" s="63">
        <f>IF(COUNT(데이터입력!$U$34,데이터입력!$U$35)=2,ROUND(((6-데이터입력!$U$34)+(6-데이터입력!$U$35))/2,2),"")</f>
        <v/>
      </c>
      <c r="M21" s="96">
        <f>IF(COUNT(C21:E21)=3,ROUND(AVERAGE(C21:E21),2),"")</f>
        <v/>
      </c>
      <c r="N21" s="95">
        <f>IF(C21="","설문 미입력",IF(COUNT(C21:E21)&lt;3,"일부 문항 미응답",IF(MIN(C21:E21)&gt;=4,"세 영역 모두 안정적입니다.",IF(MIN(C21:E21)=C21,"가르치는 방식을 함께 살펴보면 좋아요.",IF(MIN(C21:E21)=D21,"정서적 애정·교류를 함께 살펴보면 좋아요.","정서 일관성(기복)을 함께 살펴보면 좋아요.")))))</f>
        <v/>
      </c>
    </row>
    <row r="22" ht="18" customHeight="1" s="53">
      <c r="A22" s="94" t="n">
        <v>17</v>
      </c>
      <c r="B22" s="95">
        <f>IF(데이터입력!V$5="","",데이터입력!V$5)</f>
        <v/>
      </c>
      <c r="C22" s="96">
        <f>IF(COUNT(데이터입력!$V$6,데이터입력!$V$7,데이터입력!$V$8,데이터입력!$V$9,데이터입력!$V$10,데이터입력!$V$11)=6,ROUND((데이터입력!$V$6+데이터입력!$V$7+데이터입력!$V$8+데이터입력!$V$9+데이터입력!$V$10+데이터입력!$V$11)/6,2),"")</f>
        <v/>
      </c>
      <c r="D22" s="63">
        <f>IF(COUNT(데이터입력!$V$20,데이터입력!$V$21,데이터입력!$V$22,데이터입력!$V$23,데이터입력!$V$24,데이터입력!$V$25,데이터입력!$V$26)=7,ROUND((데이터입력!$V$20+데이터입력!$V$21+데이터입력!$V$22+데이터입력!$V$23+데이터입력!$V$24+데이터입력!$V$25+데이터입력!$V$26)/7,2),"")</f>
        <v/>
      </c>
      <c r="E22" s="63">
        <f>IF(COUNT(데이터입력!$V$31,데이터입력!$V$32,데이터입력!$V$33)=3,ROUND(((6-데이터입력!$V$31)+(6-데이터입력!$V$32)+(6-데이터입력!$V$33))/3,2),"")</f>
        <v/>
      </c>
      <c r="F22" s="63">
        <f>IF(COUNT(데이터입력!$V$14,데이터입력!$V$15,데이터입력!$V$16,데이터입력!$V$17,데이터입력!$V$18)=5,ROUND((데이터입력!$V$14+데이터입력!$V$15+데이터입력!$V$16+데이터입력!$V$17+데이터입력!$V$18)/5,2),"")</f>
        <v/>
      </c>
      <c r="G22" s="63">
        <f>IF(COUNT(데이터입력!$V$27,데이터입력!$V$28,데이터입력!$V$29)=3,ROUND(((6-데이터입력!$V$27)+IF(데이터입력!$V$28=3,5,IF(데이터입력!$V$28=4,4,IF(데이터입력!$V$28=2,3,IF(데이터입력!$V$28=1,2,1))))+데이터입력!$V$29)/3,2),"")</f>
        <v/>
      </c>
      <c r="H22" s="63">
        <f>IF(데이터입력!$V$28="","",데이터입력!$V$28&amp;IF(OR(데이터입력!$V$28=4,데이터입력!$V$28=5)," [A]",IF(OR(데이터입력!$V$28=1,데이터입력!$V$28=2)," [B]","")))</f>
        <v/>
      </c>
      <c r="I22" s="63">
        <f>IF(COUNT(데이터입력!$V$12,데이터입력!$V$13)=2,ROUND((데이터입력!$V$12+데이터입력!$V$13)/2,2),"")</f>
        <v/>
      </c>
      <c r="J22" s="63">
        <f>IF(데이터입력!$V$19="","",데이터입력!$V$19)</f>
        <v/>
      </c>
      <c r="K22" s="63">
        <f>IF(데이터입력!$V$30="","",데이터입력!$V$30)</f>
        <v/>
      </c>
      <c r="L22" s="63">
        <f>IF(COUNT(데이터입력!$V$34,데이터입력!$V$35)=2,ROUND(((6-데이터입력!$V$34)+(6-데이터입력!$V$35))/2,2),"")</f>
        <v/>
      </c>
      <c r="M22" s="96">
        <f>IF(COUNT(C22:E22)=3,ROUND(AVERAGE(C22:E22),2),"")</f>
        <v/>
      </c>
      <c r="N22" s="95">
        <f>IF(C22="","설문 미입력",IF(COUNT(C22:E22)&lt;3,"일부 문항 미응답",IF(MIN(C22:E22)&gt;=4,"세 영역 모두 안정적입니다.",IF(MIN(C22:E22)=C22,"가르치는 방식을 함께 살펴보면 좋아요.",IF(MIN(C22:E22)=D22,"정서적 애정·교류를 함께 살펴보면 좋아요.","정서 일관성(기복)을 함께 살펴보면 좋아요.")))))</f>
        <v/>
      </c>
    </row>
    <row r="23" ht="18" customHeight="1" s="53">
      <c r="A23" s="94" t="n">
        <v>18</v>
      </c>
      <c r="B23" s="95">
        <f>IF(데이터입력!W$5="","",데이터입력!W$5)</f>
        <v/>
      </c>
      <c r="C23" s="96">
        <f>IF(COUNT(데이터입력!$W$6,데이터입력!$W$7,데이터입력!$W$8,데이터입력!$W$9,데이터입력!$W$10,데이터입력!$W$11)=6,ROUND((데이터입력!$W$6+데이터입력!$W$7+데이터입력!$W$8+데이터입력!$W$9+데이터입력!$W$10+데이터입력!$W$11)/6,2),"")</f>
        <v/>
      </c>
      <c r="D23" s="63">
        <f>IF(COUNT(데이터입력!$W$20,데이터입력!$W$21,데이터입력!$W$22,데이터입력!$W$23,데이터입력!$W$24,데이터입력!$W$25,데이터입력!$W$26)=7,ROUND((데이터입력!$W$20+데이터입력!$W$21+데이터입력!$W$22+데이터입력!$W$23+데이터입력!$W$24+데이터입력!$W$25+데이터입력!$W$26)/7,2),"")</f>
        <v/>
      </c>
      <c r="E23" s="63">
        <f>IF(COUNT(데이터입력!$W$31,데이터입력!$W$32,데이터입력!$W$33)=3,ROUND(((6-데이터입력!$W$31)+(6-데이터입력!$W$32)+(6-데이터입력!$W$33))/3,2),"")</f>
        <v/>
      </c>
      <c r="F23" s="63">
        <f>IF(COUNT(데이터입력!$W$14,데이터입력!$W$15,데이터입력!$W$16,데이터입력!$W$17,데이터입력!$W$18)=5,ROUND((데이터입력!$W$14+데이터입력!$W$15+데이터입력!$W$16+데이터입력!$W$17+데이터입력!$W$18)/5,2),"")</f>
        <v/>
      </c>
      <c r="G23" s="63">
        <f>IF(COUNT(데이터입력!$W$27,데이터입력!$W$28,데이터입력!$W$29)=3,ROUND(((6-데이터입력!$W$27)+IF(데이터입력!$W$28=3,5,IF(데이터입력!$W$28=4,4,IF(데이터입력!$W$28=2,3,IF(데이터입력!$W$28=1,2,1))))+데이터입력!$W$29)/3,2),"")</f>
        <v/>
      </c>
      <c r="H23" s="63">
        <f>IF(데이터입력!$W$28="","",데이터입력!$W$28&amp;IF(OR(데이터입력!$W$28=4,데이터입력!$W$28=5)," [A]",IF(OR(데이터입력!$W$28=1,데이터입력!$W$28=2)," [B]","")))</f>
        <v/>
      </c>
      <c r="I23" s="63">
        <f>IF(COUNT(데이터입력!$W$12,데이터입력!$W$13)=2,ROUND((데이터입력!$W$12+데이터입력!$W$13)/2,2),"")</f>
        <v/>
      </c>
      <c r="J23" s="63">
        <f>IF(데이터입력!$W$19="","",데이터입력!$W$19)</f>
        <v/>
      </c>
      <c r="K23" s="63">
        <f>IF(데이터입력!$W$30="","",데이터입력!$W$30)</f>
        <v/>
      </c>
      <c r="L23" s="63">
        <f>IF(COUNT(데이터입력!$W$34,데이터입력!$W$35)=2,ROUND(((6-데이터입력!$W$34)+(6-데이터입력!$W$35))/2,2),"")</f>
        <v/>
      </c>
      <c r="M23" s="96">
        <f>IF(COUNT(C23:E23)=3,ROUND(AVERAGE(C23:E23),2),"")</f>
        <v/>
      </c>
      <c r="N23" s="95">
        <f>IF(C23="","설문 미입력",IF(COUNT(C23:E23)&lt;3,"일부 문항 미응답",IF(MIN(C23:E23)&gt;=4,"세 영역 모두 안정적입니다.",IF(MIN(C23:E23)=C23,"가르치는 방식을 함께 살펴보면 좋아요.",IF(MIN(C23:E23)=D23,"정서적 애정·교류를 함께 살펴보면 좋아요.","정서 일관성(기복)을 함께 살펴보면 좋아요.")))))</f>
        <v/>
      </c>
    </row>
    <row r="24" ht="18" customHeight="1" s="53">
      <c r="A24" s="94" t="n">
        <v>19</v>
      </c>
      <c r="B24" s="95">
        <f>IF(데이터입력!X$5="","",데이터입력!X$5)</f>
        <v/>
      </c>
      <c r="C24" s="96">
        <f>IF(COUNT(데이터입력!$X$6,데이터입력!$X$7,데이터입력!$X$8,데이터입력!$X$9,데이터입력!$X$10,데이터입력!$X$11)=6,ROUND((데이터입력!$X$6+데이터입력!$X$7+데이터입력!$X$8+데이터입력!$X$9+데이터입력!$X$10+데이터입력!$X$11)/6,2),"")</f>
        <v/>
      </c>
      <c r="D24" s="63">
        <f>IF(COUNT(데이터입력!$X$20,데이터입력!$X$21,데이터입력!$X$22,데이터입력!$X$23,데이터입력!$X$24,데이터입력!$X$25,데이터입력!$X$26)=7,ROUND((데이터입력!$X$20+데이터입력!$X$21+데이터입력!$X$22+데이터입력!$X$23+데이터입력!$X$24+데이터입력!$X$25+데이터입력!$X$26)/7,2),"")</f>
        <v/>
      </c>
      <c r="E24" s="63">
        <f>IF(COUNT(데이터입력!$X$31,데이터입력!$X$32,데이터입력!$X$33)=3,ROUND(((6-데이터입력!$X$31)+(6-데이터입력!$X$32)+(6-데이터입력!$X$33))/3,2),"")</f>
        <v/>
      </c>
      <c r="F24" s="63">
        <f>IF(COUNT(데이터입력!$X$14,데이터입력!$X$15,데이터입력!$X$16,데이터입력!$X$17,데이터입력!$X$18)=5,ROUND((데이터입력!$X$14+데이터입력!$X$15+데이터입력!$X$16+데이터입력!$X$17+데이터입력!$X$18)/5,2),"")</f>
        <v/>
      </c>
      <c r="G24" s="63">
        <f>IF(COUNT(데이터입력!$X$27,데이터입력!$X$28,데이터입력!$X$29)=3,ROUND(((6-데이터입력!$X$27)+IF(데이터입력!$X$28=3,5,IF(데이터입력!$X$28=4,4,IF(데이터입력!$X$28=2,3,IF(데이터입력!$X$28=1,2,1))))+데이터입력!$X$29)/3,2),"")</f>
        <v/>
      </c>
      <c r="H24" s="63">
        <f>IF(데이터입력!$X$28="","",데이터입력!$X$28&amp;IF(OR(데이터입력!$X$28=4,데이터입력!$X$28=5)," [A]",IF(OR(데이터입력!$X$28=1,데이터입력!$X$28=2)," [B]","")))</f>
        <v/>
      </c>
      <c r="I24" s="63">
        <f>IF(COUNT(데이터입력!$X$12,데이터입력!$X$13)=2,ROUND((데이터입력!$X$12+데이터입력!$X$13)/2,2),"")</f>
        <v/>
      </c>
      <c r="J24" s="63">
        <f>IF(데이터입력!$X$19="","",데이터입력!$X$19)</f>
        <v/>
      </c>
      <c r="K24" s="63">
        <f>IF(데이터입력!$X$30="","",데이터입력!$X$30)</f>
        <v/>
      </c>
      <c r="L24" s="63">
        <f>IF(COUNT(데이터입력!$X$34,데이터입력!$X$35)=2,ROUND(((6-데이터입력!$X$34)+(6-데이터입력!$X$35))/2,2),"")</f>
        <v/>
      </c>
      <c r="M24" s="96">
        <f>IF(COUNT(C24:E24)=3,ROUND(AVERAGE(C24:E24),2),"")</f>
        <v/>
      </c>
      <c r="N24" s="95">
        <f>IF(C24="","설문 미입력",IF(COUNT(C24:E24)&lt;3,"일부 문항 미응답",IF(MIN(C24:E24)&gt;=4,"세 영역 모두 안정적입니다.",IF(MIN(C24:E24)=C24,"가르치는 방식을 함께 살펴보면 좋아요.",IF(MIN(C24:E24)=D24,"정서적 애정·교류를 함께 살펴보면 좋아요.","정서 일관성(기복)을 함께 살펴보면 좋아요.")))))</f>
        <v/>
      </c>
    </row>
    <row r="25" ht="18" customHeight="1" s="53">
      <c r="A25" s="94" t="n">
        <v>20</v>
      </c>
      <c r="B25" s="95">
        <f>IF(데이터입력!Y$5="","",데이터입력!Y$5)</f>
        <v/>
      </c>
      <c r="C25" s="96">
        <f>IF(COUNT(데이터입력!$Y$6,데이터입력!$Y$7,데이터입력!$Y$8,데이터입력!$Y$9,데이터입력!$Y$10,데이터입력!$Y$11)=6,ROUND((데이터입력!$Y$6+데이터입력!$Y$7+데이터입력!$Y$8+데이터입력!$Y$9+데이터입력!$Y$10+데이터입력!$Y$11)/6,2),"")</f>
        <v/>
      </c>
      <c r="D25" s="63">
        <f>IF(COUNT(데이터입력!$Y$20,데이터입력!$Y$21,데이터입력!$Y$22,데이터입력!$Y$23,데이터입력!$Y$24,데이터입력!$Y$25,데이터입력!$Y$26)=7,ROUND((데이터입력!$Y$20+데이터입력!$Y$21+데이터입력!$Y$22+데이터입력!$Y$23+데이터입력!$Y$24+데이터입력!$Y$25+데이터입력!$Y$26)/7,2),"")</f>
        <v/>
      </c>
      <c r="E25" s="63">
        <f>IF(COUNT(데이터입력!$Y$31,데이터입력!$Y$32,데이터입력!$Y$33)=3,ROUND(((6-데이터입력!$Y$31)+(6-데이터입력!$Y$32)+(6-데이터입력!$Y$33))/3,2),"")</f>
        <v/>
      </c>
      <c r="F25" s="63">
        <f>IF(COUNT(데이터입력!$Y$14,데이터입력!$Y$15,데이터입력!$Y$16,데이터입력!$Y$17,데이터입력!$Y$18)=5,ROUND((데이터입력!$Y$14+데이터입력!$Y$15+데이터입력!$Y$16+데이터입력!$Y$17+데이터입력!$Y$18)/5,2),"")</f>
        <v/>
      </c>
      <c r="G25" s="63">
        <f>IF(COUNT(데이터입력!$Y$27,데이터입력!$Y$28,데이터입력!$Y$29)=3,ROUND(((6-데이터입력!$Y$27)+IF(데이터입력!$Y$28=3,5,IF(데이터입력!$Y$28=4,4,IF(데이터입력!$Y$28=2,3,IF(데이터입력!$Y$28=1,2,1))))+데이터입력!$Y$29)/3,2),"")</f>
        <v/>
      </c>
      <c r="H25" s="63">
        <f>IF(데이터입력!$Y$28="","",데이터입력!$Y$28&amp;IF(OR(데이터입력!$Y$28=4,데이터입력!$Y$28=5)," [A]",IF(OR(데이터입력!$Y$28=1,데이터입력!$Y$28=2)," [B]","")))</f>
        <v/>
      </c>
      <c r="I25" s="63">
        <f>IF(COUNT(데이터입력!$Y$12,데이터입력!$Y$13)=2,ROUND((데이터입력!$Y$12+데이터입력!$Y$13)/2,2),"")</f>
        <v/>
      </c>
      <c r="J25" s="63">
        <f>IF(데이터입력!$Y$19="","",데이터입력!$Y$19)</f>
        <v/>
      </c>
      <c r="K25" s="63">
        <f>IF(데이터입력!$Y$30="","",데이터입력!$Y$30)</f>
        <v/>
      </c>
      <c r="L25" s="63">
        <f>IF(COUNT(데이터입력!$Y$34,데이터입력!$Y$35)=2,ROUND(((6-데이터입력!$Y$34)+(6-데이터입력!$Y$35))/2,2),"")</f>
        <v/>
      </c>
      <c r="M25" s="96">
        <f>IF(COUNT(C25:E25)=3,ROUND(AVERAGE(C25:E25),2),"")</f>
        <v/>
      </c>
      <c r="N25" s="95">
        <f>IF(C25="","설문 미입력",IF(COUNT(C25:E25)&lt;3,"일부 문항 미응답",IF(MIN(C25:E25)&gt;=4,"세 영역 모두 안정적입니다.",IF(MIN(C25:E25)=C25,"가르치는 방식을 함께 살펴보면 좋아요.",IF(MIN(C25:E25)=D25,"정서적 애정·교류를 함께 살펴보면 좋아요.","정서 일관성(기복)을 함께 살펴보면 좋아요.")))))</f>
        <v/>
      </c>
    </row>
    <row r="28" ht="17.15" customHeight="1" s="53">
      <c r="A28" s="97" t="inlineStr">
        <is>
          <t>참고 기준선 (심혜미 외 2022 · 5점 환산 근사값)</t>
        </is>
      </c>
    </row>
    <row r="29" ht="15" customHeight="1" s="53">
      <c r="A29" s="98" t="inlineStr">
        <is>
          <t>집단</t>
        </is>
      </c>
      <c r="B29" s="98" t="n"/>
      <c r="C29" s="99" t="inlineStr">
        <is>
          <t>A 가르치는 방식</t>
        </is>
      </c>
      <c r="D29" s="99" t="inlineStr">
        <is>
          <t>C-1 정서적 애정</t>
        </is>
      </c>
      <c r="E29" s="99" t="inlineStr">
        <is>
          <t>D 안정적 반응</t>
        </is>
      </c>
    </row>
    <row r="30" ht="15" customHeight="1" s="53">
      <c r="A30" s="100" t="inlineStr">
        <is>
          <t>문제행동 없는 집단</t>
        </is>
      </c>
      <c r="B30" s="80" t="n"/>
      <c r="C30" s="80" t="n">
        <v>4.08</v>
      </c>
      <c r="D30" s="80" t="n">
        <v>4.6</v>
      </c>
      <c r="E30" s="80" t="n">
        <v>4.39</v>
      </c>
    </row>
    <row r="31" ht="15" customHeight="1" s="53">
      <c r="A31" s="100" t="inlineStr">
        <is>
          <t>문제행동 있는 집단</t>
        </is>
      </c>
      <c r="B31" s="80" t="n"/>
      <c r="C31" s="80" t="n">
        <v>3.91</v>
      </c>
      <c r="D31" s="80" t="n">
        <v>4.55</v>
      </c>
      <c r="E31" s="80" t="n">
        <v>4.13</v>
      </c>
    </row>
    <row r="33" ht="15" customHeight="1" s="53">
      <c r="A33" s="84" t="inlineStr">
        <is>
          <t>※ 사회화(B)는 기준선을 비교할 수 없습니다. 원 척도의 '사회화 관여'는 어릴 적 경험을 묻는 과거형이었으나,</t>
        </is>
      </c>
    </row>
    <row r="34" ht="15" customHeight="1" s="53">
      <c r="A34" s="84" t="inlineStr">
        <is>
          <t xml:space="preserve">   이번 설문은 C-BARQ를 현재형으로 번안해 '지금 낯선 것에 편안한가'를 묻습니다. 다른 것을 재고 있습니다.</t>
        </is>
      </c>
    </row>
    <row r="35" ht="15" customHeight="1" s="53">
      <c r="A35" s="84" t="inlineStr">
        <is>
          <t>※ 이 척도에는 공식 절대 기준점이 없습니다. 참가자 간 상대 비교나 위 기준선과의 근접도로만 해석하세요.</t>
        </is>
      </c>
    </row>
    <row r="36" ht="15" customHeight="1" s="53">
      <c r="A36" s="101" t="inlineStr">
        <is>
          <t>※ 23번(찾아다님)은 높을수록 좋은 문항이 아닙니다. 3점 내외가 정상이고, 5점이면 분리불안을 의심합니다.</t>
        </is>
      </c>
    </row>
    <row r="37" ht="15" customHeight="1" s="53">
      <c r="A37" s="84" t="inlineStr">
        <is>
          <t xml:space="preserve">   그래서 평균에 넣지 않고 응답값 그대로 보여 줍니다.</t>
        </is>
      </c>
    </row>
    <row r="38" ht="15" customHeight="1" s="53">
      <c r="A38" s="101" t="inlineStr">
        <is>
          <t>※ [영] 문항은 검증되지 않았습니다. 점수로 쓰지 말고 영상과 대조하는 재료로만 쓰세요. (온도차대조 시트 참고)</t>
        </is>
      </c>
    </row>
    <row r="39" ht="15" customHeight="1" s="53">
      <c r="A39" s="84" t="inlineStr">
        <is>
          <t>출처: 심혜미 외(2022), 반려견 보호자 양육행동 척도 개발 및 타당화 연구, 대한수의학회지 62(e21).</t>
        </is>
      </c>
    </row>
  </sheetData>
  <mergeCells count="7">
    <mergeCell ref="M4:M5"/>
    <mergeCell ref="B4:B5"/>
    <mergeCell ref="A4:A5"/>
    <mergeCell ref="N4:N5"/>
    <mergeCell ref="I4:L4"/>
    <mergeCell ref="C4:E4"/>
    <mergeCell ref="F4:H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52" min="1" max="1"/>
    <col width="36" customWidth="1" style="52" min="2" max="2"/>
    <col width="12" customWidth="1" style="52" min="3" max="3"/>
    <col width="34" customWidth="1" style="52" min="4" max="4"/>
    <col width="40" customWidth="1" style="52" min="5" max="5"/>
  </cols>
  <sheetData>
    <row r="1" ht="21.6" customHeight="1" s="53">
      <c r="A1" s="58" t="inlineStr">
        <is>
          <t>온도차 대조표 — 설문 [영] 문항 ↔ 영상 관찰</t>
        </is>
      </c>
    </row>
    <row r="2" ht="15" customHeight="1" s="53">
      <c r="A2" s="101" t="inlineStr">
        <is>
          <t>[영] 문항은 '바람직한 행동을 하고 있다고 생각하는가'를 묻습니다. 대부분 높게 답하지만 영상에서는 다르게 나옵니다. 그 간극이 온도차이고, 피드백의 재료입니다.</t>
        </is>
      </c>
    </row>
    <row r="4" ht="15" customHeight="1" s="53">
      <c r="A4" s="60" t="inlineStr">
        <is>
          <t>문항</t>
        </is>
      </c>
      <c r="B4" s="60" t="inlineStr">
        <is>
          <t>설문 내용</t>
        </is>
      </c>
      <c r="C4" s="60" t="inlineStr">
        <is>
          <t>영상 구간</t>
        </is>
      </c>
      <c r="D4" s="60" t="inlineStr">
        <is>
          <t>행동 채점표에서 볼 항목</t>
        </is>
      </c>
      <c r="E4" s="60" t="inlineStr">
        <is>
          <t>온도차가 생기는 전형적 모습</t>
        </is>
      </c>
    </row>
    <row r="5" ht="30" customHeight="1" s="53">
      <c r="A5" s="102" t="inlineStr">
        <is>
          <t>7</t>
        </is>
      </c>
      <c r="B5" s="103" t="inlineStr">
        <is>
          <t>칭찬을 먼저 하고 간식은 그다음</t>
        </is>
      </c>
      <c r="C5" s="104" t="inlineStr">
        <is>
          <t>훈련</t>
        </is>
      </c>
      <c r="D5" s="105" t="inlineStr">
        <is>
          <t>[3_보호자행동] [훈련] 보상 타이밍</t>
        </is>
      </c>
      <c r="E5" s="103" t="inlineStr">
        <is>
          <t>높게 답했는데 영상에선 간식이 먼저 나오는 경우</t>
        </is>
      </c>
    </row>
    <row r="6" ht="30" customHeight="1" s="53">
      <c r="A6" s="102" t="inlineStr">
        <is>
          <t>8</t>
        </is>
      </c>
      <c r="B6" s="103" t="inlineStr">
        <is>
          <t>간식 없어도 아는 지시를 시킬 수 있다</t>
        </is>
      </c>
      <c r="C6" s="104" t="inlineStr">
        <is>
          <t>훈련</t>
        </is>
      </c>
      <c r="D6" s="105" t="inlineStr">
        <is>
          <t>[3_보호자행동] [훈련] 지시 형태</t>
        </is>
      </c>
      <c r="E6" s="103" t="inlineStr">
        <is>
          <t>높게 답했는데 영상에선 간식을 든 채로만 지시</t>
        </is>
      </c>
    </row>
    <row r="7" ht="30" customHeight="1" s="53">
      <c r="A7" s="102" t="inlineStr">
        <is>
          <t>14</t>
        </is>
      </c>
      <c r="B7" s="103" t="inlineStr">
        <is>
          <t>낯선 곳에서도 바닥 냄새 맡으며 탐색</t>
        </is>
      </c>
      <c r="C7" s="104" t="inlineStr">
        <is>
          <t>입장</t>
        </is>
      </c>
      <c r="D7" s="105" t="inlineStr">
        <is>
          <t>[1_바디시그널] 입장 전위행동 / 이동</t>
        </is>
      </c>
      <c r="E7" s="103" t="inlineStr">
        <is>
          <t>탐색이라 답했지만 실제로는 멈춰서 킁킁(전위행동)</t>
        </is>
      </c>
    </row>
    <row r="8" ht="30" customHeight="1" s="53">
      <c r="A8" s="102" t="inlineStr">
        <is>
          <t>25</t>
        </is>
      </c>
      <c r="B8" s="103" t="inlineStr">
        <is>
          <t>놀 때 서로 주고받는 흐름이 있다</t>
        </is>
      </c>
      <c r="C8" s="104" t="inlineStr">
        <is>
          <t>놀이</t>
        </is>
      </c>
      <c r="D8" s="105" t="inlineStr">
        <is>
          <t>[2_개행동] 주고받기 흐름 / 놀이 개시 주체</t>
        </is>
      </c>
      <c r="E8" s="103" t="inlineStr">
        <is>
          <t>높게 답했는데 영상에선 보호자만 일방적으로 던짐</t>
        </is>
      </c>
    </row>
    <row r="9" ht="30" customHeight="1" s="53">
      <c r="A9" s="102" t="inlineStr">
        <is>
          <t>29</t>
        </is>
      </c>
      <c r="B9" s="103" t="inlineStr">
        <is>
          <t>훈련이 뜻대로 안 되면 짜증이 난다 (R)</t>
        </is>
      </c>
      <c r="C9" s="104" t="inlineStr">
        <is>
          <t>훈련</t>
        </is>
      </c>
      <c r="D9" s="105" t="inlineStr">
        <is>
          <t>[3_보호자행동] [훈련] 실패했을 때 반응</t>
        </is>
      </c>
      <c r="E9" s="103" t="inlineStr">
        <is>
          <t>짜증 안 난다 답했는데 실패 후 목소리가 커짐</t>
        </is>
      </c>
    </row>
    <row r="10" ht="30" customHeight="1" s="53">
      <c r="A10" s="102" t="inlineStr">
        <is>
          <t>30</t>
        </is>
      </c>
      <c r="B10" s="103" t="inlineStr">
        <is>
          <t>아이가 흥분하면 나도 목소리가 커진다 (R)</t>
        </is>
      </c>
      <c r="C10" s="104" t="inlineStr">
        <is>
          <t>놀이·전체</t>
        </is>
      </c>
      <c r="D10" s="105" t="inlineStr">
        <is>
          <t>[3_보호자행동] 목소리 / [놀이] 놀이 조절</t>
        </is>
      </c>
      <c r="E10" s="103" t="inlineStr">
        <is>
          <t>아니라고 답했는데 놀이 구간에서 함께 흥분</t>
        </is>
      </c>
    </row>
    <row r="12" ht="15" customHeight="1" s="53">
      <c r="A12" s="106" t="inlineStr">
        <is>
          <t>■ 읽는 법</t>
        </is>
      </c>
    </row>
    <row r="13" ht="15" customHeight="1" s="53">
      <c r="A13" s="107" t="inlineStr">
        <is>
          <t>· 설문 응답이 4~5인데 영상 점수가 4~5(문제 강함)로 나오면 그 지점이 온도차입니다.</t>
        </is>
      </c>
    </row>
    <row r="14" ht="15" customHeight="1" s="53">
      <c r="A14" s="107" t="inlineStr">
        <is>
          <t>· 온도차 자체를 '거짓말'로 읽지 마세요. 대부분은 무엇이 바람직한지 알지만 몸에 배지 않은 상태입니다.</t>
        </is>
      </c>
    </row>
    <row r="15" ht="15" customHeight="1" s="53">
      <c r="A15" s="107" t="inlineStr">
        <is>
          <t>· 피드백은 '틀렸다'가 아니라 '알고 계신 것을 몸에 붙이는 방법'으로 전달하는 것이 좋습니다.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2026-07-28T08:17:14Z</dcterms:created>
  <dcterms:modified xmlns:dcterms="http://purl.org/dc/terms/" xmlns:xsi="http://www.w3.org/2001/XMLSchema-instance" xsi:type="dcterms:W3CDTF">2026-09-04T04:32:44Z</dcterms:modified>
  <cp:revision>0</cp:revision>
</cp:coreProperties>
</file>